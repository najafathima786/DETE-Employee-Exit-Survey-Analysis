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ivotCache/pivotCacheDefinition1.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Records1.xml" ContentType="application/vnd.openxmlformats-officedocument.spreadsheetml.pivotCacheRecords+xml"/>
  <Override PartName="/xl/pivotCache/pivotCacheRecords10.xml" ContentType="application/vnd.openxmlformats-officedocument.spreadsheetml.pivotCacheRecords+xml"/>
  <Override PartName="/xl/pivotCache/pivotCacheRecords1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Cache/pivotCacheRecords5.xml" ContentType="application/vnd.openxmlformats-officedocument.spreadsheetml.pivotCacheRecords+xml"/>
  <Override PartName="/xl/pivotCache/pivotCacheRecords6.xml" ContentType="application/vnd.openxmlformats-officedocument.spreadsheetml.pivotCacheRecords+xml"/>
  <Override PartName="/xl/pivotCache/pivotCacheRecords7.xml" ContentType="application/vnd.openxmlformats-officedocument.spreadsheetml.pivotCacheRecords+xml"/>
  <Override PartName="/xl/pivotCache/pivotCacheRecords8.xml" ContentType="application/vnd.openxmlformats-officedocument.spreadsheetml.pivotCacheRecords+xml"/>
  <Override PartName="/xl/pivotCache/pivotCacheRecords9.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771" windowHeight="9000"/>
  </bookViews>
  <sheets>
    <sheet name="Business Context" sheetId="2" r:id="rId1"/>
    <sheet name="Survey Questionaire" sheetId="4" r:id="rId2"/>
    <sheet name="Data Dictionary" sheetId="3" r:id="rId3"/>
    <sheet name="Sheet32" sheetId="37" r:id="rId4"/>
    <sheet name="Sheet33" sheetId="38" r:id="rId5"/>
    <sheet name="Sheet34" sheetId="39" r:id="rId6"/>
    <sheet name="Sheet35" sheetId="40" r:id="rId7"/>
    <sheet name="Sheet36" sheetId="41" r:id="rId8"/>
    <sheet name="Sheet1" sheetId="42" r:id="rId9"/>
    <sheet name="Sheet2" sheetId="43" r:id="rId10"/>
    <sheet name="Sheet3" sheetId="44" r:id="rId11"/>
    <sheet name="Sheet4" sheetId="45" r:id="rId12"/>
    <sheet name="Sheet5" sheetId="46" r:id="rId13"/>
    <sheet name="Sheet6" sheetId="47" r:id="rId14"/>
    <sheet name="Employ-Exit-survey-Data" sheetId="1" r:id="rId15"/>
    <sheet name="Task Overview" sheetId="5" r:id="rId16"/>
  </sheets>
  <definedNames>
    <definedName name="_xlnm._FilterDatabase" localSheetId="14" hidden="1">'Employ-Exit-survey-Data'!$A$1:$BD$823</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 cacheId="10" r:id="rId2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<sst xmlns="http://schemas.openxmlformats.org/spreadsheetml/2006/main" count="25842" uniqueCount="321">
  <si>
    <r>
      <t xml:space="preserve">Business Context:
</t>
    </r>
    <r>
      <rPr>
        <sz val="11"/>
        <color theme="1"/>
        <rFont val="Aptos Narrow"/>
        <charset val="134"/>
        <scheme val="minor"/>
      </rPr>
      <t xml:space="preserve">This is the data set provided by the Government of Queens Land, Australia - Department of Education, Training, and Employment. This data set records exit survey responses from employees who left the Department of Education, Training, and Employment (DETE) in Queensland, Australia.
Staff feedback provides the Department with valuable information on why employees resign or retire. The information is used to inform attraction and retention initiatives and to improve work practices across the Department to ensure the Department is considered an employer of choice.
The employee Exit Survey was developed to effectively canvass the opinions and attitudes of departing employees to identify a wide range of operational, organizational, and personal variables affecting the decision to leave. 
</t>
    </r>
    <r>
      <rPr>
        <b/>
        <sz val="11"/>
        <color theme="1"/>
        <rFont val="Aptos Narrow"/>
        <charset val="134"/>
        <scheme val="minor"/>
      </rPr>
      <t>Summary of Dataset Analysis:</t>
    </r>
    <r>
      <rPr>
        <sz val="11"/>
        <color theme="1"/>
        <rFont val="Aptos Narrow"/>
        <charset val="134"/>
        <scheme val="minor"/>
      </rPr>
      <t xml:space="preserve">
The dataset contains 822 records and 56 columns.
</t>
    </r>
    <r>
      <rPr>
        <b/>
        <sz val="11"/>
        <color theme="1"/>
        <rFont val="Aptos Narrow"/>
        <charset val="134"/>
        <scheme val="minor"/>
      </rPr>
      <t>The columns include:</t>
    </r>
    <r>
      <rPr>
        <sz val="11"/>
        <color theme="1"/>
        <rFont val="Aptos Narrow"/>
        <charset val="134"/>
        <scheme val="minor"/>
      </rPr>
      <t xml:space="preserve">
</t>
    </r>
    <r>
      <rPr>
        <b/>
        <sz val="11"/>
        <color theme="1"/>
        <rFont val="Aptos Narrow"/>
        <charset val="134"/>
        <scheme val="minor"/>
      </rPr>
      <t>Personal &amp; Employment Information:</t>
    </r>
    <r>
      <rPr>
        <sz val="11"/>
        <color theme="1"/>
        <rFont val="Aptos Narrow"/>
        <charset val="134"/>
        <scheme val="minor"/>
      </rPr>
      <t xml:space="preserve"> ID, Separation Type, Cease Date, Start Date, Position, Region, Employment Status.
</t>
    </r>
    <r>
      <rPr>
        <b/>
        <sz val="11"/>
        <color theme="1"/>
        <rFont val="Aptos Narrow"/>
        <charset val="134"/>
        <scheme val="minor"/>
      </rPr>
      <t>Reasons for Leaving:</t>
    </r>
    <r>
      <rPr>
        <sz val="11"/>
        <color theme="1"/>
        <rFont val="Aptos Narrow"/>
        <charset val="134"/>
        <scheme val="minor"/>
      </rPr>
      <t xml:space="preserve"> Career moves, dissatisfaction, work-life balance, workload, maternity, health issues, etc.
</t>
    </r>
    <r>
      <rPr>
        <b/>
        <sz val="11"/>
        <color theme="1"/>
        <rFont val="Aptos Narrow"/>
        <charset val="134"/>
        <scheme val="minor"/>
      </rPr>
      <t>Workplace Experience Ratings</t>
    </r>
    <r>
      <rPr>
        <sz val="11"/>
        <color theme="1"/>
        <rFont val="Aptos Narrow"/>
        <charset val="134"/>
        <scheme val="minor"/>
      </rPr>
      <t xml:space="preserve">: Professional development, opportunities, staff morale, workplace issues, stress, support from peers and supervisors, etc.
</t>
    </r>
    <r>
      <rPr>
        <b/>
        <sz val="11"/>
        <color theme="1"/>
        <rFont val="Aptos Narrow"/>
        <charset val="134"/>
        <scheme val="minor"/>
      </rPr>
      <t>Demographics:</t>
    </r>
    <r>
      <rPr>
        <sz val="11"/>
        <color theme="1"/>
        <rFont val="Aptos Narrow"/>
        <charset val="134"/>
        <scheme val="minor"/>
      </rPr>
      <t xml:space="preserve"> Gender, Age, Aboriginal/Torres Strait/South Sea heritage, Disability, Non-English Speaking Background (NESB).
</t>
    </r>
    <r>
      <rPr>
        <b/>
        <sz val="11"/>
        <color theme="1"/>
        <rFont val="Aptos Narrow"/>
        <charset val="134"/>
        <scheme val="minor"/>
      </rPr>
      <t>Survey Objective:</t>
    </r>
    <r>
      <rPr>
        <sz val="11"/>
        <color theme="1"/>
        <rFont val="Aptos Narrow"/>
        <charset val="134"/>
        <scheme val="minor"/>
      </rPr>
      <t xml:space="preserve">
The Employee Exit Survey aims to analyze the reasons employees leave the Department of Education, Training, and Employment (DETE) in Queensland, Australia. The primary goals are:
a. Identifying key factors influencing employee turnover.
b. Understanding workplace satisfaction, morale, and professional development opportunities.
c. Assessing the effectiveness of management, work-life balance, and stress support.
d. Analyzing demographic trends in employee exits.
e. Gathering feedback to improve retention and working conditions.</t>
    </r>
  </si>
  <si>
    <t>Survey Questionnaire - DETE Exit Survey</t>
  </si>
  <si>
    <t>Section 1: Personal and Employment Information</t>
  </si>
  <si>
    <t>1. What is your Employee ID?</t>
  </si>
  <si>
    <t>2. What is your employment status? (Permanent, Temporary, Part-time, etc.)</t>
  </si>
  <si>
    <t>3. What was your position at DETE?</t>
  </si>
  <si>
    <t>4. In which region were you employed?</t>
  </si>
  <si>
    <t>5. Which business unit were you working in?</t>
  </si>
  <si>
    <t>6. What was your classification level? (AO1-AO4, AO5-AO7, etc.)</t>
  </si>
  <si>
    <t>7. When did you start working at DETE?</t>
  </si>
  <si>
    <t>8. When did you start your most recent role at DETE?</t>
  </si>
  <si>
    <t>9. What was your last working date with DETE?</t>
  </si>
  <si>
    <t>10. What was your reason for leaving DETE? (Select all that apply)</t>
  </si>
  <si>
    <t>Career move to public sector</t>
  </si>
  <si>
    <t>Career move to private sector</t>
  </si>
  <si>
    <t>Interpersonal conflicts</t>
  </si>
  <si>
    <t>Job dissatisfaction</t>
  </si>
  <si>
    <t>Dissatisfaction with the department</t>
  </si>
  <si>
    <t>Physical work environment</t>
  </si>
  <si>
    <t>Lack of recognition</t>
  </si>
  <si>
    <t>Lack of job security</t>
  </si>
  <si>
    <t>Work location</t>
  </si>
  <si>
    <t>Employment conditions</t>
  </si>
  <si>
    <t>Maternity/family reasons</t>
  </si>
  <si>
    <t>Relocation</t>
  </si>
  <si>
    <t>Study/Travel</t>
  </si>
  <si>
    <t>Ill Health</t>
  </si>
  <si>
    <t>Traumatic incident</t>
  </si>
  <si>
    <t>Work-life balance</t>
  </si>
  <si>
    <t>Workload</t>
  </si>
  <si>
    <t>None of the above (please specify reason)</t>
  </si>
  <si>
    <t>Section 2: Work Experience and Satisfaction</t>
  </si>
  <si>
    <r>
      <rPr>
        <sz val="11"/>
        <color theme="1"/>
        <rFont val="Aptos Narrow"/>
        <charset val="134"/>
        <scheme val="minor"/>
      </rPr>
      <t xml:space="preserve">(For the following statements, please rate your level of agreement: </t>
    </r>
    <r>
      <rPr>
        <b/>
        <sz val="11"/>
        <color theme="1"/>
        <rFont val="Aptos Narrow"/>
        <charset val="134"/>
        <scheme val="minor"/>
      </rPr>
      <t>Strongly Agree, Agree, Neutral, Disagree, Strongly Disagree</t>
    </r>
    <r>
      <rPr>
        <sz val="11"/>
        <color theme="1"/>
        <rFont val="Aptos Narrow"/>
        <charset val="134"/>
        <scheme val="minor"/>
      </rPr>
      <t>)</t>
    </r>
  </si>
  <si>
    <t>11. I had good opportunities for professional development.</t>
  </si>
  <si>
    <t>12. There were opportunities for promotion within DETE.</t>
  </si>
  <si>
    <t>13. Staff morale at DETE was high.</t>
  </si>
  <si>
    <t>14. I faced workplace issues that affected my performance.</t>
  </si>
  <si>
    <t>15. The physical work environment was satisfactory.</t>
  </si>
  <si>
    <t>16. I was able to maintain a good work-life balance.</t>
  </si>
  <si>
    <t>17. I received adequate support for managing stress and work pressure.</t>
  </si>
  <si>
    <t>18. My supervisor provided strong leadership and guidance.</t>
  </si>
  <si>
    <t>19. My peers were supportive and encouraging.</t>
  </si>
  <si>
    <t>20. I was encouraged to take initiative and innovate.</t>
  </si>
  <si>
    <t>21. I had opportunities to develop and enhance my skills.</t>
  </si>
  <si>
    <t>22. I received coaching and mentorship at work.</t>
  </si>
  <si>
    <t>23. My career aspirations were supported by DETE.</t>
  </si>
  <si>
    <t>24. I received constructive feedback on my work.</t>
  </si>
  <si>
    <t>25. DETE provided sufficient professional development programs.</t>
  </si>
  <si>
    <t>26. Internal communication was clear and effective.</t>
  </si>
  <si>
    <t>27. My opinions and feedback were valued by management.</t>
  </si>
  <si>
    <t>28. I had access to all the necessary workplace information.</t>
  </si>
  <si>
    <t>29. I was kept informed about organizational changes and updates.</t>
  </si>
  <si>
    <t>30. Wellness programs were available and beneficial.</t>
  </si>
  <si>
    <t>31. Workplace health and safety measures were adequate.</t>
  </si>
  <si>
    <t>Section 3: Demographics</t>
  </si>
  <si>
    <t>32. What is your gender? (Male, Female, Prefer not to say)</t>
  </si>
  <si>
    <t>33. What is your age group? (25-30, 31-35, 36-40, etc.)</t>
  </si>
  <si>
    <t>34. Do you identify as Aboriginal? (Yes/No)</t>
  </si>
  <si>
    <t>35. Do you identify as Torres Strait Islander? (Yes/No)</t>
  </si>
  <si>
    <t>36. Do you identify as a South Sea Islander? (Yes/No)</t>
  </si>
  <si>
    <t>37. Do you have a disability? (Yes/No)</t>
  </si>
  <si>
    <t>38. Do you have a Non-English Speaking Background (NESB)? (Yes/No)</t>
  </si>
  <si>
    <t>Section 4: Additional Comments</t>
  </si>
  <si>
    <t>39. Do you have any additional feedback or suggestions for DETE to improve employee satisfaction and retention? (Open-ended)</t>
  </si>
  <si>
    <t>Data Dictionary for DETE Exit Survey Dataset</t>
  </si>
  <si>
    <t>Column Name</t>
  </si>
  <si>
    <t>Data Type</t>
  </si>
  <si>
    <t>Description</t>
  </si>
  <si>
    <t>ID</t>
  </si>
  <si>
    <t>Integer</t>
  </si>
  <si>
    <t>Unique identifier for each survey response.</t>
  </si>
  <si>
    <t>SeparationType</t>
  </si>
  <si>
    <t>String</t>
  </si>
  <si>
    <t>The reason for leaving, e.g., resignation, retirement, ill health.</t>
  </si>
  <si>
    <t>Cease Date</t>
  </si>
  <si>
    <t>The date when the employee left the organization.</t>
  </si>
  <si>
    <t>DETE Start Date</t>
  </si>
  <si>
    <t>The year the employee started at DETE.</t>
  </si>
  <si>
    <t>Role Start Date</t>
  </si>
  <si>
    <t>The year the employee started their most recent role.</t>
  </si>
  <si>
    <t>Position</t>
  </si>
  <si>
    <t>Job title of the employee at the time of exit.</t>
  </si>
  <si>
    <t>Classification</t>
  </si>
  <si>
    <t>Employee classification (e.g., AO1-AO4, AO5-AO7, Primary, Secondary).</t>
  </si>
  <si>
    <t>Region</t>
  </si>
  <si>
    <t>The geographic region where the employee worked.</t>
  </si>
  <si>
    <t>Business Unit</t>
  </si>
  <si>
    <t>The specific unit within DETE where the employee worked.</t>
  </si>
  <si>
    <t>Employment Status</t>
  </si>
  <si>
    <t>Type of employment (e.g., Permanent, Temporary, Part-time).</t>
  </si>
  <si>
    <t>Boolean</t>
  </si>
  <si>
    <t>Whether the employee left to work in another public sector job.</t>
  </si>
  <si>
    <t>Whether the employee left to work in the private sector.</t>
  </si>
  <si>
    <t>Whether interpersonal conflicts were a reason for leaving.</t>
  </si>
  <si>
    <t>Whether dissatisfaction with the job was a reason for leaving.</t>
  </si>
  <si>
    <t>Whether dissatisfaction with DETE was a reason for leaving.</t>
  </si>
  <si>
    <t>Whether workplace conditions contributed to leaving.</t>
  </si>
  <si>
    <t>Whether feeling unrecognized was a reason for leaving.</t>
  </si>
  <si>
    <t>Whether job security concerns contributed to leaving.</t>
  </si>
  <si>
    <t>Whether the job’s location was a reason for leaving.</t>
  </si>
  <si>
    <t>Whether employment conditions (e.g., contract terms) were a factor.</t>
  </si>
  <si>
    <t>Maternity/family</t>
  </si>
  <si>
    <t>Whether family-related reasons influenced the decision to leave.</t>
  </si>
  <si>
    <t>Whether relocation was a reason for leaving.</t>
  </si>
  <si>
    <t>Whether study or travel influenced the decision to leave.</t>
  </si>
  <si>
    <t>Whether health issues were a reason for leaving.</t>
  </si>
  <si>
    <t>Whether a traumatic workplace incident influenced departure.</t>
  </si>
  <si>
    <t>Work life balance</t>
  </si>
  <si>
    <t>Whether work-life balance was a concern.</t>
  </si>
  <si>
    <t>Whether excessive workload was a reason for leaving.</t>
  </si>
  <si>
    <t>None of the above</t>
  </si>
  <si>
    <t>If none of the predefined reasons applied.</t>
  </si>
  <si>
    <t>Professional Development</t>
  </si>
  <si>
    <t>Employee rating of professional development opportunities.</t>
  </si>
  <si>
    <t>Opportunities for promotion</t>
  </si>
  <si>
    <t>Employee rating of promotional opportunities.</t>
  </si>
  <si>
    <t>Staff morale</t>
  </si>
  <si>
    <t>Employee rating of workplace morale.</t>
  </si>
  <si>
    <t>Workplace issue</t>
  </si>
  <si>
    <t>Employee rating of workplace problems.</t>
  </si>
  <si>
    <t>Physical environment</t>
  </si>
  <si>
    <t>Employee rating of physical work conditions.</t>
  </si>
  <si>
    <t>Worklife balance</t>
  </si>
  <si>
    <t>Employee rating of work-life balance.</t>
  </si>
  <si>
    <t>Stress and pressure support</t>
  </si>
  <si>
    <t>Employee rating of stress management support.</t>
  </si>
  <si>
    <t>Performance of supervisor</t>
  </si>
  <si>
    <t>Employee rating of their supervisor’s performance.</t>
  </si>
  <si>
    <t>Peer support</t>
  </si>
  <si>
    <t>Employee rating of peer support.</t>
  </si>
  <si>
    <t>Initiative</t>
  </si>
  <si>
    <t>Employee rating of encouragement for innovation.</t>
  </si>
  <si>
    <t>Skills</t>
  </si>
  <si>
    <t>Employee rating of skill development opportunities.</t>
  </si>
  <si>
    <t>Coach</t>
  </si>
  <si>
    <t>Employee rating of coaching availability.</t>
  </si>
  <si>
    <t>Career Aspirations</t>
  </si>
  <si>
    <t>Employee rating of support for career aspirations.</t>
  </si>
  <si>
    <t>Feedback</t>
  </si>
  <si>
    <t>Employee rating of feedback mechanisms.</t>
  </si>
  <si>
    <t>Further PD</t>
  </si>
  <si>
    <t>Employee rating of further professional development.</t>
  </si>
  <si>
    <t>Communication</t>
  </si>
  <si>
    <t>Employee rating of internal communication.</t>
  </si>
  <si>
    <t>My say</t>
  </si>
  <si>
    <t>Employee rating of their ability to voice opinions.</t>
  </si>
  <si>
    <t>Information</t>
  </si>
  <si>
    <t>Employee rating of access to organizational information.</t>
  </si>
  <si>
    <t>Kept informed</t>
  </si>
  <si>
    <t>Employee rating of being kept updated by management.</t>
  </si>
  <si>
    <t>Wellness programs</t>
  </si>
  <si>
    <t>Employee rating of workplace wellness initiatives.</t>
  </si>
  <si>
    <t>Health &amp; Safety</t>
  </si>
  <si>
    <t>Employee rating of workplace health and safety.</t>
  </si>
  <si>
    <t>Gender</t>
  </si>
  <si>
    <t>Gender of the employee.</t>
  </si>
  <si>
    <t>Age</t>
  </si>
  <si>
    <t>Age group of the employee (e.g., 25-30, 31-35, etc.).</t>
  </si>
  <si>
    <t>Aboriginal</t>
  </si>
  <si>
    <t>Whether the employee identifies as Aboriginal.</t>
  </si>
  <si>
    <t>Torres Strait</t>
  </si>
  <si>
    <t>Whether the employee identifies as Torres Strait Islander.</t>
  </si>
  <si>
    <t>South Sea</t>
  </si>
  <si>
    <t>Whether the employee identifies as a South Sea Islander.</t>
  </si>
  <si>
    <t>Disability</t>
  </si>
  <si>
    <t>Whether the employee has a disability.</t>
  </si>
  <si>
    <t>NESB</t>
  </si>
  <si>
    <t>Whether the employee has a Non-English Speaking Background.</t>
  </si>
  <si>
    <t>Notes:</t>
  </si>
  <si>
    <r>
      <rPr>
        <sz val="11"/>
        <color theme="1"/>
        <rFont val="Aptos Narrow"/>
        <charset val="134"/>
        <scheme val="minor"/>
      </rPr>
      <t xml:space="preserve">Boolean fields are marked as </t>
    </r>
    <r>
      <rPr>
        <b/>
        <sz val="11"/>
        <color theme="1"/>
        <rFont val="Aptos Narrow"/>
        <charset val="134"/>
        <scheme val="minor"/>
      </rPr>
      <t>True/False</t>
    </r>
    <r>
      <rPr>
        <sz val="11"/>
        <color theme="1"/>
        <rFont val="Aptos Narrow"/>
        <charset val="134"/>
        <scheme val="minor"/>
      </rPr>
      <t xml:space="preserve"> values, indicating whether a specific reason or factor was applicable.</t>
    </r>
  </si>
  <si>
    <t>Rating fields are coded as:</t>
  </si>
  <si>
    <t>SA</t>
  </si>
  <si>
    <t>Strongly Agree</t>
  </si>
  <si>
    <t>A</t>
  </si>
  <si>
    <t>Agree</t>
  </si>
  <si>
    <t>N</t>
  </si>
  <si>
    <t>Neutral</t>
  </si>
  <si>
    <t>D</t>
  </si>
  <si>
    <t>Disagree</t>
  </si>
  <si>
    <t>SD</t>
  </si>
  <si>
    <t>Strongly Disagree</t>
  </si>
  <si>
    <t>M</t>
  </si>
  <si>
    <t>Missing</t>
  </si>
  <si>
    <t>N/A</t>
  </si>
  <si>
    <t>Not applicable</t>
  </si>
  <si>
    <t>Count of Peer support</t>
  </si>
  <si>
    <t>Grand Total</t>
  </si>
  <si>
    <t>Count of Kept informed</t>
  </si>
  <si>
    <t>Count of Information</t>
  </si>
  <si>
    <t>Count of My say</t>
  </si>
  <si>
    <t>Count of Communication</t>
  </si>
  <si>
    <t>Count of Gender</t>
  </si>
  <si>
    <t>Female</t>
  </si>
  <si>
    <t>Male</t>
  </si>
  <si>
    <t>Count of Age</t>
  </si>
  <si>
    <t>61 or older</t>
  </si>
  <si>
    <t>56-60</t>
  </si>
  <si>
    <t>51-55</t>
  </si>
  <si>
    <t>46-50</t>
  </si>
  <si>
    <t>41-45</t>
  </si>
  <si>
    <t>26-30</t>
  </si>
  <si>
    <t>36-40</t>
  </si>
  <si>
    <t>21-25</t>
  </si>
  <si>
    <t>31-35</t>
  </si>
  <si>
    <t>61Not StatedorNot Statedolder</t>
  </si>
  <si>
    <t>20 or younger</t>
  </si>
  <si>
    <t>Count of Aboriginal</t>
  </si>
  <si>
    <t>NO</t>
  </si>
  <si>
    <t>Yes</t>
  </si>
  <si>
    <t>Count of Disability</t>
  </si>
  <si>
    <t>Count of NESB</t>
  </si>
  <si>
    <t>SouthNot StatedSea</t>
  </si>
  <si>
    <t>Count of SouthNot StatedSea</t>
  </si>
  <si>
    <t>CeaseNot StatedDate</t>
  </si>
  <si>
    <t>DETENot StatedStartNot StatedDate</t>
  </si>
  <si>
    <t>RoleNot StatedStartNot StatedDate</t>
  </si>
  <si>
    <t>BusinessNot StatedUnit</t>
  </si>
  <si>
    <t>EmploymentNot StatedStatus</t>
  </si>
  <si>
    <t>CareerNot StatedmoveNot StatedtoNot StatedpublicNot Statedsector</t>
  </si>
  <si>
    <t>CareerNot StatedmoveNot StatedtoNot StatedprivateNot Statedsector</t>
  </si>
  <si>
    <t>InterpersonalNot Statedconflicts</t>
  </si>
  <si>
    <t>JobNot Stateddissatisfaction</t>
  </si>
  <si>
    <t>DissatisfactionNot StatedwithNot StatedtheNot Stateddepartment</t>
  </si>
  <si>
    <t>PhysicalNot StatedworkNot Statedenvironment</t>
  </si>
  <si>
    <t>LackNot StatedofNot Statedrecognition</t>
  </si>
  <si>
    <t>LackNot StatedofNot StatedjobNot Statedsecurity</t>
  </si>
  <si>
    <t>WorkNot Statedlocation</t>
  </si>
  <si>
    <t>EmploymentNot Statedconditions</t>
  </si>
  <si>
    <t>IllNot StatedHealth</t>
  </si>
  <si>
    <t>TraumaticNot Statedincident</t>
  </si>
  <si>
    <t>WorkNot StatedlifeNot Statedbalance</t>
  </si>
  <si>
    <t>NoneNot StatedofNot StatedtheNot Statedabove</t>
  </si>
  <si>
    <t>TorresNot StatedStrait</t>
  </si>
  <si>
    <t>AGE</t>
  </si>
  <si>
    <t>ABORGINAL</t>
  </si>
  <si>
    <t>TORRESNot StatedSTRAIT</t>
  </si>
  <si>
    <t>SOUTHNot StatedSEA</t>
  </si>
  <si>
    <t>DISABILITY</t>
  </si>
  <si>
    <t>NSEB</t>
  </si>
  <si>
    <t>Overall Tenure</t>
  </si>
  <si>
    <t>IllNot StatedHealthNot StatedRetirement</t>
  </si>
  <si>
    <t>PublicNot StatedServant</t>
  </si>
  <si>
    <t>A01-A04</t>
  </si>
  <si>
    <t>CentralNot StatedOffice</t>
  </si>
  <si>
    <t>CorporateNot StatedStrategyNot StatedandNot StatedPeformance</t>
  </si>
  <si>
    <t>PermanentNot StatedFull-time</t>
  </si>
  <si>
    <t>Voluntary Early Retirement (VER)</t>
  </si>
  <si>
    <t>Not Stated</t>
  </si>
  <si>
    <t>Public Servant</t>
  </si>
  <si>
    <t>AO5-AO7</t>
  </si>
  <si>
    <t>Central Office</t>
  </si>
  <si>
    <t>Corporate Strategy and Peformance</t>
  </si>
  <si>
    <t>Permanent Full-time</t>
  </si>
  <si>
    <t>Schools Officer</t>
  </si>
  <si>
    <t>Education Queensland</t>
  </si>
  <si>
    <t>Resignation-Other reasons</t>
  </si>
  <si>
    <t>Teacher</t>
  </si>
  <si>
    <t>Primary</t>
  </si>
  <si>
    <t>Central Queensland</t>
  </si>
  <si>
    <t>Age Retirement</t>
  </si>
  <si>
    <t>Head of Curriculum/Head of Special Education</t>
  </si>
  <si>
    <t>South East</t>
  </si>
  <si>
    <t>Guidance Officer</t>
  </si>
  <si>
    <t>Secondary</t>
  </si>
  <si>
    <t>Darling Downs South West</t>
  </si>
  <si>
    <t>Permanent Part-time</t>
  </si>
  <si>
    <t>Teacher Aide</t>
  </si>
  <si>
    <t>North Coast</t>
  </si>
  <si>
    <t>North Queensland</t>
  </si>
  <si>
    <t>Resignation-Other employer</t>
  </si>
  <si>
    <t>AgeNot StatedRetirement</t>
  </si>
  <si>
    <t>EducationNot StatedQueensland</t>
  </si>
  <si>
    <t>Resignation-Move overseas/interstate</t>
  </si>
  <si>
    <t>Far North Queensland</t>
  </si>
  <si>
    <t>Metropolitan</t>
  </si>
  <si>
    <t>Cleaner</t>
  </si>
  <si>
    <t>School Administrative Staff</t>
  </si>
  <si>
    <t>Resignation-OtherNot Statedemployer</t>
  </si>
  <si>
    <t>InformationNot StatedandNot StatedTechnologies</t>
  </si>
  <si>
    <t>Special Education</t>
  </si>
  <si>
    <t>Ill Health Retirement</t>
  </si>
  <si>
    <t>Temporary Part-time</t>
  </si>
  <si>
    <t>Other</t>
  </si>
  <si>
    <t>Information and Technologies</t>
  </si>
  <si>
    <t>ContractNot StatedExpired</t>
  </si>
  <si>
    <t>TemporaryNot StatedFull-time</t>
  </si>
  <si>
    <t>Termination</t>
  </si>
  <si>
    <t>TemporaryNot StatedPart-time</t>
  </si>
  <si>
    <t>Contract Expired</t>
  </si>
  <si>
    <t>Technical Officer</t>
  </si>
  <si>
    <t>Temporary Full-time</t>
  </si>
  <si>
    <t>Deputy Principal</t>
  </si>
  <si>
    <t>School Principal</t>
  </si>
  <si>
    <t>Training and Tertiary Education Queensland</t>
  </si>
  <si>
    <t>Business Service Manager</t>
  </si>
  <si>
    <t>TrainingNot StatedandNot StatedTertiaryNot StatedEducationNot StatedQueensland</t>
  </si>
  <si>
    <t>VoluntaryNot StatedEarlyNot StatedRetirementNot Stated(VER)</t>
  </si>
  <si>
    <t>ProfessionalNot StatedOfficer</t>
  </si>
  <si>
    <t>PO1-PO4</t>
  </si>
  <si>
    <t>HumanNot StatedResources</t>
  </si>
  <si>
    <t>AO8 and Above</t>
  </si>
  <si>
    <t>AO8Not StatedandNot StatedAbove</t>
  </si>
  <si>
    <t>PermanentNot StatedPart-time</t>
  </si>
  <si>
    <t>CorporateNot StatedProcurement</t>
  </si>
  <si>
    <t>Professional Officer</t>
  </si>
  <si>
    <t>Finance</t>
  </si>
  <si>
    <t>EarlyNot StatedChildhoodNot StatedEducationNot StatedandNot StatedCare</t>
  </si>
  <si>
    <t>NorthNot StatedCoast</t>
  </si>
  <si>
    <t>Pacific Pines SHS</t>
  </si>
  <si>
    <t>Calliope State School</t>
  </si>
  <si>
    <t>School Based Professional Staff (Therapist, nurse, etc)</t>
  </si>
  <si>
    <t>Policy,Not StatedResearch,Not StatedLegislation</t>
  </si>
  <si>
    <t>Infrastructure</t>
  </si>
  <si>
    <t>Casual</t>
  </si>
  <si>
    <t>Middle</t>
  </si>
  <si>
    <t>Resignation-MoveNot Statedoverseas/interstate</t>
  </si>
  <si>
    <t>CentralNot StatedQueensland</t>
  </si>
  <si>
    <t>Early Childhood Education and Care</t>
  </si>
  <si>
    <t>IndigenousNot StatedEducationNot StatedandNot StatedTrainingNot StatedFutures</t>
  </si>
  <si>
    <t>Resignation-OtherNot Statedreasons</t>
  </si>
  <si>
    <r>
      <rPr>
        <b/>
        <sz val="11"/>
        <color theme="1"/>
        <rFont val="Aptos Narrow"/>
        <charset val="134"/>
        <scheme val="minor"/>
      </rPr>
      <t>Problem Statement:</t>
    </r>
    <r>
      <rPr>
        <sz val="11"/>
        <color theme="1"/>
        <rFont val="Aptos Narrow"/>
        <charset val="134"/>
        <scheme val="minor"/>
      </rPr>
      <t xml:space="preserve">
The Department of Education, Training, and Employment (DETE), Queensland Government, Australia, conducted an exit survey to analyze employee attrition and workplace satisfaction. Your task is to analyze the dataset and provide data-driven insights to improve employee retention and workplace satisfaction.
Objectives
Your analysis should focus on the following key areas:
</t>
    </r>
    <r>
      <rPr>
        <b/>
        <sz val="11"/>
        <color theme="1"/>
        <rFont val="Aptos Narrow"/>
        <charset val="134"/>
        <scheme val="minor"/>
      </rPr>
      <t>1. Employee Turnover Analysis</t>
    </r>
    <r>
      <rPr>
        <sz val="11"/>
        <color theme="1"/>
        <rFont val="Aptos Narrow"/>
        <charset val="134"/>
        <scheme val="minor"/>
      </rPr>
      <t xml:space="preserve">
Identify the primary reasons employees leave DETE.
Analyze resignation patterns across different employee segments (e.g., department, job role, tenure, classification level).
Determine any seasonal or tenure-based trends in employee exits.
</t>
    </r>
    <r>
      <rPr>
        <b/>
        <sz val="11"/>
        <color theme="1"/>
        <rFont val="Aptos Narrow"/>
        <charset val="134"/>
        <scheme val="minor"/>
      </rPr>
      <t>2. Workplace Satisfaction Analysis</t>
    </r>
    <r>
      <rPr>
        <sz val="11"/>
        <color theme="1"/>
        <rFont val="Aptos Narrow"/>
        <charset val="134"/>
        <scheme val="minor"/>
      </rPr>
      <t xml:space="preserve">
Evaluate workplace satisfaction based on various factors such as professional development, leadership, morale, and work-life balance
Identify key dissatisfaction factors contributing to high attrition rates.
Compare satisfaction levels among different employee groups.
</t>
    </r>
    <r>
      <rPr>
        <b/>
        <sz val="11"/>
        <color theme="1"/>
        <rFont val="Aptos Narrow"/>
        <charset val="134"/>
        <scheme val="minor"/>
      </rPr>
      <t>3. Demographic Insights</t>
    </r>
    <r>
      <rPr>
        <sz val="11"/>
        <color theme="1"/>
        <rFont val="Aptos Narrow"/>
        <charset val="134"/>
        <scheme val="minor"/>
      </rPr>
      <t xml:space="preserve">
Assess if demographics (e.g., age, gender, employment type, region) play a role in resignation rates.
Identify any disparities in job satisfaction and career progression.
</t>
    </r>
    <r>
      <rPr>
        <b/>
        <sz val="11"/>
        <color theme="1"/>
        <rFont val="Aptos Narrow"/>
        <charset val="134"/>
        <scheme val="minor"/>
      </rPr>
      <t>4. Predictive Insights for Employee Retention</t>
    </r>
    <r>
      <rPr>
        <sz val="11"/>
        <color theme="1"/>
        <rFont val="Aptos Narrow"/>
        <charset val="134"/>
        <scheme val="minor"/>
      </rPr>
      <t xml:space="preserve">
Use data-driven methods to suggest strategies for improving retention and workplace conditions.
Provide actionable recommendations for DETE’s HR and management teams.
</t>
    </r>
    <r>
      <rPr>
        <b/>
        <sz val="11"/>
        <color theme="1"/>
        <rFont val="Aptos Narrow"/>
        <charset val="134"/>
        <scheme val="minor"/>
      </rPr>
      <t xml:space="preserve">Deliverables: </t>
    </r>
    <r>
      <rPr>
        <sz val="11"/>
        <color theme="1"/>
        <rFont val="Aptos Narrow"/>
        <charset val="134"/>
        <scheme val="minor"/>
      </rPr>
      <t xml:space="preserve">Your submission should include the following:
</t>
    </r>
    <r>
      <rPr>
        <b/>
        <sz val="11"/>
        <color theme="1"/>
        <rFont val="Aptos Narrow"/>
        <charset val="134"/>
        <scheme val="minor"/>
      </rPr>
      <t>Data Cleaning &amp; Preprocessing:</t>
    </r>
    <r>
      <rPr>
        <sz val="11"/>
        <color theme="1"/>
        <rFont val="Aptos Narrow"/>
        <charset val="134"/>
        <scheme val="minor"/>
      </rPr>
      <t xml:space="preserve">
Handle missing values, standardize columns, and clean data for analysis.
Provide a brief summary of the cleaning steps undertaken.
</t>
    </r>
    <r>
      <rPr>
        <b/>
        <sz val="11"/>
        <color theme="1"/>
        <rFont val="Aptos Narrow"/>
        <charset val="134"/>
        <scheme val="minor"/>
      </rPr>
      <t>Exploratory Data Analysis (EDA):</t>
    </r>
    <r>
      <rPr>
        <sz val="11"/>
        <color theme="1"/>
        <rFont val="Aptos Narrow"/>
        <charset val="134"/>
        <scheme val="minor"/>
      </rPr>
      <t xml:space="preserve">
Present key insights using visualizations (graphs, charts, tables).
Include summary statistics and descriptive analysis.
</t>
    </r>
    <r>
      <rPr>
        <b/>
        <sz val="11"/>
        <color theme="1"/>
        <rFont val="Aptos Narrow"/>
        <charset val="134"/>
        <scheme val="minor"/>
      </rPr>
      <t xml:space="preserve">Key Findings &amp; Recommendations:
</t>
    </r>
    <r>
      <rPr>
        <sz val="11"/>
        <color theme="1"/>
        <rFont val="Aptos Narrow"/>
        <charset val="134"/>
        <scheme val="minor"/>
      </rPr>
      <t xml:space="preserve">Highlight major trends and insights from the dataset.
Provide well-structured recommendations to help DETE reduce attrition and improve workplace satisfaction.
</t>
    </r>
    <r>
      <rPr>
        <b/>
        <sz val="11"/>
        <color theme="1"/>
        <rFont val="Aptos Narrow"/>
        <charset val="134"/>
        <scheme val="minor"/>
      </rPr>
      <t>Evaluation Criteria</t>
    </r>
    <r>
      <rPr>
        <sz val="11"/>
        <color theme="1"/>
        <rFont val="Aptos Narrow"/>
        <charset val="134"/>
        <scheme val="minor"/>
      </rPr>
      <t xml:space="preserve">
Candidates will be assessed based on:
Data Cleaning &amp; Preparation: Ability to handle missing values, standardize data, and prepare it for analysis.
Exploratory Data Analysis (EDA): Use of appropriate statistical methods and visualizations.
Interpretation &amp; Insights: Ability to extract meaningful patterns and trends.
Recommendations: Clarity and feasibility of suggested HR strategies.
Presentation &amp; Reporting: Overall clarity, structure, and professionalism of the report.
</t>
    </r>
    <r>
      <rPr>
        <b/>
        <sz val="11"/>
        <color theme="1"/>
        <rFont val="Aptos Narrow"/>
        <charset val="134"/>
        <scheme val="minor"/>
      </rPr>
      <t>Submission Format:</t>
    </r>
    <r>
      <rPr>
        <sz val="11"/>
        <color theme="1"/>
        <rFont val="Aptos Narrow"/>
        <charset val="134"/>
        <scheme val="minor"/>
      </rPr>
      <t xml:space="preserve">
A well-structured report (PPT) with findings, insights, and recommendations.
Code files (Excel) used for analysis.
Detailed Dashboards (Excel/PowerBI)
Any relevant visualizations and explanations.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</si>
</sst>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Aptos Narrow"/>
      <charset val="134"/>
      <scheme val="minor"/>
    </font>
    <font>
      <b/>
      <sz val="11"/>
      <color theme="1"/>
      <name val="Aptos Narrow"/>
      <charset val="134"/>
      <scheme val="minor"/>
    </font>
    <font>
      <b/>
      <sz val="13.5"/>
      <color theme="1"/>
      <name val="Aptos Narrow"/>
      <charset val="134"/>
      <scheme val="minor"/>
    </font>
    <font>
      <b/>
      <sz val="12"/>
      <color theme="1"/>
      <name val="Aptos Narrow"/>
      <charset val="134"/>
      <scheme val="minor"/>
    </font>
    <font>
      <b/>
      <u/>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134"/>
      <scheme val="minor"/>
    </font>
    <font>
      <sz val="18"/>
      <color theme="3"/>
      <name val="Aptos Display"/>
      <charset val="134"/>
      <scheme val="major"/>
    </font>
    <font>
      <i/>
      <sz val="11"/>
      <color rgb="FF7F7F7F"/>
      <name val="Aptos Narrow"/>
      <charset val="134"/>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134"/>
      <scheme val="minor"/>
    </font>
    <font>
      <b/>
      <sz val="11"/>
      <color rgb="FF3F3F3F"/>
      <name val="Aptos Narrow"/>
      <charset val="134"/>
      <scheme val="minor"/>
    </font>
    <font>
      <b/>
      <sz val="11"/>
      <color rgb="FFFA7D00"/>
      <name val="Aptos Narrow"/>
      <charset val="134"/>
      <scheme val="minor"/>
    </font>
    <font>
      <b/>
      <sz val="11"/>
      <color theme="0"/>
      <name val="Aptos Narrow"/>
      <charset val="134"/>
      <scheme val="minor"/>
    </font>
    <font>
      <sz val="11"/>
      <color rgb="FFFA7D00"/>
      <name val="Aptos Narrow"/>
      <charset val="134"/>
      <scheme val="minor"/>
    </font>
    <font>
      <sz val="11"/>
      <color rgb="FF006100"/>
      <name val="Aptos Narrow"/>
      <charset val="134"/>
      <scheme val="minor"/>
    </font>
    <font>
      <sz val="11"/>
      <color rgb="FF9C0006"/>
      <name val="Aptos Narrow"/>
      <charset val="134"/>
      <scheme val="minor"/>
    </font>
    <font>
      <sz val="11"/>
      <color rgb="FF9C5700"/>
      <name val="Aptos Narrow"/>
      <charset val="134"/>
      <scheme val="minor"/>
    </font>
    <font>
      <sz val="11"/>
      <color theme="0"/>
      <name val="Aptos Narrow"/>
      <charset val="134"/>
      <scheme val="minor"/>
    </font>
  </fonts>
  <fills count="34">
    <fill>
      <patternFill patternType="none"/>
    </fill>
    <fill>
      <patternFill patternType="gray125"/>
    </fill>
    <fill>
      <patternFill patternType="solid">
        <fgColor rgb="FFFFFF00"/>
        <bgColor indexed="64"/>
      </patternFill>
    </fill>
    <fill>
      <patternFill patternType="solid">
        <fgColor theme="7"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15"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16" applyNumberFormat="0" applyFill="0" applyAlignment="0" applyProtection="0"/>
    <xf numFmtId="0" fontId="11" fillId="0" borderId="17" applyNumberFormat="0" applyFill="0" applyAlignment="0" applyProtection="0"/>
    <xf numFmtId="0" fontId="12" fillId="0" borderId="18" applyNumberFormat="0" applyFill="0" applyAlignment="0" applyProtection="0"/>
    <xf numFmtId="0" fontId="12" fillId="0" borderId="0" applyNumberFormat="0" applyFill="0" applyBorder="0" applyAlignment="0" applyProtection="0"/>
    <xf numFmtId="0" fontId="13" fillId="5" borderId="19" applyNumberFormat="0" applyAlignment="0" applyProtection="0"/>
    <xf numFmtId="0" fontId="14" fillId="6" borderId="20" applyNumberFormat="0" applyAlignment="0" applyProtection="0"/>
    <xf numFmtId="0" fontId="15" fillId="6" borderId="19" applyNumberFormat="0" applyAlignment="0" applyProtection="0"/>
    <xf numFmtId="0" fontId="16" fillId="7" borderId="21" applyNumberFormat="0" applyAlignment="0" applyProtection="0"/>
    <xf numFmtId="0" fontId="17" fillId="0" borderId="22" applyNumberFormat="0" applyFill="0" applyAlignment="0" applyProtection="0"/>
    <xf numFmtId="0" fontId="1" fillId="0" borderId="23" applyNumberFormat="0" applyFill="0" applyAlignment="0" applyProtection="0"/>
    <xf numFmtId="0" fontId="18" fillId="8" borderId="0" applyNumberFormat="0" applyBorder="0" applyAlignment="0" applyProtection="0"/>
    <xf numFmtId="0" fontId="19" fillId="9" borderId="0" applyNumberFormat="0" applyBorder="0" applyAlignment="0" applyProtection="0"/>
    <xf numFmtId="0" fontId="20" fillId="10" borderId="0" applyNumberFormat="0" applyBorder="0" applyAlignment="0" applyProtection="0"/>
    <xf numFmtId="0" fontId="21"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0" fillId="14" borderId="0" applyNumberFormat="0" applyBorder="0" applyAlignment="0" applyProtection="0"/>
    <xf numFmtId="0" fontId="21" fillId="15" borderId="0" applyNumberFormat="0" applyBorder="0" applyAlignment="0" applyProtection="0"/>
    <xf numFmtId="0" fontId="0" fillId="16" borderId="0" applyNumberFormat="0" applyBorder="0" applyAlignment="0" applyProtection="0"/>
    <xf numFmtId="0" fontId="0" fillId="17" borderId="0" applyNumberFormat="0" applyBorder="0" applyAlignment="0" applyProtection="0"/>
    <xf numFmtId="0" fontId="0" fillId="18" borderId="0" applyNumberFormat="0" applyBorder="0" applyAlignment="0" applyProtection="0"/>
    <xf numFmtId="0" fontId="21" fillId="19" borderId="0" applyNumberFormat="0" applyBorder="0" applyAlignment="0" applyProtection="0"/>
    <xf numFmtId="0" fontId="0" fillId="20" borderId="0" applyNumberFormat="0" applyBorder="0" applyAlignment="0" applyProtection="0"/>
    <xf numFmtId="0" fontId="0" fillId="21" borderId="0" applyNumberFormat="0" applyBorder="0" applyAlignment="0" applyProtection="0"/>
    <xf numFmtId="0" fontId="0" fillId="22" borderId="0" applyNumberFormat="0" applyBorder="0" applyAlignment="0" applyProtection="0"/>
    <xf numFmtId="0" fontId="21" fillId="23" borderId="0" applyNumberFormat="0" applyBorder="0" applyAlignment="0" applyProtection="0"/>
    <xf numFmtId="0" fontId="0" fillId="24" borderId="0" applyNumberFormat="0" applyBorder="0" applyAlignment="0" applyProtection="0"/>
    <xf numFmtId="0" fontId="0" fillId="3" borderId="0" applyNumberFormat="0" applyBorder="0" applyAlignment="0" applyProtection="0"/>
    <xf numFmtId="0" fontId="0" fillId="25" borderId="0" applyNumberFormat="0" applyBorder="0" applyAlignment="0" applyProtection="0"/>
    <xf numFmtId="0" fontId="21"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0" fillId="29" borderId="0" applyNumberFormat="0" applyBorder="0" applyAlignment="0" applyProtection="0"/>
    <xf numFmtId="0" fontId="21"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xf numFmtId="0" fontId="0" fillId="33" borderId="0" applyNumberFormat="0" applyBorder="0" applyAlignment="0" applyProtection="0"/>
  </cellStyleXfs>
  <cellXfs count="30">
    <xf numFmtId="0" fontId="0" fillId="0" borderId="0" xfId="0"/>
    <xf numFmtId="0" fontId="0" fillId="0" borderId="1" xfId="0"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49" fontId="0" fillId="0" borderId="0" xfId="0" applyNumberFormat="1"/>
    <xf numFmtId="0" fontId="0" fillId="0" borderId="0" xfId="0" applyAlignment="1">
      <alignment wrapText="1"/>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3" borderId="9"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0" fillId="0" borderId="3" xfId="0" applyBorder="1" applyAlignment="1">
      <alignment vertical="center" wrapText="1"/>
    </xf>
    <xf numFmtId="0" fontId="0" fillId="0" borderId="13" xfId="0" applyBorder="1" applyAlignment="1">
      <alignment vertical="center" wrapText="1"/>
    </xf>
    <xf numFmtId="0" fontId="0" fillId="0" borderId="7" xfId="0" applyBorder="1" applyAlignment="1">
      <alignment vertical="center" wrapText="1"/>
    </xf>
    <xf numFmtId="0" fontId="0" fillId="0" borderId="4" xfId="0" applyBorder="1" applyAlignment="1">
      <alignment vertical="center" wrapText="1"/>
    </xf>
    <xf numFmtId="0" fontId="0" fillId="0" borderId="14" xfId="0" applyBorder="1" applyAlignment="1">
      <alignment vertical="center" wrapText="1"/>
    </xf>
    <xf numFmtId="0" fontId="0" fillId="0" borderId="8" xfId="0" applyBorder="1" applyAlignment="1">
      <alignment vertical="center" wrapText="1"/>
    </xf>
    <xf numFmtId="0" fontId="1" fillId="0" borderId="0" xfId="0" applyFont="1"/>
    <xf numFmtId="0" fontId="0" fillId="0" borderId="0" xfId="0" applyAlignment="1">
      <alignment horizontal="left" vertical="center" indent="1"/>
    </xf>
    <xf numFmtId="0" fontId="0" fillId="0" borderId="0" xfId="0" applyAlignment="1">
      <alignment horizontal="right"/>
    </xf>
    <xf numFmtId="0" fontId="2" fillId="0" borderId="0" xfId="0" applyFont="1" applyAlignment="1">
      <alignment vertical="center"/>
    </xf>
    <xf numFmtId="0" fontId="3" fillId="0" borderId="0" xfId="0" applyFont="1" applyAlignment="1">
      <alignment vertical="center"/>
    </xf>
    <xf numFmtId="0" fontId="4" fillId="0" borderId="1" xfId="0" applyFont="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tyles" Target="styles.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pivotCacheDefinition" Target="pivotCache/pivotCacheDefinition11.xml"/><Relationship Id="rId26" Type="http://schemas.openxmlformats.org/officeDocument/2006/relationships/pivotCacheDefinition" Target="pivotCache/pivotCacheDefinition10.xml"/><Relationship Id="rId25" Type="http://schemas.openxmlformats.org/officeDocument/2006/relationships/pivotCacheDefinition" Target="pivotCache/pivotCacheDefinition9.xml"/><Relationship Id="rId24" Type="http://schemas.openxmlformats.org/officeDocument/2006/relationships/pivotCacheDefinition" Target="pivotCache/pivotCacheDefinition8.xml"/><Relationship Id="rId23" Type="http://schemas.openxmlformats.org/officeDocument/2006/relationships/pivotCacheDefinition" Target="pivotCache/pivotCacheDefinition7.xml"/><Relationship Id="rId22" Type="http://schemas.openxmlformats.org/officeDocument/2006/relationships/pivotCacheDefinition" Target="pivotCache/pivotCacheDefinition6.xml"/><Relationship Id="rId21" Type="http://schemas.openxmlformats.org/officeDocument/2006/relationships/pivotCacheDefinition" Target="pivotCache/pivotCacheDefinition5.xml"/><Relationship Id="rId20" Type="http://schemas.openxmlformats.org/officeDocument/2006/relationships/pivotCacheDefinition" Target="pivotCache/pivotCacheDefinition4.xml"/><Relationship Id="rId2" Type="http://schemas.openxmlformats.org/officeDocument/2006/relationships/worksheet" Target="worksheets/sheet2.xml"/><Relationship Id="rId19" Type="http://schemas.openxmlformats.org/officeDocument/2006/relationships/pivotCacheDefinition" Target="pivotCache/pivotCacheDefinition3.xml"/><Relationship Id="rId18" Type="http://schemas.openxmlformats.org/officeDocument/2006/relationships/pivotCacheDefinition" Target="pivotCache/pivotCacheDefinition2.xml"/><Relationship Id="rId17" Type="http://schemas.openxmlformats.org/officeDocument/2006/relationships/pivotCacheDefinition" Target="pivotCache/pivotCacheDefinition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Exit-survey-Data Analysis.xlsx]Sheet32!PivotTable30</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	Peer Support and Encouragement</a:t>
            </a:r>
          </a:p>
        </c:rich>
      </c:tx>
      <c:layout/>
      <c:overlay val="0"/>
      <c:spPr>
        <a:noFill/>
        <a:ln>
          <a:noFill/>
        </a:ln>
        <a:effectLst/>
      </c:spPr>
    </c:title>
    <c:autoTitleDeleted val="0"/>
    <c:plotArea>
      <c:layout/>
      <c:barChart>
        <c:barDir val="col"/>
        <c:grouping val="clustered"/>
        <c:varyColors val="0"/>
        <c:ser>
          <c:idx val="0"/>
          <c:order val="0"/>
          <c:tx>
            <c:strRef>
              <c:f>Sheet32!$B$3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Sheet32!$A$4:$A$11</c:f>
              <c:strCache>
                <c:ptCount val="7"/>
                <c:pt idx="0">
                  <c:v>A</c:v>
                </c:pt>
                <c:pt idx="1">
                  <c:v>SA</c:v>
                </c:pt>
                <c:pt idx="2">
                  <c:v>N</c:v>
                </c:pt>
                <c:pt idx="3">
                  <c:v>D</c:v>
                </c:pt>
                <c:pt idx="4">
                  <c:v>SD</c:v>
                </c:pt>
                <c:pt idx="5">
                  <c:v>M</c:v>
                </c:pt>
                <c:pt idx="6">
                  <c:v>N/A</c:v>
                </c:pt>
              </c:strCache>
            </c:strRef>
          </c:cat>
          <c:val>
            <c:numRef>
              <c:f>Sheet32!$B$4:$B$11</c:f>
              <c:numCache>
                <c:formatCode>General</c:formatCode>
                <c:ptCount val="7"/>
                <c:pt idx="0">
                  <c:v>401</c:v>
                </c:pt>
                <c:pt idx="1">
                  <c:v>243</c:v>
                </c:pt>
                <c:pt idx="2">
                  <c:v>95</c:v>
                </c:pt>
                <c:pt idx="3">
                  <c:v>37</c:v>
                </c:pt>
                <c:pt idx="4">
                  <c:v>25</c:v>
                </c:pt>
                <c:pt idx="5">
                  <c:v>11</c:v>
                </c:pt>
                <c:pt idx="6">
                  <c:v>7</c:v>
                </c:pt>
              </c:numCache>
            </c:numRef>
          </c:val>
        </c:ser>
        <c:dLbls>
          <c:showLegendKey val="0"/>
          <c:showVal val="1"/>
          <c:showCatName val="0"/>
          <c:showSerName val="0"/>
          <c:showPercent val="0"/>
          <c:showBubbleSize val="0"/>
        </c:dLbls>
        <c:gapWidth val="246"/>
        <c:overlap val="-28"/>
        <c:axId val="669171907"/>
        <c:axId val="673343881"/>
      </c:barChart>
      <c:catAx>
        <c:axId val="669171907"/>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IN" altLang="en-US"/>
                  <a:t>Review Field</a:t>
                </a:r>
                <a:endParaRPr lang="en-IN" altLang="en-US"/>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73343881"/>
        <c:crosses val="autoZero"/>
        <c:auto val="1"/>
        <c:lblAlgn val="ctr"/>
        <c:lblOffset val="100"/>
        <c:noMultiLvlLbl val="0"/>
      </c:catAx>
      <c:valAx>
        <c:axId val="673343881"/>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IN" altLang="en-US"/>
                  <a:t>Count</a:t>
                </a:r>
                <a:endParaRPr lang="en-IN" altLang="en-US"/>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6917190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6e895a6-adfb-4d0c-82f3-f798e8fc6cb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Exit-survey-Data Analysis.xlsx]Sheet33!PivotTable31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Being Informed About Organizational Updates</a:t>
            </a:r>
          </a:p>
        </c:rich>
      </c:tx>
      <c:layout>
        <c:manualLayout>
          <c:xMode val="edge"/>
          <c:yMode val="edge"/>
          <c:x val="0.137960526315789"/>
          <c:y val="0.113888887895478"/>
        </c:manualLayout>
      </c:layout>
      <c:overlay val="0"/>
      <c:spPr>
        <a:noFill/>
        <a:ln>
          <a:noFill/>
        </a:ln>
        <a:effectLst/>
      </c:spPr>
    </c:title>
    <c:autoTitleDeleted val="0"/>
    <c:plotArea>
      <c:layout/>
      <c:barChart>
        <c:barDir val="col"/>
        <c:grouping val="clustered"/>
        <c:varyColors val="0"/>
        <c:ser>
          <c:idx val="0"/>
          <c:order val="0"/>
          <c:tx>
            <c:strRef>
              <c:f>Sheet33!$B$3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Sheet33!$A$4:$A$11</c:f>
              <c:strCache>
                <c:ptCount val="7"/>
                <c:pt idx="0">
                  <c:v>A</c:v>
                </c:pt>
                <c:pt idx="1">
                  <c:v>SA</c:v>
                </c:pt>
                <c:pt idx="2">
                  <c:v>N</c:v>
                </c:pt>
                <c:pt idx="3">
                  <c:v>D</c:v>
                </c:pt>
                <c:pt idx="4">
                  <c:v>SD</c:v>
                </c:pt>
                <c:pt idx="5">
                  <c:v>M</c:v>
                </c:pt>
                <c:pt idx="6">
                  <c:v>N/A</c:v>
                </c:pt>
              </c:strCache>
            </c:strRef>
          </c:cat>
          <c:val>
            <c:numRef>
              <c:f>Sheet33!$B$4:$B$11</c:f>
              <c:numCache>
                <c:formatCode>General</c:formatCode>
                <c:ptCount val="7"/>
                <c:pt idx="0">
                  <c:v>401</c:v>
                </c:pt>
                <c:pt idx="1">
                  <c:v>162</c:v>
                </c:pt>
                <c:pt idx="2">
                  <c:v>130</c:v>
                </c:pt>
                <c:pt idx="3">
                  <c:v>60</c:v>
                </c:pt>
                <c:pt idx="4">
                  <c:v>50</c:v>
                </c:pt>
                <c:pt idx="5">
                  <c:v>10</c:v>
                </c:pt>
                <c:pt idx="6">
                  <c:v>6</c:v>
                </c:pt>
              </c:numCache>
            </c:numRef>
          </c:val>
        </c:ser>
        <c:dLbls>
          <c:showLegendKey val="0"/>
          <c:showVal val="1"/>
          <c:showCatName val="0"/>
          <c:showSerName val="0"/>
          <c:showPercent val="0"/>
          <c:showBubbleSize val="0"/>
        </c:dLbls>
        <c:gapWidth val="246"/>
        <c:overlap val="-28"/>
        <c:axId val="294682331"/>
        <c:axId val="979594264"/>
      </c:barChart>
      <c:catAx>
        <c:axId val="294682331"/>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IN" altLang="en-US"/>
                  <a:t>Review Field</a:t>
                </a:r>
                <a:endParaRPr lang="en-IN" altLang="en-US"/>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79594264"/>
        <c:crosses val="autoZero"/>
        <c:auto val="1"/>
        <c:lblAlgn val="ctr"/>
        <c:lblOffset val="100"/>
        <c:noMultiLvlLbl val="0"/>
      </c:catAx>
      <c:valAx>
        <c:axId val="979594264"/>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IN" altLang="en-US"/>
                  <a:t>Count</a:t>
                </a:r>
                <a:endParaRPr lang="en-IN" altLang="en-US"/>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94682331"/>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5b666dd-6249-4518-83b7-cdc78d25d89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Exit-survey-Data Analysis.xlsx]Sheet34!PivotTable32</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Access to Necessary Workplace Information</a:t>
            </a:r>
          </a:p>
        </c:rich>
      </c:tx>
      <c:layout>
        <c:manualLayout>
          <c:xMode val="edge"/>
          <c:yMode val="edge"/>
          <c:x val="0.148881578947368"/>
          <c:y val="0.110416665673256"/>
        </c:manualLayout>
      </c:layout>
      <c:overlay val="0"/>
      <c:spPr>
        <a:noFill/>
        <a:ln>
          <a:noFill/>
        </a:ln>
        <a:effectLst/>
      </c:spPr>
    </c:title>
    <c:autoTitleDeleted val="0"/>
    <c:plotArea>
      <c:layout/>
      <c:barChart>
        <c:barDir val="col"/>
        <c:grouping val="clustered"/>
        <c:varyColors val="0"/>
        <c:ser>
          <c:idx val="0"/>
          <c:order val="0"/>
          <c:tx>
            <c:strRef>
              <c:f>Sheet34!$B$3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Sheet34!$A$4:$A$11</c:f>
              <c:strCache>
                <c:ptCount val="7"/>
                <c:pt idx="0">
                  <c:v>A</c:v>
                </c:pt>
                <c:pt idx="1">
                  <c:v>D</c:v>
                </c:pt>
                <c:pt idx="2">
                  <c:v>M</c:v>
                </c:pt>
                <c:pt idx="3">
                  <c:v>N</c:v>
                </c:pt>
                <c:pt idx="4">
                  <c:v>N/A</c:v>
                </c:pt>
                <c:pt idx="5">
                  <c:v>SA</c:v>
                </c:pt>
                <c:pt idx="6">
                  <c:v>SD</c:v>
                </c:pt>
              </c:strCache>
            </c:strRef>
          </c:cat>
          <c:val>
            <c:numRef>
              <c:f>Sheet34!$B$4:$B$11</c:f>
              <c:numCache>
                <c:formatCode>General</c:formatCode>
                <c:ptCount val="7"/>
                <c:pt idx="0">
                  <c:v>436</c:v>
                </c:pt>
                <c:pt idx="1">
                  <c:v>45</c:v>
                </c:pt>
                <c:pt idx="2">
                  <c:v>11</c:v>
                </c:pt>
                <c:pt idx="3">
                  <c:v>120</c:v>
                </c:pt>
                <c:pt idx="4">
                  <c:v>3</c:v>
                </c:pt>
                <c:pt idx="5">
                  <c:v>165</c:v>
                </c:pt>
                <c:pt idx="6">
                  <c:v>39</c:v>
                </c:pt>
              </c:numCache>
            </c:numRef>
          </c:val>
        </c:ser>
        <c:dLbls>
          <c:showLegendKey val="0"/>
          <c:showVal val="1"/>
          <c:showCatName val="0"/>
          <c:showSerName val="0"/>
          <c:showPercent val="0"/>
          <c:showBubbleSize val="0"/>
        </c:dLbls>
        <c:gapWidth val="246"/>
        <c:overlap val="-28"/>
        <c:axId val="969082989"/>
        <c:axId val="444546278"/>
      </c:barChart>
      <c:catAx>
        <c:axId val="969082989"/>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IN" altLang="en-US"/>
                  <a:t>Review Field</a:t>
                </a:r>
                <a:endParaRPr lang="en-IN" altLang="en-US"/>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44546278"/>
        <c:crosses val="autoZero"/>
        <c:auto val="1"/>
        <c:lblAlgn val="ctr"/>
        <c:lblOffset val="100"/>
        <c:noMultiLvlLbl val="0"/>
      </c:catAx>
      <c:valAx>
        <c:axId val="444546278"/>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IN" altLang="en-US"/>
                  <a:t>Count</a:t>
                </a:r>
                <a:endParaRPr lang="en-IN" altLang="en-US"/>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6908298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9612e69-da0c-41b8-8012-2c78de079f67}"/>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Exit-survey-Data Analysis.xlsx]Sheet35!PivotTable33</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Value Given to Staff Feedback by Managementl</a:t>
            </a:r>
          </a:p>
        </c:rich>
      </c:tx>
      <c:layout>
        <c:manualLayout>
          <c:xMode val="edge"/>
          <c:yMode val="edge"/>
          <c:x val="0.140394736842105"/>
          <c:y val="0.110416665673256"/>
        </c:manualLayout>
      </c:layout>
      <c:overlay val="0"/>
      <c:spPr>
        <a:noFill/>
        <a:ln>
          <a:noFill/>
        </a:ln>
        <a:effectLst/>
      </c:spPr>
    </c:title>
    <c:autoTitleDeleted val="0"/>
    <c:plotArea>
      <c:layout/>
      <c:barChart>
        <c:barDir val="col"/>
        <c:grouping val="clustered"/>
        <c:varyColors val="0"/>
        <c:ser>
          <c:idx val="0"/>
          <c:order val="0"/>
          <c:tx>
            <c:strRef>
              <c:f>Sheet35!$B$3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Sheet35!$A$4:$A$11</c:f>
              <c:strCache>
                <c:ptCount val="7"/>
                <c:pt idx="0">
                  <c:v>A</c:v>
                </c:pt>
                <c:pt idx="1">
                  <c:v>SA</c:v>
                </c:pt>
                <c:pt idx="2">
                  <c:v>N</c:v>
                </c:pt>
                <c:pt idx="3">
                  <c:v>SD</c:v>
                </c:pt>
                <c:pt idx="4">
                  <c:v>D</c:v>
                </c:pt>
                <c:pt idx="5">
                  <c:v>M</c:v>
                </c:pt>
                <c:pt idx="6">
                  <c:v>N/A</c:v>
                </c:pt>
              </c:strCache>
            </c:strRef>
          </c:cat>
          <c:val>
            <c:numRef>
              <c:f>Sheet35!$B$4:$B$11</c:f>
              <c:numCache>
                <c:formatCode>General</c:formatCode>
                <c:ptCount val="7"/>
                <c:pt idx="0">
                  <c:v>400</c:v>
                </c:pt>
                <c:pt idx="1">
                  <c:v>177</c:v>
                </c:pt>
                <c:pt idx="2">
                  <c:v>116</c:v>
                </c:pt>
                <c:pt idx="3">
                  <c:v>57</c:v>
                </c:pt>
                <c:pt idx="4">
                  <c:v>52</c:v>
                </c:pt>
                <c:pt idx="5">
                  <c:v>10</c:v>
                </c:pt>
                <c:pt idx="6">
                  <c:v>7</c:v>
                </c:pt>
              </c:numCache>
            </c:numRef>
          </c:val>
        </c:ser>
        <c:dLbls>
          <c:showLegendKey val="0"/>
          <c:showVal val="1"/>
          <c:showCatName val="0"/>
          <c:showSerName val="0"/>
          <c:showPercent val="0"/>
          <c:showBubbleSize val="0"/>
        </c:dLbls>
        <c:gapWidth val="246"/>
        <c:overlap val="-28"/>
        <c:axId val="150447031"/>
        <c:axId val="187156625"/>
      </c:barChart>
      <c:catAx>
        <c:axId val="150447031"/>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IN" altLang="en-US"/>
                  <a:t>Review Field</a:t>
                </a:r>
                <a:endParaRPr lang="en-IN" altLang="en-US"/>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87156625"/>
        <c:crosses val="autoZero"/>
        <c:auto val="1"/>
        <c:lblAlgn val="ctr"/>
        <c:lblOffset val="100"/>
        <c:noMultiLvlLbl val="0"/>
      </c:catAx>
      <c:valAx>
        <c:axId val="187156625"/>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IN" altLang="en-US"/>
                  <a:t>Count</a:t>
                </a:r>
                <a:endParaRPr lang="en-IN" altLang="en-US"/>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50447031"/>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4881a32-cf10-44cf-87b8-af1a805dd06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Exit-survey-Data Analysis.xlsx]Sheet36!PivotTable34</c:name>
    <c:fmtId val="0"/>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t>	</a:t>
            </a:r>
            <a:r>
              <a:rPr b="1"/>
              <a:t>Clarity and Effectiveness of Internal Communication</a:t>
            </a:r>
            <a:endParaRPr b="1"/>
          </a:p>
        </c:rich>
      </c:tx>
      <c:layout/>
      <c:overlay val="0"/>
      <c:spPr>
        <a:noFill/>
        <a:ln>
          <a:noFill/>
        </a:ln>
        <a:effectLst/>
      </c:spPr>
    </c:title>
    <c:autoTitleDeleted val="0"/>
    <c:plotArea>
      <c:layout/>
      <c:barChart>
        <c:barDir val="col"/>
        <c:grouping val="clustered"/>
        <c:varyColors val="0"/>
        <c:ser>
          <c:idx val="0"/>
          <c:order val="0"/>
          <c:tx>
            <c:strRef>
              <c:f>Sheet36!$B$3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Sheet36!$A$4:$A$11</c:f>
              <c:strCache>
                <c:ptCount val="7"/>
                <c:pt idx="0">
                  <c:v>A</c:v>
                </c:pt>
                <c:pt idx="1">
                  <c:v>SA</c:v>
                </c:pt>
                <c:pt idx="2">
                  <c:v>N</c:v>
                </c:pt>
                <c:pt idx="3">
                  <c:v>D</c:v>
                </c:pt>
                <c:pt idx="4">
                  <c:v>SD</c:v>
                </c:pt>
                <c:pt idx="5">
                  <c:v>M</c:v>
                </c:pt>
                <c:pt idx="6">
                  <c:v>N/A</c:v>
                </c:pt>
              </c:strCache>
            </c:strRef>
          </c:cat>
          <c:val>
            <c:numRef>
              <c:f>Sheet36!$B$4:$B$11</c:f>
              <c:numCache>
                <c:formatCode>General</c:formatCode>
                <c:ptCount val="7"/>
                <c:pt idx="0">
                  <c:v>399</c:v>
                </c:pt>
                <c:pt idx="1">
                  <c:v>144</c:v>
                </c:pt>
                <c:pt idx="2">
                  <c:v>129</c:v>
                </c:pt>
                <c:pt idx="3">
                  <c:v>76</c:v>
                </c:pt>
                <c:pt idx="4">
                  <c:v>58</c:v>
                </c:pt>
                <c:pt idx="5">
                  <c:v>8</c:v>
                </c:pt>
                <c:pt idx="6">
                  <c:v>6</c:v>
                </c:pt>
              </c:numCache>
            </c:numRef>
          </c:val>
        </c:ser>
        <c:dLbls>
          <c:showLegendKey val="0"/>
          <c:showVal val="1"/>
          <c:showCatName val="0"/>
          <c:showSerName val="0"/>
          <c:showPercent val="0"/>
          <c:showBubbleSize val="0"/>
        </c:dLbls>
        <c:gapWidth val="219"/>
        <c:overlap val="-27"/>
        <c:axId val="249207829"/>
        <c:axId val="107543890"/>
      </c:barChart>
      <c:catAx>
        <c:axId val="249207829"/>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IN" altLang="en-US"/>
                  <a:t>Review field</a:t>
                </a:r>
                <a:endParaRPr lang="en-IN" altLang="en-US"/>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7543890"/>
        <c:crosses val="autoZero"/>
        <c:auto val="1"/>
        <c:lblAlgn val="ctr"/>
        <c:lblOffset val="100"/>
        <c:noMultiLvlLbl val="0"/>
      </c:catAx>
      <c:valAx>
        <c:axId val="10754389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IN" altLang="en-US"/>
                  <a:t>Count</a:t>
                </a:r>
                <a:endParaRPr lang="en-IN" altLang="en-US"/>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4920782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8435b90-c28a-42e3-94f0-7b27cc0fb3f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Exit-survey-Data Analysis.xlsx]Sheet1!PivotTable1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Gender Distribution among Employees</a:t>
            </a:r>
          </a:p>
        </c:rich>
      </c:tx>
      <c:layout>
        <c:manualLayout>
          <c:xMode val="edge"/>
          <c:yMode val="edge"/>
          <c:x val="0.177302631578947"/>
          <c:y val="0.105555554562145"/>
        </c:manualLayout>
      </c:layout>
      <c:overlay val="0"/>
      <c:spPr>
        <a:noFill/>
        <a:ln>
          <a:noFill/>
        </a:ln>
        <a:effectLst/>
      </c:spPr>
    </c:title>
    <c:autoTitleDeleted val="0"/>
    <c:plotArea>
      <c:layout/>
      <c:pieChart>
        <c:varyColors val="1"/>
        <c:ser>
          <c:idx val="0"/>
          <c:order val="0"/>
          <c:tx>
            <c:strRef>
              <c:f>Sheet1!$B$3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Lbls>
            <c:dLbl>
              <c:idx val="0"/>
              <c:layout>
                <c:manualLayout>
                  <c:x val="0.0635770876283328"/>
                  <c:y val="-0.0795577496243873"/>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56823553685164"/>
                  <c:y val="-0.0398866862549663"/>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Sheet1!$A$4:$A$6</c:f>
              <c:strCache>
                <c:ptCount val="2"/>
                <c:pt idx="0">
                  <c:v>Female</c:v>
                </c:pt>
                <c:pt idx="1">
                  <c:v>Male</c:v>
                </c:pt>
              </c:strCache>
            </c:strRef>
          </c:cat>
          <c:val>
            <c:numRef>
              <c:f>Sheet1!$B$4:$B$6</c:f>
              <c:numCache>
                <c:formatCode>General</c:formatCode>
                <c:ptCount val="2"/>
                <c:pt idx="0">
                  <c:v>573</c:v>
                </c:pt>
                <c:pt idx="1">
                  <c:v>225</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Exit-survey-Data Analysis.xlsx]Sheet2!PivotTable2</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ltLang="en-US"/>
              <a:t>Age Group</a:t>
            </a:r>
            <a:endParaRPr lang="en-IN" altLang="en-US"/>
          </a:p>
        </c:rich>
      </c:tx>
      <c:layout/>
      <c:overlay val="0"/>
      <c:spPr>
        <a:noFill/>
        <a:ln>
          <a:noFill/>
        </a:ln>
        <a:effectLst/>
      </c:spPr>
    </c:title>
    <c:autoTitleDeleted val="0"/>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Sheet2!$A$4:$A$15</c:f>
              <c:strCache>
                <c:ptCount val="11"/>
                <c:pt idx="0">
                  <c:v>61 or older</c:v>
                </c:pt>
                <c:pt idx="1">
                  <c:v>56-60</c:v>
                </c:pt>
                <c:pt idx="2">
                  <c:v>51-55</c:v>
                </c:pt>
                <c:pt idx="3">
                  <c:v>46-50</c:v>
                </c:pt>
                <c:pt idx="4">
                  <c:v>41-45</c:v>
                </c:pt>
                <c:pt idx="5">
                  <c:v>26-30</c:v>
                </c:pt>
                <c:pt idx="6">
                  <c:v>36-40</c:v>
                </c:pt>
                <c:pt idx="7">
                  <c:v>21-25</c:v>
                </c:pt>
                <c:pt idx="8">
                  <c:v>31-35</c:v>
                </c:pt>
                <c:pt idx="9">
                  <c:v>61Not StatedorNot Statedolder</c:v>
                </c:pt>
                <c:pt idx="10">
                  <c:v>20 or younger</c:v>
                </c:pt>
              </c:strCache>
            </c:strRef>
          </c:cat>
          <c:val>
            <c:numRef>
              <c:f>Sheet2!$B$4:$B$15</c:f>
              <c:numCache>
                <c:formatCode>General</c:formatCode>
                <c:ptCount val="11"/>
                <c:pt idx="0">
                  <c:v>210</c:v>
                </c:pt>
                <c:pt idx="1">
                  <c:v>174</c:v>
                </c:pt>
                <c:pt idx="2">
                  <c:v>103</c:v>
                </c:pt>
                <c:pt idx="3">
                  <c:v>63</c:v>
                </c:pt>
                <c:pt idx="4">
                  <c:v>61</c:v>
                </c:pt>
                <c:pt idx="5">
                  <c:v>57</c:v>
                </c:pt>
                <c:pt idx="6">
                  <c:v>51</c:v>
                </c:pt>
                <c:pt idx="7">
                  <c:v>40</c:v>
                </c:pt>
                <c:pt idx="8">
                  <c:v>39</c:v>
                </c:pt>
                <c:pt idx="9">
                  <c:v>12</c:v>
                </c:pt>
                <c:pt idx="10">
                  <c:v>1</c:v>
                </c:pt>
              </c:numCache>
            </c:numRef>
          </c:val>
        </c:ser>
        <c:dLbls>
          <c:showLegendKey val="0"/>
          <c:showVal val="1"/>
          <c:showCatName val="0"/>
          <c:showSerName val="0"/>
          <c:showPercent val="0"/>
          <c:showBubbleSize val="0"/>
        </c:dLbls>
        <c:gapWidth val="246"/>
        <c:overlap val="-28"/>
        <c:axId val="66951489"/>
        <c:axId val="331375237"/>
      </c:barChart>
      <c:catAx>
        <c:axId val="66951489"/>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IN" altLang="en-US"/>
                  <a:t>Age group</a:t>
                </a:r>
                <a:endParaRPr lang="en-IN" altLang="en-US"/>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31375237"/>
        <c:crosses val="autoZero"/>
        <c:auto val="1"/>
        <c:lblAlgn val="ctr"/>
        <c:lblOffset val="100"/>
        <c:noMultiLvlLbl val="0"/>
      </c:catAx>
      <c:valAx>
        <c:axId val="331375237"/>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IN" altLang="en-US"/>
                  <a:t>Count</a:t>
                </a:r>
                <a:endParaRPr lang="en-IN" altLang="en-US"/>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695148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Exit-survey-Data Analysis.xlsx]Sheet3!PivotTable3</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Aboriginal Identity Representation</a:t>
            </a:r>
          </a:p>
        </c:rich>
      </c:tx>
      <c:layout/>
      <c:overlay val="0"/>
      <c:spPr>
        <a:noFill/>
        <a:ln>
          <a:noFill/>
        </a:ln>
        <a:effectLst/>
      </c:spPr>
    </c:title>
    <c:autoTitleDeleted val="0"/>
    <c:plotArea>
      <c:layout/>
      <c:pieChart>
        <c:varyColors val="1"/>
        <c:ser>
          <c:idx val="0"/>
          <c:order val="0"/>
          <c:tx>
            <c:strRef>
              <c:f>Sheet3!$B$3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Lbls>
            <c:dLbl>
              <c:idx val="0"/>
              <c:layout>
                <c:manualLayout>
                  <c:x val="0.0963387726162304"/>
                  <c:y val="-0.054778840160700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438498305829295"/>
                  <c:y val="0.016667734987404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N/A</c:v>
                </c:pt>
                <c:pt idx="1">
                  <c:v>NO</c:v>
                </c:pt>
                <c:pt idx="2">
                  <c:v>Yes</c:v>
                </c:pt>
              </c:strCache>
            </c:strRef>
          </c:cat>
          <c:val>
            <c:numRef>
              <c:f>Sheet3!$B$4:$B$7</c:f>
              <c:numCache>
                <c:formatCode>General</c:formatCode>
                <c:ptCount val="3"/>
                <c:pt idx="0">
                  <c:v>446</c:v>
                </c:pt>
                <c:pt idx="1">
                  <c:v>60</c:v>
                </c:pt>
                <c:pt idx="2">
                  <c:v>16</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Exit-survey-Data Analysis.xlsx]Sheet4!PivotTable4</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ltLang="en-US"/>
              <a:t>Disability check</a:t>
            </a:r>
            <a:endParaRPr lang="en-IN" altLang="en-US"/>
          </a:p>
        </c:rich>
      </c:tx>
      <c:layout>
        <c:manualLayout>
          <c:xMode val="edge"/>
          <c:yMode val="edge"/>
          <c:x val="0.350069874226393"/>
          <c:y val="0.113513512546952"/>
        </c:manualLayout>
      </c:layout>
      <c:overlay val="0"/>
      <c:spPr>
        <a:noFill/>
        <a:ln>
          <a:noFill/>
        </a:ln>
        <a:effectLst/>
      </c:spPr>
    </c:title>
    <c:autoTitleDeleted val="0"/>
    <c:plotArea>
      <c:layout/>
      <c:pieChart>
        <c:varyColors val="1"/>
        <c:ser>
          <c:idx val="0"/>
          <c:order val="0"/>
          <c:tx>
            <c:strRef>
              <c:f>Sheet4!$B$3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Lbls>
            <c:dLbl>
              <c:idx val="0"/>
              <c:layout>
                <c:manualLayout>
                  <c:x val="0.150595687291611"/>
                  <c:y val="0.007126972428503"/>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12234905981933"/>
                  <c:y val="-0.0560924115842536"/>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344181556238222"/>
                  <c:y val="-0.10556841645987"/>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N/A</c:v>
                </c:pt>
                <c:pt idx="1">
                  <c:v>NO</c:v>
                </c:pt>
                <c:pt idx="2">
                  <c:v>Yes</c:v>
                </c:pt>
              </c:strCache>
            </c:strRef>
          </c:cat>
          <c:val>
            <c:numRef>
              <c:f>Sheet4!$B$4:$B$7</c:f>
              <c:numCache>
                <c:formatCode>General</c:formatCode>
                <c:ptCount val="3"/>
                <c:pt idx="0">
                  <c:v>435</c:v>
                </c:pt>
                <c:pt idx="1">
                  <c:v>65</c:v>
                </c:pt>
                <c:pt idx="2">
                  <c:v>23</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Exit-survey-Data Analysis.xlsx]Sheet5!PivotTable5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Non-English Speaking Background</a:t>
            </a:r>
          </a:p>
        </c:rich>
      </c:tx>
      <c:layout>
        <c:manualLayout>
          <c:xMode val="edge"/>
          <c:yMode val="edge"/>
          <c:x val="0.181005504902804"/>
          <c:y val="0.0555555545621448"/>
        </c:manualLayout>
      </c:layout>
      <c:overlay val="0"/>
      <c:spPr>
        <a:noFill/>
        <a:ln>
          <a:noFill/>
        </a:ln>
        <a:effectLst/>
      </c:spPr>
    </c:title>
    <c:autoTitleDeleted val="0"/>
    <c:plotArea>
      <c:layout/>
      <c:pieChart>
        <c:varyColors val="1"/>
        <c:ser>
          <c:idx val="0"/>
          <c:order val="0"/>
          <c:tx>
            <c:strRef>
              <c:f>Sheet5!$B$3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Lbls>
            <c:dLbl>
              <c:idx val="0"/>
              <c:layout>
                <c:manualLayout>
                  <c:x val="0.111643709499394"/>
                  <c:y val="0.00875719140324004"/>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652967684180142"/>
                  <c:y val="-0.0834091707059596"/>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196282459431063"/>
                  <c:y val="-0.0338980222600095"/>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Sheet5!$A$4:$A$7</c:f>
              <c:strCache>
                <c:ptCount val="3"/>
                <c:pt idx="0">
                  <c:v>N/A</c:v>
                </c:pt>
                <c:pt idx="1">
                  <c:v>NO</c:v>
                </c:pt>
                <c:pt idx="2">
                  <c:v>Yes</c:v>
                </c:pt>
              </c:strCache>
            </c:strRef>
          </c:cat>
          <c:val>
            <c:numRef>
              <c:f>Sheet5!$B$4:$B$7</c:f>
              <c:numCache>
                <c:formatCode>General</c:formatCode>
                <c:ptCount val="3"/>
                <c:pt idx="0">
                  <c:v>429</c:v>
                </c:pt>
                <c:pt idx="1">
                  <c:v>60</c:v>
                </c:pt>
                <c:pt idx="2">
                  <c:v>32</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Exit-survey-Data Analysis.xlsx]Sheet6!PivotTable6</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South Sea Islander Identification</a:t>
            </a:r>
          </a:p>
        </c:rich>
      </c:tx>
      <c:layout>
        <c:manualLayout>
          <c:xMode val="edge"/>
          <c:yMode val="edge"/>
          <c:x val="0.284013157612399"/>
          <c:y val="0.122222221228811"/>
        </c:manualLayout>
      </c:layout>
      <c:overlay val="0"/>
      <c:spPr>
        <a:noFill/>
        <a:ln>
          <a:noFill/>
        </a:ln>
        <a:effectLst/>
      </c:spPr>
    </c:title>
    <c:autoTitleDeleted val="0"/>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N/A</c:v>
                </c:pt>
                <c:pt idx="1">
                  <c:v>NO</c:v>
                </c:pt>
                <c:pt idx="2">
                  <c:v>Yes</c:v>
                </c:pt>
              </c:strCache>
            </c:strRef>
          </c:cat>
          <c:val>
            <c:numRef>
              <c:f>Sheet6!$B$4:$B$7</c:f>
              <c:numCache>
                <c:formatCode>General</c:formatCode>
                <c:ptCount val="3"/>
                <c:pt idx="0">
                  <c:v>449</c:v>
                </c:pt>
                <c:pt idx="1">
                  <c:v>64</c:v>
                </c:pt>
                <c:pt idx="2">
                  <c:v>7</c:v>
                </c:pt>
              </c:numCache>
            </c:numRef>
          </c:val>
        </c:ser>
        <c:dLbls>
          <c:showLegendKey val="0"/>
          <c:showVal val="1"/>
          <c:showCatName val="0"/>
          <c:showSerName val="0"/>
          <c:showPercent val="0"/>
          <c:showBubbleSize val="0"/>
        </c:dLbls>
        <c:gapWidth val="140"/>
        <c:overlap val="-40"/>
        <c:axId val="129685308"/>
        <c:axId val="29519782"/>
      </c:barChart>
      <c:catAx>
        <c:axId val="129685308"/>
        <c:scaling>
          <c:orientation val="minMax"/>
        </c:scaling>
        <c:delete val="0"/>
        <c:axPos val="l"/>
        <c:title>
          <c:layout>
            <c:manualLayout>
              <c:xMode val="edge"/>
              <c:yMode val="edge"/>
              <c:x val="0.35289473627743"/>
              <c:y val="0.425740740244035"/>
            </c:manualLayout>
          </c:layout>
          <c:overlay val="0"/>
          <c:spPr>
            <a:noFill/>
            <a:ln>
              <a:noFill/>
            </a:ln>
            <a:effectLst/>
          </c:spPr>
          <c:txPr>
            <a:bodyPr rot="-540000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9519782"/>
        <c:crosses val="autoZero"/>
        <c:auto val="1"/>
        <c:lblAlgn val="ctr"/>
        <c:lblOffset val="100"/>
        <c:noMultiLvlLbl val="0"/>
      </c:catAx>
      <c:valAx>
        <c:axId val="29519782"/>
        <c:scaling>
          <c:orientation val="minMax"/>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IN" altLang="en-US"/>
                  <a:t>COUNT</a:t>
                </a:r>
                <a:endParaRPr lang="en-IN" altLang="en-US"/>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2968530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311150</xdr:colOff>
      <xdr:row>9</xdr:row>
      <xdr:rowOff>107950</xdr:rowOff>
    </xdr:from>
    <xdr:to>
      <xdr:col>11</xdr:col>
      <xdr:colOff>469900</xdr:colOff>
      <xdr:row>25</xdr:row>
      <xdr:rowOff>107950</xdr:rowOff>
    </xdr:to>
    <xdr:graphicFrame>
      <xdr:nvGraphicFramePr>
        <xdr:cNvPr id="2" name="Chart 1"/>
        <xdr:cNvGraphicFramePr/>
      </xdr:nvGraphicFramePr>
      <xdr:xfrm>
        <a:off x="4486910" y="1685290"/>
        <a:ext cx="4852670" cy="2804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120650</xdr:colOff>
      <xdr:row>9</xdr:row>
      <xdr:rowOff>107950</xdr:rowOff>
    </xdr:from>
    <xdr:to>
      <xdr:col>11</xdr:col>
      <xdr:colOff>279400</xdr:colOff>
      <xdr:row>25</xdr:row>
      <xdr:rowOff>107950</xdr:rowOff>
    </xdr:to>
    <xdr:graphicFrame>
      <xdr:nvGraphicFramePr>
        <xdr:cNvPr id="2" name="Chart 1"/>
        <xdr:cNvGraphicFramePr/>
      </xdr:nvGraphicFramePr>
      <xdr:xfrm>
        <a:off x="4494530" y="1685290"/>
        <a:ext cx="4852670" cy="2804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4</xdr:col>
      <xdr:colOff>539750</xdr:colOff>
      <xdr:row>9</xdr:row>
      <xdr:rowOff>107950</xdr:rowOff>
    </xdr:from>
    <xdr:to>
      <xdr:col>12</xdr:col>
      <xdr:colOff>31750</xdr:colOff>
      <xdr:row>25</xdr:row>
      <xdr:rowOff>107950</xdr:rowOff>
    </xdr:to>
    <xdr:graphicFrame>
      <xdr:nvGraphicFramePr>
        <xdr:cNvPr id="2" name="Chart 1"/>
        <xdr:cNvGraphicFramePr/>
      </xdr:nvGraphicFramePr>
      <xdr:xfrm>
        <a:off x="4486910" y="1685290"/>
        <a:ext cx="4856480" cy="2804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5</xdr:col>
      <xdr:colOff>349250</xdr:colOff>
      <xdr:row>9</xdr:row>
      <xdr:rowOff>107950</xdr:rowOff>
    </xdr:from>
    <xdr:to>
      <xdr:col>12</xdr:col>
      <xdr:colOff>508000</xdr:colOff>
      <xdr:row>25</xdr:row>
      <xdr:rowOff>107950</xdr:rowOff>
    </xdr:to>
    <xdr:graphicFrame>
      <xdr:nvGraphicFramePr>
        <xdr:cNvPr id="2" name="Chart 1"/>
        <xdr:cNvGraphicFramePr/>
      </xdr:nvGraphicFramePr>
      <xdr:xfrm>
        <a:off x="4502150" y="1685290"/>
        <a:ext cx="4852670" cy="2804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6</xdr:col>
      <xdr:colOff>482600</xdr:colOff>
      <xdr:row>9</xdr:row>
      <xdr:rowOff>107950</xdr:rowOff>
    </xdr:from>
    <xdr:to>
      <xdr:col>13</xdr:col>
      <xdr:colOff>641350</xdr:colOff>
      <xdr:row>25</xdr:row>
      <xdr:rowOff>107950</xdr:rowOff>
    </xdr:to>
    <xdr:graphicFrame>
      <xdr:nvGraphicFramePr>
        <xdr:cNvPr id="2" name="Chart 1"/>
        <xdr:cNvGraphicFramePr/>
      </xdr:nvGraphicFramePr>
      <xdr:xfrm>
        <a:off x="6410960" y="1685290"/>
        <a:ext cx="4852670" cy="2804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3</xdr:col>
      <xdr:colOff>264160</xdr:colOff>
      <xdr:row>7</xdr:row>
      <xdr:rowOff>83185</xdr:rowOff>
    </xdr:from>
    <xdr:to>
      <xdr:col>8</xdr:col>
      <xdr:colOff>434975</xdr:colOff>
      <xdr:row>22</xdr:row>
      <xdr:rowOff>144780</xdr:rowOff>
    </xdr:to>
    <xdr:graphicFrame>
      <xdr:nvGraphicFramePr>
        <xdr:cNvPr id="2" name="Chart 1"/>
        <xdr:cNvGraphicFramePr/>
      </xdr:nvGraphicFramePr>
      <xdr:xfrm>
        <a:off x="3098800" y="1310005"/>
        <a:ext cx="3828415" cy="269049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3</xdr:col>
      <xdr:colOff>424180</xdr:colOff>
      <xdr:row>3</xdr:row>
      <xdr:rowOff>99060</xdr:rowOff>
    </xdr:from>
    <xdr:to>
      <xdr:col>10</xdr:col>
      <xdr:colOff>556260</xdr:colOff>
      <xdr:row>19</xdr:row>
      <xdr:rowOff>38100</xdr:rowOff>
    </xdr:to>
    <xdr:graphicFrame>
      <xdr:nvGraphicFramePr>
        <xdr:cNvPr id="2" name="Chart 1"/>
        <xdr:cNvGraphicFramePr/>
      </xdr:nvGraphicFramePr>
      <xdr:xfrm>
        <a:off x="4241800" y="62484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3</xdr:col>
      <xdr:colOff>5080</xdr:colOff>
      <xdr:row>7</xdr:row>
      <xdr:rowOff>30480</xdr:rowOff>
    </xdr:from>
    <xdr:to>
      <xdr:col>8</xdr:col>
      <xdr:colOff>457200</xdr:colOff>
      <xdr:row>23</xdr:row>
      <xdr:rowOff>7620</xdr:rowOff>
    </xdr:to>
    <xdr:graphicFrame>
      <xdr:nvGraphicFramePr>
        <xdr:cNvPr id="2" name="Chart 1"/>
        <xdr:cNvGraphicFramePr/>
      </xdr:nvGraphicFramePr>
      <xdr:xfrm>
        <a:off x="3098800" y="1257300"/>
        <a:ext cx="4109720" cy="27813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3</xdr:col>
      <xdr:colOff>127000</xdr:colOff>
      <xdr:row>7</xdr:row>
      <xdr:rowOff>30480</xdr:rowOff>
    </xdr:from>
    <xdr:to>
      <xdr:col>7</xdr:col>
      <xdr:colOff>625475</xdr:colOff>
      <xdr:row>23</xdr:row>
      <xdr:rowOff>45720</xdr:rowOff>
    </xdr:to>
    <xdr:graphicFrame>
      <xdr:nvGraphicFramePr>
        <xdr:cNvPr id="2" name="Chart 1"/>
        <xdr:cNvGraphicFramePr/>
      </xdr:nvGraphicFramePr>
      <xdr:xfrm>
        <a:off x="3098800" y="1257300"/>
        <a:ext cx="3180715" cy="2819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3</xdr:col>
      <xdr:colOff>393700</xdr:colOff>
      <xdr:row>6</xdr:row>
      <xdr:rowOff>0</xdr:rowOff>
    </xdr:from>
    <xdr:to>
      <xdr:col>9</xdr:col>
      <xdr:colOff>61595</xdr:colOff>
      <xdr:row>22</xdr:row>
      <xdr:rowOff>144780</xdr:rowOff>
    </xdr:to>
    <xdr:graphicFrame>
      <xdr:nvGraphicFramePr>
        <xdr:cNvPr id="3" name="Chart 2"/>
        <xdr:cNvGraphicFramePr/>
      </xdr:nvGraphicFramePr>
      <xdr:xfrm>
        <a:off x="3403600" y="1051560"/>
        <a:ext cx="3691255" cy="29489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1</xdr:col>
      <xdr:colOff>1414780</xdr:colOff>
      <xdr:row>7</xdr:row>
      <xdr:rowOff>30480</xdr:rowOff>
    </xdr:from>
    <xdr:to>
      <xdr:col>8</xdr:col>
      <xdr:colOff>15240</xdr:colOff>
      <xdr:row>22</xdr:row>
      <xdr:rowOff>144780</xdr:rowOff>
    </xdr:to>
    <xdr:graphicFrame>
      <xdr:nvGraphicFramePr>
        <xdr:cNvPr id="2" name="Chart 1"/>
        <xdr:cNvGraphicFramePr/>
      </xdr:nvGraphicFramePr>
      <xdr:xfrm>
        <a:off x="3098800" y="1257300"/>
        <a:ext cx="51308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862.8549652778" refreshedBy="dilsh" recordCount="821">
  <cacheSource type="worksheet">
    <worksheetSource ref="AK1:AK1048576" sheet="Employ-Exit-survey-Data"/>
  </cacheSource>
  <cacheFields count="1">
    <cacheField name="Peer support" numFmtId="0">
      <sharedItems containsBlank="1" count="8">
        <s v="A"/>
        <s v="N"/>
        <s v="N/A"/>
        <s v="SA"/>
        <s v="D"/>
        <s v="SD"/>
        <s v="M"/>
        <m/>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5862.8632523148" refreshedBy="dilsh" recordCount="821">
  <cacheSource type="worksheet">
    <worksheetSource ref="AU1:AU1048576" sheet="Employ-Exit-survey-Data"/>
  </cacheSource>
  <cacheFields count="1">
    <cacheField name="Kept informed" numFmtId="0">
      <sharedItems containsBlank="1" count="8">
        <s v="N"/>
        <s v="A"/>
        <s v="D"/>
        <s v="SA"/>
        <s v="SD"/>
        <s v="M"/>
        <s v="N/A"/>
        <m/>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5" refreshedVersion="5" minRefreshableVersion="3" refreshedDate="45862.8657060185" refreshedBy="dilsh" recordCount="821">
  <cacheSource type="worksheet">
    <worksheetSource ref="AT1:AT1048576" sheet="Employ-Exit-survey-Data"/>
  </cacheSource>
  <cacheFields count="1">
    <cacheField name="Information" numFmtId="0">
      <sharedItems containsBlank="1" count="8">
        <s v="A"/>
        <s v="N"/>
        <s v="D"/>
        <s v="SD"/>
        <s v="SA"/>
        <s v="M"/>
        <s v="N/A"/>
        <m/>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5" refreshedVersion="5" minRefreshableVersion="3" refreshedDate="45862.868912037" refreshedBy="dilsh" recordCount="821">
  <cacheSource type="worksheet">
    <worksheetSource ref="AS1:AS1048576" sheet="Employ-Exit-survey-Data"/>
  </cacheSource>
  <cacheFields count="1">
    <cacheField name="My say" numFmtId="0">
      <sharedItems containsBlank="1" count="8">
        <s v="A"/>
        <s v="D"/>
        <s v="SA"/>
        <s v="SD"/>
        <s v="N"/>
        <s v="M"/>
        <s v="N/A"/>
        <m/>
      </sharedItems>
    </cacheField>
  </cacheFields>
</pivotCacheDefinition>
</file>

<file path=xl/pivotCache/pivotCacheDefinition5.xml><?xml version="1.0" encoding="utf-8"?>
<pivotCacheDefinition xmlns="http://schemas.openxmlformats.org/spreadsheetml/2006/main" xmlns:r="http://schemas.openxmlformats.org/officeDocument/2006/relationships" r:id="rId1" createdVersion="5" refreshedVersion="5" minRefreshableVersion="3" refreshedDate="45862.874537037" refreshedBy="dilsh" recordCount="822">
  <cacheSource type="worksheet">
    <worksheetSource ref="AR1:AR1048576" sheet="Employ-Exit-survey-Data"/>
  </cacheSource>
  <cacheFields count="1">
    <cacheField name="Communication" numFmtId="0">
      <sharedItems containsBlank="1" count="8">
        <s v="N"/>
        <s v="A"/>
        <s v="D"/>
        <s v="SD"/>
        <s v="SA"/>
        <s v="M"/>
        <s v="N/A"/>
        <m/>
      </sharedItems>
    </cacheField>
  </cacheFields>
</pivotCacheDefinition>
</file>

<file path=xl/pivotCache/pivotCacheDefinition6.xml><?xml version="1.0" encoding="utf-8"?>
<pivotCacheDefinition xmlns="http://schemas.openxmlformats.org/spreadsheetml/2006/main" xmlns:r="http://schemas.openxmlformats.org/officeDocument/2006/relationships" r:id="rId1" createdVersion="5" refreshedVersion="5" minRefreshableVersion="3" refreshedDate="45863.4361111111" refreshedBy="dilsh" recordCount="821">
  <cacheSource type="worksheet">
    <worksheetSource ref="AX1:AX1048576" sheet="Employ-Exit-survey-Data"/>
  </cacheSource>
  <cacheFields count="1">
    <cacheField name="Gender" numFmtId="0">
      <sharedItems containsBlank="1" count="3">
        <s v="Male"/>
        <s v="Female"/>
        <m/>
      </sharedItems>
    </cacheField>
  </cacheFields>
</pivotCacheDefinition>
</file>

<file path=xl/pivotCache/pivotCacheDefinition7.xml><?xml version="1.0" encoding="utf-8"?>
<pivotCacheDefinition xmlns="http://schemas.openxmlformats.org/spreadsheetml/2006/main" xmlns:r="http://schemas.openxmlformats.org/officeDocument/2006/relationships" r:id="rId1" createdVersion="5" refreshedVersion="5" minRefreshableVersion="3" refreshedDate="45863.4447569444" refreshedBy="dilsh" recordCount="822">
  <cacheSource type="worksheet">
    <worksheetSource ref="AY1:AY1048576" sheet="Employ-Exit-survey-Data"/>
  </cacheSource>
  <cacheFields count="1">
    <cacheField name="Age" numFmtId="0">
      <sharedItems containsBlank="1" count="12">
        <s v="56-60"/>
        <s v="61 or older"/>
        <s v="36-40"/>
        <s v="41-45"/>
        <s v="31-35"/>
        <s v="46-50"/>
        <s v="61Not StatedorNot Statedolder"/>
        <s v="51-55"/>
        <s v="21-25"/>
        <s v="26-30"/>
        <m/>
        <s v="20 or younger"/>
      </sharedItems>
    </cacheField>
  </cacheFields>
</pivotCacheDefinition>
</file>

<file path=xl/pivotCache/pivotCacheDefinition8.xml><?xml version="1.0" encoding="utf-8"?>
<pivotCacheDefinition xmlns="http://schemas.openxmlformats.org/spreadsheetml/2006/main" xmlns:r="http://schemas.openxmlformats.org/officeDocument/2006/relationships" r:id="rId1" createdVersion="5" refreshedVersion="5" minRefreshableVersion="3" refreshedDate="45863.4478356481" refreshedBy="dilsh" recordCount="551">
  <cacheSource type="worksheet">
    <worksheetSource ref="AZ1:AZ1048576" sheet="Employ-Exit-survey-Data"/>
  </cacheSource>
  <cacheFields count="1">
    <cacheField name="Aboriginal" numFmtId="0">
      <sharedItems containsBlank="1" count="4">
        <s v="NO"/>
        <s v="N/A"/>
        <s v="Yes"/>
        <m/>
      </sharedItems>
    </cacheField>
  </cacheFields>
</pivotCacheDefinition>
</file>

<file path=xl/pivotCache/pivotCacheDefinition9.xml><?xml version="1.0" encoding="utf-8"?>
<pivotCacheDefinition xmlns="http://schemas.openxmlformats.org/spreadsheetml/2006/main" xmlns:r="http://schemas.openxmlformats.org/officeDocument/2006/relationships" r:id="rId1" createdVersion="5" refreshedVersion="5" minRefreshableVersion="3" refreshedDate="45863.4517361111" refreshedBy="dilsh" recordCount="553">
  <cacheSource type="worksheet">
    <worksheetSource ref="BC1:BC1048576" sheet="Employ-Exit-survey-Data"/>
  </cacheSource>
  <cacheFields count="1">
    <cacheField name="Disability" numFmtId="0">
      <sharedItems containsBlank="1" count="4">
        <s v="NO"/>
        <s v="N/A"/>
        <s v="Yes"/>
        <m/>
      </sharedItems>
    </cacheField>
  </cacheFields>
</pivotCacheDefinition>
</file>

<file path=xl/pivotCache/pivotCacheDefinition10.xml><?xml version="1.0" encoding="utf-8"?>
<pivotCacheDefinition xmlns="http://schemas.openxmlformats.org/spreadsheetml/2006/main" xmlns:r="http://schemas.openxmlformats.org/officeDocument/2006/relationships" r:id="rId1" createdVersion="5" refreshedVersion="5" minRefreshableVersion="3" refreshedDate="45863.4555555556" refreshedBy="dilsh" recordCount="549">
  <cacheSource type="worksheet">
    <worksheetSource ref="BD1:BD1048576" sheet="Employ-Exit-survey-Data"/>
  </cacheSource>
  <cacheFields count="1">
    <cacheField name="NESB" numFmtId="0">
      <sharedItems containsBlank="1" count="4">
        <s v="Yes"/>
        <s v="N/A"/>
        <s v="NO"/>
        <m/>
      </sharedItems>
    </cacheField>
  </cacheFields>
</pivotCacheDefinition>
</file>

<file path=xl/pivotCache/pivotCacheDefinition11.xml><?xml version="1.0" encoding="utf-8"?>
<pivotCacheDefinition xmlns="http://schemas.openxmlformats.org/spreadsheetml/2006/main" xmlns:r="http://schemas.openxmlformats.org/officeDocument/2006/relationships" r:id="rId1" createdVersion="5" refreshedVersion="5" minRefreshableVersion="3" refreshedDate="45863.458587963" refreshedBy="dilsh" recordCount="547">
  <cacheSource type="worksheet">
    <worksheetSource ref="BB1:BB1048576" sheet="Employ-Exit-survey-Data"/>
  </cacheSource>
  <cacheFields count="1">
    <cacheField name="SouthNot StatedSea" numFmtId="0">
      <sharedItems containsBlank="1" count="4">
        <s v="NO"/>
        <s v="N/A"/>
        <s v="Yes"/>
        <m/>
      </sharedItems>
    </cacheField>
  </cacheFields>
</pivotCacheDefinition>
</file>

<file path=xl/pivotCache/pivotCacheRecords1.xml><?xml version="1.0" encoding="utf-8"?>
<pivotCacheRecords xmlns="http://schemas.openxmlformats.org/spreadsheetml/2006/main" xmlns:r="http://schemas.openxmlformats.org/officeDocument/2006/relationships" count="821">
  <r>
    <x v="0"/>
  </r>
  <r>
    <x v="0"/>
  </r>
  <r>
    <x v="1"/>
  </r>
  <r>
    <x v="0"/>
  </r>
  <r>
    <x v="0"/>
  </r>
  <r>
    <x v="2"/>
  </r>
  <r>
    <x v="3"/>
  </r>
  <r>
    <x v="0"/>
  </r>
  <r>
    <x v="4"/>
  </r>
  <r>
    <x v="5"/>
  </r>
  <r>
    <x v="5"/>
  </r>
  <r>
    <x v="0"/>
  </r>
  <r>
    <x v="0"/>
  </r>
  <r>
    <x v="0"/>
  </r>
  <r>
    <x v="3"/>
  </r>
  <r>
    <x v="0"/>
  </r>
  <r>
    <x v="6"/>
  </r>
  <r>
    <x v="3"/>
  </r>
  <r>
    <x v="0"/>
  </r>
  <r>
    <x v="0"/>
  </r>
  <r>
    <x v="0"/>
  </r>
  <r>
    <x v="4"/>
  </r>
  <r>
    <x v="0"/>
  </r>
  <r>
    <x v="0"/>
  </r>
  <r>
    <x v="3"/>
  </r>
  <r>
    <x v="1"/>
  </r>
  <r>
    <x v="0"/>
  </r>
  <r>
    <x v="0"/>
  </r>
  <r>
    <x v="3"/>
  </r>
  <r>
    <x v="0"/>
  </r>
  <r>
    <x v="0"/>
  </r>
  <r>
    <x v="0"/>
  </r>
  <r>
    <x v="0"/>
  </r>
  <r>
    <x v="5"/>
  </r>
  <r>
    <x v="0"/>
  </r>
  <r>
    <x v="3"/>
  </r>
  <r>
    <x v="3"/>
  </r>
  <r>
    <x v="3"/>
  </r>
  <r>
    <x v="0"/>
  </r>
  <r>
    <x v="4"/>
  </r>
  <r>
    <x v="3"/>
  </r>
  <r>
    <x v="3"/>
  </r>
  <r>
    <x v="3"/>
  </r>
  <r>
    <x v="0"/>
  </r>
  <r>
    <x v="0"/>
  </r>
  <r>
    <x v="0"/>
  </r>
  <r>
    <x v="0"/>
  </r>
  <r>
    <x v="0"/>
  </r>
  <r>
    <x v="0"/>
  </r>
  <r>
    <x v="1"/>
  </r>
  <r>
    <x v="0"/>
  </r>
  <r>
    <x v="4"/>
  </r>
  <r>
    <x v="0"/>
  </r>
  <r>
    <x v="0"/>
  </r>
  <r>
    <x v="0"/>
  </r>
  <r>
    <x v="1"/>
  </r>
  <r>
    <x v="0"/>
  </r>
  <r>
    <x v="0"/>
  </r>
  <r>
    <x v="4"/>
  </r>
  <r>
    <x v="3"/>
  </r>
  <r>
    <x v="0"/>
  </r>
  <r>
    <x v="3"/>
  </r>
  <r>
    <x v="0"/>
  </r>
  <r>
    <x v="1"/>
  </r>
  <r>
    <x v="0"/>
  </r>
  <r>
    <x v="1"/>
  </r>
  <r>
    <x v="3"/>
  </r>
  <r>
    <x v="0"/>
  </r>
  <r>
    <x v="1"/>
  </r>
  <r>
    <x v="4"/>
  </r>
  <r>
    <x v="0"/>
  </r>
  <r>
    <x v="0"/>
  </r>
  <r>
    <x v="0"/>
  </r>
  <r>
    <x v="3"/>
  </r>
  <r>
    <x v="1"/>
  </r>
  <r>
    <x v="0"/>
  </r>
  <r>
    <x v="3"/>
  </r>
  <r>
    <x v="0"/>
  </r>
  <r>
    <x v="3"/>
  </r>
  <r>
    <x v="0"/>
  </r>
  <r>
    <x v="0"/>
  </r>
  <r>
    <x v="3"/>
  </r>
  <r>
    <x v="5"/>
  </r>
  <r>
    <x v="3"/>
  </r>
  <r>
    <x v="3"/>
  </r>
  <r>
    <x v="4"/>
  </r>
  <r>
    <x v="0"/>
  </r>
  <r>
    <x v="0"/>
  </r>
  <r>
    <x v="3"/>
  </r>
  <r>
    <x v="0"/>
  </r>
  <r>
    <x v="3"/>
  </r>
  <r>
    <x v="0"/>
  </r>
  <r>
    <x v="0"/>
  </r>
  <r>
    <x v="0"/>
  </r>
  <r>
    <x v="1"/>
  </r>
  <r>
    <x v="0"/>
  </r>
  <r>
    <x v="3"/>
  </r>
  <r>
    <x v="3"/>
  </r>
  <r>
    <x v="4"/>
  </r>
  <r>
    <x v="1"/>
  </r>
  <r>
    <x v="1"/>
  </r>
  <r>
    <x v="1"/>
  </r>
  <r>
    <x v="0"/>
  </r>
  <r>
    <x v="0"/>
  </r>
  <r>
    <x v="0"/>
  </r>
  <r>
    <x v="0"/>
  </r>
  <r>
    <x v="0"/>
  </r>
  <r>
    <x v="4"/>
  </r>
  <r>
    <x v="0"/>
  </r>
  <r>
    <x v="0"/>
  </r>
  <r>
    <x v="1"/>
  </r>
  <r>
    <x v="1"/>
  </r>
  <r>
    <x v="3"/>
  </r>
  <r>
    <x v="6"/>
  </r>
  <r>
    <x v="0"/>
  </r>
  <r>
    <x v="0"/>
  </r>
  <r>
    <x v="4"/>
  </r>
  <r>
    <x v="5"/>
  </r>
  <r>
    <x v="3"/>
  </r>
  <r>
    <x v="0"/>
  </r>
  <r>
    <x v="5"/>
  </r>
  <r>
    <x v="4"/>
  </r>
  <r>
    <x v="1"/>
  </r>
  <r>
    <x v="1"/>
  </r>
  <r>
    <x v="3"/>
  </r>
  <r>
    <x v="0"/>
  </r>
  <r>
    <x v="1"/>
  </r>
  <r>
    <x v="3"/>
  </r>
  <r>
    <x v="0"/>
  </r>
  <r>
    <x v="0"/>
  </r>
  <r>
    <x v="1"/>
  </r>
  <r>
    <x v="0"/>
  </r>
  <r>
    <x v="4"/>
  </r>
  <r>
    <x v="0"/>
  </r>
  <r>
    <x v="0"/>
  </r>
  <r>
    <x v="3"/>
  </r>
  <r>
    <x v="3"/>
  </r>
  <r>
    <x v="0"/>
  </r>
  <r>
    <x v="3"/>
  </r>
  <r>
    <x v="1"/>
  </r>
  <r>
    <x v="3"/>
  </r>
  <r>
    <x v="3"/>
  </r>
  <r>
    <x v="3"/>
  </r>
  <r>
    <x v="0"/>
  </r>
  <r>
    <x v="0"/>
  </r>
  <r>
    <x v="0"/>
  </r>
  <r>
    <x v="3"/>
  </r>
  <r>
    <x v="0"/>
  </r>
  <r>
    <x v="0"/>
  </r>
  <r>
    <x v="1"/>
  </r>
  <r>
    <x v="0"/>
  </r>
  <r>
    <x v="1"/>
  </r>
  <r>
    <x v="0"/>
  </r>
  <r>
    <x v="0"/>
  </r>
  <r>
    <x v="1"/>
  </r>
  <r>
    <x v="0"/>
  </r>
  <r>
    <x v="1"/>
  </r>
  <r>
    <x v="3"/>
  </r>
  <r>
    <x v="3"/>
  </r>
  <r>
    <x v="3"/>
  </r>
  <r>
    <x v="5"/>
  </r>
  <r>
    <x v="0"/>
  </r>
  <r>
    <x v="0"/>
  </r>
  <r>
    <x v="0"/>
  </r>
  <r>
    <x v="0"/>
  </r>
  <r>
    <x v="3"/>
  </r>
  <r>
    <x v="1"/>
  </r>
  <r>
    <x v="0"/>
  </r>
  <r>
    <x v="0"/>
  </r>
  <r>
    <x v="3"/>
  </r>
  <r>
    <x v="1"/>
  </r>
  <r>
    <x v="0"/>
  </r>
  <r>
    <x v="1"/>
  </r>
  <r>
    <x v="0"/>
  </r>
  <r>
    <x v="0"/>
  </r>
  <r>
    <x v="0"/>
  </r>
  <r>
    <x v="0"/>
  </r>
  <r>
    <x v="3"/>
  </r>
  <r>
    <x v="3"/>
  </r>
  <r>
    <x v="3"/>
  </r>
  <r>
    <x v="0"/>
  </r>
  <r>
    <x v="0"/>
  </r>
  <r>
    <x v="3"/>
  </r>
  <r>
    <x v="0"/>
  </r>
  <r>
    <x v="4"/>
  </r>
  <r>
    <x v="1"/>
  </r>
  <r>
    <x v="0"/>
  </r>
  <r>
    <x v="0"/>
  </r>
  <r>
    <x v="3"/>
  </r>
  <r>
    <x v="3"/>
  </r>
  <r>
    <x v="1"/>
  </r>
  <r>
    <x v="3"/>
  </r>
  <r>
    <x v="0"/>
  </r>
  <r>
    <x v="1"/>
  </r>
  <r>
    <x v="3"/>
  </r>
  <r>
    <x v="3"/>
  </r>
  <r>
    <x v="0"/>
  </r>
  <r>
    <x v="1"/>
  </r>
  <r>
    <x v="3"/>
  </r>
  <r>
    <x v="6"/>
  </r>
  <r>
    <x v="3"/>
  </r>
  <r>
    <x v="0"/>
  </r>
  <r>
    <x v="0"/>
  </r>
  <r>
    <x v="1"/>
  </r>
  <r>
    <x v="0"/>
  </r>
  <r>
    <x v="0"/>
  </r>
  <r>
    <x v="0"/>
  </r>
  <r>
    <x v="0"/>
  </r>
  <r>
    <x v="0"/>
  </r>
  <r>
    <x v="3"/>
  </r>
  <r>
    <x v="0"/>
  </r>
  <r>
    <x v="0"/>
  </r>
  <r>
    <x v="1"/>
  </r>
  <r>
    <x v="0"/>
  </r>
  <r>
    <x v="0"/>
  </r>
  <r>
    <x v="0"/>
  </r>
  <r>
    <x v="0"/>
  </r>
  <r>
    <x v="0"/>
  </r>
  <r>
    <x v="0"/>
  </r>
  <r>
    <x v="0"/>
  </r>
  <r>
    <x v="0"/>
  </r>
  <r>
    <x v="0"/>
  </r>
  <r>
    <x v="0"/>
  </r>
  <r>
    <x v="4"/>
  </r>
  <r>
    <x v="0"/>
  </r>
  <r>
    <x v="1"/>
  </r>
  <r>
    <x v="3"/>
  </r>
  <r>
    <x v="0"/>
  </r>
  <r>
    <x v="4"/>
  </r>
  <r>
    <x v="3"/>
  </r>
  <r>
    <x v="3"/>
  </r>
  <r>
    <x v="0"/>
  </r>
  <r>
    <x v="1"/>
  </r>
  <r>
    <x v="0"/>
  </r>
  <r>
    <x v="0"/>
  </r>
  <r>
    <x v="0"/>
  </r>
  <r>
    <x v="0"/>
  </r>
  <r>
    <x v="0"/>
  </r>
  <r>
    <x v="0"/>
  </r>
  <r>
    <x v="0"/>
  </r>
  <r>
    <x v="0"/>
  </r>
  <r>
    <x v="5"/>
  </r>
  <r>
    <x v="1"/>
  </r>
  <r>
    <x v="0"/>
  </r>
  <r>
    <x v="0"/>
  </r>
  <r>
    <x v="0"/>
  </r>
  <r>
    <x v="0"/>
  </r>
  <r>
    <x v="0"/>
  </r>
  <r>
    <x v="0"/>
  </r>
  <r>
    <x v="0"/>
  </r>
  <r>
    <x v="3"/>
  </r>
  <r>
    <x v="0"/>
  </r>
  <r>
    <x v="0"/>
  </r>
  <r>
    <x v="0"/>
  </r>
  <r>
    <x v="0"/>
  </r>
  <r>
    <x v="1"/>
  </r>
  <r>
    <x v="3"/>
  </r>
  <r>
    <x v="3"/>
  </r>
  <r>
    <x v="3"/>
  </r>
  <r>
    <x v="4"/>
  </r>
  <r>
    <x v="0"/>
  </r>
  <r>
    <x v="0"/>
  </r>
  <r>
    <x v="3"/>
  </r>
  <r>
    <x v="3"/>
  </r>
  <r>
    <x v="0"/>
  </r>
  <r>
    <x v="0"/>
  </r>
  <r>
    <x v="0"/>
  </r>
  <r>
    <x v="3"/>
  </r>
  <r>
    <x v="0"/>
  </r>
  <r>
    <x v="0"/>
  </r>
  <r>
    <x v="1"/>
  </r>
  <r>
    <x v="5"/>
  </r>
  <r>
    <x v="0"/>
  </r>
  <r>
    <x v="0"/>
  </r>
  <r>
    <x v="3"/>
  </r>
  <r>
    <x v="3"/>
  </r>
  <r>
    <x v="0"/>
  </r>
  <r>
    <x v="4"/>
  </r>
  <r>
    <x v="0"/>
  </r>
  <r>
    <x v="5"/>
  </r>
  <r>
    <x v="0"/>
  </r>
  <r>
    <x v="3"/>
  </r>
  <r>
    <x v="0"/>
  </r>
  <r>
    <x v="3"/>
  </r>
  <r>
    <x v="3"/>
  </r>
  <r>
    <x v="3"/>
  </r>
  <r>
    <x v="3"/>
  </r>
  <r>
    <x v="0"/>
  </r>
  <r>
    <x v="1"/>
  </r>
  <r>
    <x v="0"/>
  </r>
  <r>
    <x v="1"/>
  </r>
  <r>
    <x v="0"/>
  </r>
  <r>
    <x v="1"/>
  </r>
  <r>
    <x v="3"/>
  </r>
  <r>
    <x v="0"/>
  </r>
  <r>
    <x v="0"/>
  </r>
  <r>
    <x v="0"/>
  </r>
  <r>
    <x v="0"/>
  </r>
  <r>
    <x v="3"/>
  </r>
  <r>
    <x v="0"/>
  </r>
  <r>
    <x v="0"/>
  </r>
  <r>
    <x v="0"/>
  </r>
  <r>
    <x v="0"/>
  </r>
  <r>
    <x v="5"/>
  </r>
  <r>
    <x v="0"/>
  </r>
  <r>
    <x v="3"/>
  </r>
  <r>
    <x v="0"/>
  </r>
  <r>
    <x v="3"/>
  </r>
  <r>
    <x v="5"/>
  </r>
  <r>
    <x v="3"/>
  </r>
  <r>
    <x v="0"/>
  </r>
  <r>
    <x v="0"/>
  </r>
  <r>
    <x v="4"/>
  </r>
  <r>
    <x v="0"/>
  </r>
  <r>
    <x v="0"/>
  </r>
  <r>
    <x v="0"/>
  </r>
  <r>
    <x v="0"/>
  </r>
  <r>
    <x v="0"/>
  </r>
  <r>
    <x v="5"/>
  </r>
  <r>
    <x v="0"/>
  </r>
  <r>
    <x v="4"/>
  </r>
  <r>
    <x v="0"/>
  </r>
  <r>
    <x v="0"/>
  </r>
  <r>
    <x v="0"/>
  </r>
  <r>
    <x v="0"/>
  </r>
  <r>
    <x v="0"/>
  </r>
  <r>
    <x v="0"/>
  </r>
  <r>
    <x v="0"/>
  </r>
  <r>
    <x v="3"/>
  </r>
  <r>
    <x v="6"/>
  </r>
  <r>
    <x v="0"/>
  </r>
  <r>
    <x v="3"/>
  </r>
  <r>
    <x v="1"/>
  </r>
  <r>
    <x v="3"/>
  </r>
  <r>
    <x v="0"/>
  </r>
  <r>
    <x v="3"/>
  </r>
  <r>
    <x v="0"/>
  </r>
  <r>
    <x v="3"/>
  </r>
  <r>
    <x v="0"/>
  </r>
  <r>
    <x v="0"/>
  </r>
  <r>
    <x v="0"/>
  </r>
  <r>
    <x v="3"/>
  </r>
  <r>
    <x v="3"/>
  </r>
  <r>
    <x v="0"/>
  </r>
  <r>
    <x v="0"/>
  </r>
  <r>
    <x v="0"/>
  </r>
  <r>
    <x v="1"/>
  </r>
  <r>
    <x v="0"/>
  </r>
  <r>
    <x v="0"/>
  </r>
  <r>
    <x v="3"/>
  </r>
  <r>
    <x v="0"/>
  </r>
  <r>
    <x v="0"/>
  </r>
  <r>
    <x v="1"/>
  </r>
  <r>
    <x v="0"/>
  </r>
  <r>
    <x v="3"/>
  </r>
  <r>
    <x v="0"/>
  </r>
  <r>
    <x v="3"/>
  </r>
  <r>
    <x v="3"/>
  </r>
  <r>
    <x v="0"/>
  </r>
  <r>
    <x v="3"/>
  </r>
  <r>
    <x v="3"/>
  </r>
  <r>
    <x v="3"/>
  </r>
  <r>
    <x v="0"/>
  </r>
  <r>
    <x v="0"/>
  </r>
  <r>
    <x v="6"/>
  </r>
  <r>
    <x v="6"/>
  </r>
  <r>
    <x v="0"/>
  </r>
  <r>
    <x v="3"/>
  </r>
  <r>
    <x v="0"/>
  </r>
  <r>
    <x v="0"/>
  </r>
  <r>
    <x v="1"/>
  </r>
  <r>
    <x v="0"/>
  </r>
  <r>
    <x v="6"/>
  </r>
  <r>
    <x v="3"/>
  </r>
  <r>
    <x v="3"/>
  </r>
  <r>
    <x v="0"/>
  </r>
  <r>
    <x v="0"/>
  </r>
  <r>
    <x v="3"/>
  </r>
  <r>
    <x v="3"/>
  </r>
  <r>
    <x v="3"/>
  </r>
  <r>
    <x v="0"/>
  </r>
  <r>
    <x v="1"/>
  </r>
  <r>
    <x v="1"/>
  </r>
  <r>
    <x v="0"/>
  </r>
  <r>
    <x v="0"/>
  </r>
  <r>
    <x v="3"/>
  </r>
  <r>
    <x v="3"/>
  </r>
  <r>
    <x v="0"/>
  </r>
  <r>
    <x v="0"/>
  </r>
  <r>
    <x v="0"/>
  </r>
  <r>
    <x v="3"/>
  </r>
  <r>
    <x v="1"/>
  </r>
  <r>
    <x v="1"/>
  </r>
  <r>
    <x v="5"/>
  </r>
  <r>
    <x v="3"/>
  </r>
  <r>
    <x v="3"/>
  </r>
  <r>
    <x v="0"/>
  </r>
  <r>
    <x v="3"/>
  </r>
  <r>
    <x v="0"/>
  </r>
  <r>
    <x v="2"/>
  </r>
  <r>
    <x v="3"/>
  </r>
  <r>
    <x v="0"/>
  </r>
  <r>
    <x v="0"/>
  </r>
  <r>
    <x v="3"/>
  </r>
  <r>
    <x v="0"/>
  </r>
  <r>
    <x v="6"/>
  </r>
  <r>
    <x v="0"/>
  </r>
  <r>
    <x v="3"/>
  </r>
  <r>
    <x v="1"/>
  </r>
  <r>
    <x v="5"/>
  </r>
  <r>
    <x v="3"/>
  </r>
  <r>
    <x v="6"/>
  </r>
  <r>
    <x v="0"/>
  </r>
  <r>
    <x v="0"/>
  </r>
  <r>
    <x v="0"/>
  </r>
  <r>
    <x v="3"/>
  </r>
  <r>
    <x v="0"/>
  </r>
  <r>
    <x v="3"/>
  </r>
  <r>
    <x v="0"/>
  </r>
  <r>
    <x v="3"/>
  </r>
  <r>
    <x v="3"/>
  </r>
  <r>
    <x v="3"/>
  </r>
  <r>
    <x v="3"/>
  </r>
  <r>
    <x v="0"/>
  </r>
  <r>
    <x v="0"/>
  </r>
  <r>
    <x v="0"/>
  </r>
  <r>
    <x v="3"/>
  </r>
  <r>
    <x v="0"/>
  </r>
  <r>
    <x v="0"/>
  </r>
  <r>
    <x v="0"/>
  </r>
  <r>
    <x v="4"/>
  </r>
  <r>
    <x v="3"/>
  </r>
  <r>
    <x v="0"/>
  </r>
  <r>
    <x v="1"/>
  </r>
  <r>
    <x v="0"/>
  </r>
  <r>
    <x v="0"/>
  </r>
  <r>
    <x v="3"/>
  </r>
  <r>
    <x v="0"/>
  </r>
  <r>
    <x v="1"/>
  </r>
  <r>
    <x v="0"/>
  </r>
  <r>
    <x v="0"/>
  </r>
  <r>
    <x v="0"/>
  </r>
  <r>
    <x v="3"/>
  </r>
  <r>
    <x v="0"/>
  </r>
  <r>
    <x v="0"/>
  </r>
  <r>
    <x v="3"/>
  </r>
  <r>
    <x v="3"/>
  </r>
  <r>
    <x v="3"/>
  </r>
  <r>
    <x v="0"/>
  </r>
  <r>
    <x v="3"/>
  </r>
  <r>
    <x v="0"/>
  </r>
  <r>
    <x v="3"/>
  </r>
  <r>
    <x v="0"/>
  </r>
  <r>
    <x v="0"/>
  </r>
  <r>
    <x v="0"/>
  </r>
  <r>
    <x v="0"/>
  </r>
  <r>
    <x v="0"/>
  </r>
  <r>
    <x v="0"/>
  </r>
  <r>
    <x v="3"/>
  </r>
  <r>
    <x v="0"/>
  </r>
  <r>
    <x v="0"/>
  </r>
  <r>
    <x v="3"/>
  </r>
  <r>
    <x v="3"/>
  </r>
  <r>
    <x v="3"/>
  </r>
  <r>
    <x v="3"/>
  </r>
  <r>
    <x v="3"/>
  </r>
  <r>
    <x v="0"/>
  </r>
  <r>
    <x v="0"/>
  </r>
  <r>
    <x v="0"/>
  </r>
  <r>
    <x v="0"/>
  </r>
  <r>
    <x v="0"/>
  </r>
  <r>
    <x v="5"/>
  </r>
  <r>
    <x v="4"/>
  </r>
  <r>
    <x v="4"/>
  </r>
  <r>
    <x v="0"/>
  </r>
  <r>
    <x v="1"/>
  </r>
  <r>
    <x v="2"/>
  </r>
  <r>
    <x v="0"/>
  </r>
  <r>
    <x v="3"/>
  </r>
  <r>
    <x v="3"/>
  </r>
  <r>
    <x v="0"/>
  </r>
  <r>
    <x v="1"/>
  </r>
  <r>
    <x v="0"/>
  </r>
  <r>
    <x v="3"/>
  </r>
  <r>
    <x v="0"/>
  </r>
  <r>
    <x v="0"/>
  </r>
  <r>
    <x v="0"/>
  </r>
  <r>
    <x v="4"/>
  </r>
  <r>
    <x v="3"/>
  </r>
  <r>
    <x v="1"/>
  </r>
  <r>
    <x v="3"/>
  </r>
  <r>
    <x v="0"/>
  </r>
  <r>
    <x v="0"/>
  </r>
  <r>
    <x v="3"/>
  </r>
  <r>
    <x v="4"/>
  </r>
  <r>
    <x v="0"/>
  </r>
  <r>
    <x v="1"/>
  </r>
  <r>
    <x v="1"/>
  </r>
  <r>
    <x v="0"/>
  </r>
  <r>
    <x v="3"/>
  </r>
  <r>
    <x v="3"/>
  </r>
  <r>
    <x v="1"/>
  </r>
  <r>
    <x v="3"/>
  </r>
  <r>
    <x v="1"/>
  </r>
  <r>
    <x v="3"/>
  </r>
  <r>
    <x v="3"/>
  </r>
  <r>
    <x v="1"/>
  </r>
  <r>
    <x v="0"/>
  </r>
  <r>
    <x v="3"/>
  </r>
  <r>
    <x v="1"/>
  </r>
  <r>
    <x v="3"/>
  </r>
  <r>
    <x v="3"/>
  </r>
  <r>
    <x v="3"/>
  </r>
  <r>
    <x v="0"/>
  </r>
  <r>
    <x v="0"/>
  </r>
  <r>
    <x v="0"/>
  </r>
  <r>
    <x v="0"/>
  </r>
  <r>
    <x v="3"/>
  </r>
  <r>
    <x v="3"/>
  </r>
  <r>
    <x v="0"/>
  </r>
  <r>
    <x v="0"/>
  </r>
  <r>
    <x v="0"/>
  </r>
  <r>
    <x v="1"/>
  </r>
  <r>
    <x v="3"/>
  </r>
  <r>
    <x v="0"/>
  </r>
  <r>
    <x v="1"/>
  </r>
  <r>
    <x v="1"/>
  </r>
  <r>
    <x v="0"/>
  </r>
  <r>
    <x v="3"/>
  </r>
  <r>
    <x v="1"/>
  </r>
  <r>
    <x v="3"/>
  </r>
  <r>
    <x v="1"/>
  </r>
  <r>
    <x v="0"/>
  </r>
  <r>
    <x v="3"/>
  </r>
  <r>
    <x v="0"/>
  </r>
  <r>
    <x v="0"/>
  </r>
  <r>
    <x v="1"/>
  </r>
  <r>
    <x v="3"/>
  </r>
  <r>
    <x v="0"/>
  </r>
  <r>
    <x v="3"/>
  </r>
  <r>
    <x v="0"/>
  </r>
  <r>
    <x v="4"/>
  </r>
  <r>
    <x v="0"/>
  </r>
  <r>
    <x v="3"/>
  </r>
  <r>
    <x v="4"/>
  </r>
  <r>
    <x v="3"/>
  </r>
  <r>
    <x v="3"/>
  </r>
  <r>
    <x v="0"/>
  </r>
  <r>
    <x v="3"/>
  </r>
  <r>
    <x v="0"/>
  </r>
  <r>
    <x v="0"/>
  </r>
  <r>
    <x v="1"/>
  </r>
  <r>
    <x v="0"/>
  </r>
  <r>
    <x v="0"/>
  </r>
  <r>
    <x v="0"/>
  </r>
  <r>
    <x v="3"/>
  </r>
  <r>
    <x v="3"/>
  </r>
  <r>
    <x v="1"/>
  </r>
  <r>
    <x v="0"/>
  </r>
  <r>
    <x v="3"/>
  </r>
  <r>
    <x v="1"/>
  </r>
  <r>
    <x v="0"/>
  </r>
  <r>
    <x v="0"/>
  </r>
  <r>
    <x v="3"/>
  </r>
  <r>
    <x v="3"/>
  </r>
  <r>
    <x v="3"/>
  </r>
  <r>
    <x v="3"/>
  </r>
  <r>
    <x v="3"/>
  </r>
  <r>
    <x v="0"/>
  </r>
  <r>
    <x v="0"/>
  </r>
  <r>
    <x v="3"/>
  </r>
  <r>
    <x v="1"/>
  </r>
  <r>
    <x v="5"/>
  </r>
  <r>
    <x v="4"/>
  </r>
  <r>
    <x v="0"/>
  </r>
  <r>
    <x v="0"/>
  </r>
  <r>
    <x v="3"/>
  </r>
  <r>
    <x v="0"/>
  </r>
  <r>
    <x v="3"/>
  </r>
  <r>
    <x v="0"/>
  </r>
  <r>
    <x v="1"/>
  </r>
  <r>
    <x v="0"/>
  </r>
  <r>
    <x v="1"/>
  </r>
  <r>
    <x v="1"/>
  </r>
  <r>
    <x v="0"/>
  </r>
  <r>
    <x v="3"/>
  </r>
  <r>
    <x v="0"/>
  </r>
  <r>
    <x v="0"/>
  </r>
  <r>
    <x v="3"/>
  </r>
  <r>
    <x v="1"/>
  </r>
  <r>
    <x v="0"/>
  </r>
  <r>
    <x v="1"/>
  </r>
  <r>
    <x v="0"/>
  </r>
  <r>
    <x v="0"/>
  </r>
  <r>
    <x v="0"/>
  </r>
  <r>
    <x v="1"/>
  </r>
  <r>
    <x v="2"/>
  </r>
  <r>
    <x v="1"/>
  </r>
  <r>
    <x v="3"/>
  </r>
  <r>
    <x v="6"/>
  </r>
  <r>
    <x v="0"/>
  </r>
  <r>
    <x v="4"/>
  </r>
  <r>
    <x v="3"/>
  </r>
  <r>
    <x v="3"/>
  </r>
  <r>
    <x v="3"/>
  </r>
  <r>
    <x v="1"/>
  </r>
  <r>
    <x v="0"/>
  </r>
  <r>
    <x v="1"/>
  </r>
  <r>
    <x v="0"/>
  </r>
  <r>
    <x v="1"/>
  </r>
  <r>
    <x v="0"/>
  </r>
  <r>
    <x v="4"/>
  </r>
  <r>
    <x v="0"/>
  </r>
  <r>
    <x v="0"/>
  </r>
  <r>
    <x v="0"/>
  </r>
  <r>
    <x v="4"/>
  </r>
  <r>
    <x v="0"/>
  </r>
  <r>
    <x v="1"/>
  </r>
  <r>
    <x v="3"/>
  </r>
  <r>
    <x v="0"/>
  </r>
  <r>
    <x v="6"/>
  </r>
  <r>
    <x v="0"/>
  </r>
  <r>
    <x v="0"/>
  </r>
  <r>
    <x v="3"/>
  </r>
  <r>
    <x v="3"/>
  </r>
  <r>
    <x v="4"/>
  </r>
  <r>
    <x v="4"/>
  </r>
  <r>
    <x v="1"/>
  </r>
  <r>
    <x v="3"/>
  </r>
  <r>
    <x v="1"/>
  </r>
  <r>
    <x v="1"/>
  </r>
  <r>
    <x v="5"/>
  </r>
  <r>
    <x v="3"/>
  </r>
  <r>
    <x v="0"/>
  </r>
  <r>
    <x v="3"/>
  </r>
  <r>
    <x v="3"/>
  </r>
  <r>
    <x v="0"/>
  </r>
  <r>
    <x v="3"/>
  </r>
  <r>
    <x v="0"/>
  </r>
  <r>
    <x v="0"/>
  </r>
  <r>
    <x v="0"/>
  </r>
  <r>
    <x v="3"/>
  </r>
  <r>
    <x v="3"/>
  </r>
  <r>
    <x v="3"/>
  </r>
  <r>
    <x v="0"/>
  </r>
  <r>
    <x v="0"/>
  </r>
  <r>
    <x v="0"/>
  </r>
  <r>
    <x v="0"/>
  </r>
  <r>
    <x v="3"/>
  </r>
  <r>
    <x v="0"/>
  </r>
  <r>
    <x v="0"/>
  </r>
  <r>
    <x v="0"/>
  </r>
  <r>
    <x v="3"/>
  </r>
  <r>
    <x v="0"/>
  </r>
  <r>
    <x v="0"/>
  </r>
  <r>
    <x v="0"/>
  </r>
  <r>
    <x v="0"/>
  </r>
  <r>
    <x v="3"/>
  </r>
  <r>
    <x v="0"/>
  </r>
  <r>
    <x v="3"/>
  </r>
  <r>
    <x v="0"/>
  </r>
  <r>
    <x v="3"/>
  </r>
  <r>
    <x v="0"/>
  </r>
  <r>
    <x v="3"/>
  </r>
  <r>
    <x v="0"/>
  </r>
  <r>
    <x v="5"/>
  </r>
  <r>
    <x v="3"/>
  </r>
  <r>
    <x v="0"/>
  </r>
  <r>
    <x v="3"/>
  </r>
  <r>
    <x v="0"/>
  </r>
  <r>
    <x v="1"/>
  </r>
  <r>
    <x v="3"/>
  </r>
  <r>
    <x v="1"/>
  </r>
  <r>
    <x v="3"/>
  </r>
  <r>
    <x v="5"/>
  </r>
  <r>
    <x v="0"/>
  </r>
  <r>
    <x v="0"/>
  </r>
  <r>
    <x v="0"/>
  </r>
  <r>
    <x v="0"/>
  </r>
  <r>
    <x v="0"/>
  </r>
  <r>
    <x v="3"/>
  </r>
  <r>
    <x v="0"/>
  </r>
  <r>
    <x v="0"/>
  </r>
  <r>
    <x v="3"/>
  </r>
  <r>
    <x v="0"/>
  </r>
  <r>
    <x v="0"/>
  </r>
  <r>
    <x v="0"/>
  </r>
  <r>
    <x v="0"/>
  </r>
  <r>
    <x v="3"/>
  </r>
  <r>
    <x v="0"/>
  </r>
  <r>
    <x v="1"/>
  </r>
  <r>
    <x v="0"/>
  </r>
  <r>
    <x v="0"/>
  </r>
  <r>
    <x v="0"/>
  </r>
  <r>
    <x v="2"/>
  </r>
  <r>
    <x v="4"/>
  </r>
  <r>
    <x v="3"/>
  </r>
  <r>
    <x v="3"/>
  </r>
  <r>
    <x v="3"/>
  </r>
  <r>
    <x v="1"/>
  </r>
  <r>
    <x v="3"/>
  </r>
  <r>
    <x v="3"/>
  </r>
  <r>
    <x v="3"/>
  </r>
  <r>
    <x v="5"/>
  </r>
  <r>
    <x v="0"/>
  </r>
  <r>
    <x v="0"/>
  </r>
  <r>
    <x v="0"/>
  </r>
  <r>
    <x v="3"/>
  </r>
  <r>
    <x v="0"/>
  </r>
  <r>
    <x v="3"/>
  </r>
  <r>
    <x v="3"/>
  </r>
  <r>
    <x v="3"/>
  </r>
  <r>
    <x v="0"/>
  </r>
  <r>
    <x v="0"/>
  </r>
  <r>
    <x v="3"/>
  </r>
  <r>
    <x v="3"/>
  </r>
  <r>
    <x v="0"/>
  </r>
  <r>
    <x v="0"/>
  </r>
  <r>
    <x v="0"/>
  </r>
  <r>
    <x v="1"/>
  </r>
  <r>
    <x v="3"/>
  </r>
  <r>
    <x v="3"/>
  </r>
  <r>
    <x v="0"/>
  </r>
  <r>
    <x v="0"/>
  </r>
  <r>
    <x v="0"/>
  </r>
  <r>
    <x v="3"/>
  </r>
  <r>
    <x v="3"/>
  </r>
  <r>
    <x v="0"/>
  </r>
  <r>
    <x v="0"/>
  </r>
  <r>
    <x v="0"/>
  </r>
  <r>
    <x v="0"/>
  </r>
  <r>
    <x v="0"/>
  </r>
  <r>
    <x v="3"/>
  </r>
  <r>
    <x v="3"/>
  </r>
  <r>
    <x v="3"/>
  </r>
  <r>
    <x v="3"/>
  </r>
  <r>
    <x v="1"/>
  </r>
  <r>
    <x v="3"/>
  </r>
  <r>
    <x v="0"/>
  </r>
  <r>
    <x v="3"/>
  </r>
  <r>
    <x v="1"/>
  </r>
  <r>
    <x v="3"/>
  </r>
  <r>
    <x v="0"/>
  </r>
  <r>
    <x v="0"/>
  </r>
  <r>
    <x v="0"/>
  </r>
  <r>
    <x v="2"/>
  </r>
  <r>
    <x v="3"/>
  </r>
  <r>
    <x v="3"/>
  </r>
  <r>
    <x v="0"/>
  </r>
  <r>
    <x v="4"/>
  </r>
  <r>
    <x v="3"/>
  </r>
  <r>
    <x v="5"/>
  </r>
  <r>
    <x v="3"/>
  </r>
  <r>
    <x v="3"/>
  </r>
  <r>
    <x v="3"/>
  </r>
  <r>
    <x v="0"/>
  </r>
  <r>
    <x v="0"/>
  </r>
  <r>
    <x v="0"/>
  </r>
  <r>
    <x v="5"/>
  </r>
  <r>
    <x v="0"/>
  </r>
  <r>
    <x v="3"/>
  </r>
  <r>
    <x v="4"/>
  </r>
  <r>
    <x v="0"/>
  </r>
  <r>
    <x v="3"/>
  </r>
  <r>
    <x v="0"/>
  </r>
  <r>
    <x v="0"/>
  </r>
  <r>
    <x v="0"/>
  </r>
  <r>
    <x v="1"/>
  </r>
  <r>
    <x v="5"/>
  </r>
  <r>
    <x v="3"/>
  </r>
  <r>
    <x v="3"/>
  </r>
  <r>
    <x v="3"/>
  </r>
  <r>
    <x v="3"/>
  </r>
  <r>
    <x v="1"/>
  </r>
  <r>
    <x v="7"/>
  </r>
  <r>
    <x v="0"/>
  </r>
  <r>
    <x v="0"/>
  </r>
  <r>
    <x v="1"/>
  </r>
  <r>
    <x v="3"/>
  </r>
  <r>
    <x v="0"/>
  </r>
  <r>
    <x v="0"/>
  </r>
  <r>
    <x v="3"/>
  </r>
  <r>
    <x v="1"/>
  </r>
  <r>
    <x v="3"/>
  </r>
  <r>
    <x v="0"/>
  </r>
  <r>
    <x v="0"/>
  </r>
  <r>
    <x v="0"/>
  </r>
  <r>
    <x v="0"/>
  </r>
  <r>
    <x v="0"/>
  </r>
  <r>
    <x v="3"/>
  </r>
  <r>
    <x v="2"/>
  </r>
  <r>
    <x v="4"/>
  </r>
  <r>
    <x v="3"/>
  </r>
  <r>
    <x v="3"/>
  </r>
  <r>
    <x v="0"/>
  </r>
  <r>
    <x v="0"/>
  </r>
  <r>
    <x v="0"/>
  </r>
  <r>
    <x v="3"/>
  </r>
  <r>
    <x v="3"/>
  </r>
  <r>
    <x v="3"/>
  </r>
  <r>
    <x v="0"/>
  </r>
  <r>
    <x v="3"/>
  </r>
  <r>
    <x v="0"/>
  </r>
  <r>
    <x v="0"/>
  </r>
  <r>
    <x v="0"/>
  </r>
  <r>
    <x v="3"/>
  </r>
  <r>
    <x v="5"/>
  </r>
  <r>
    <x v="0"/>
  </r>
  <r>
    <x v="3"/>
  </r>
  <r>
    <x v="0"/>
  </r>
  <r>
    <x v="0"/>
  </r>
  <r>
    <x v="3"/>
  </r>
  <r>
    <x v="3"/>
  </r>
  <r>
    <x v="3"/>
  </r>
  <r>
    <x v="0"/>
  </r>
  <r>
    <x v="0"/>
  </r>
  <r>
    <x v="0"/>
  </r>
  <r>
    <x v="0"/>
  </r>
  <r>
    <x v="0"/>
  </r>
  <r>
    <x v="4"/>
  </r>
  <r>
    <x v="7"/>
  </r>
</pivotCacheRecords>
</file>

<file path=xl/pivotCache/pivotCacheRecords2.xml><?xml version="1.0" encoding="utf-8"?>
<pivotCacheRecords xmlns="http://schemas.openxmlformats.org/spreadsheetml/2006/main" xmlns:r="http://schemas.openxmlformats.org/officeDocument/2006/relationships" count="821">
  <r>
    <x v="0"/>
  </r>
  <r>
    <x v="0"/>
  </r>
  <r>
    <x v="0"/>
  </r>
  <r>
    <x v="1"/>
  </r>
  <r>
    <x v="0"/>
  </r>
  <r>
    <x v="2"/>
  </r>
  <r>
    <x v="2"/>
  </r>
  <r>
    <x v="3"/>
  </r>
  <r>
    <x v="1"/>
  </r>
  <r>
    <x v="4"/>
  </r>
  <r>
    <x v="1"/>
  </r>
  <r>
    <x v="0"/>
  </r>
  <r>
    <x v="3"/>
  </r>
  <r>
    <x v="1"/>
  </r>
  <r>
    <x v="3"/>
  </r>
  <r>
    <x v="1"/>
  </r>
  <r>
    <x v="5"/>
  </r>
  <r>
    <x v="1"/>
  </r>
  <r>
    <x v="1"/>
  </r>
  <r>
    <x v="1"/>
  </r>
  <r>
    <x v="1"/>
  </r>
  <r>
    <x v="3"/>
  </r>
  <r>
    <x v="0"/>
  </r>
  <r>
    <x v="2"/>
  </r>
  <r>
    <x v="1"/>
  </r>
  <r>
    <x v="1"/>
  </r>
  <r>
    <x v="1"/>
  </r>
  <r>
    <x v="1"/>
  </r>
  <r>
    <x v="3"/>
  </r>
  <r>
    <x v="3"/>
  </r>
  <r>
    <x v="1"/>
  </r>
  <r>
    <x v="1"/>
  </r>
  <r>
    <x v="1"/>
  </r>
  <r>
    <x v="0"/>
  </r>
  <r>
    <x v="1"/>
  </r>
  <r>
    <x v="4"/>
  </r>
  <r>
    <x v="3"/>
  </r>
  <r>
    <x v="3"/>
  </r>
  <r>
    <x v="0"/>
  </r>
  <r>
    <x v="0"/>
  </r>
  <r>
    <x v="3"/>
  </r>
  <r>
    <x v="0"/>
  </r>
  <r>
    <x v="3"/>
  </r>
  <r>
    <x v="3"/>
  </r>
  <r>
    <x v="1"/>
  </r>
  <r>
    <x v="1"/>
  </r>
  <r>
    <x v="0"/>
  </r>
  <r>
    <x v="1"/>
  </r>
  <r>
    <x v="1"/>
  </r>
  <r>
    <x v="1"/>
  </r>
  <r>
    <x v="1"/>
  </r>
  <r>
    <x v="1"/>
  </r>
  <r>
    <x v="1"/>
  </r>
  <r>
    <x v="1"/>
  </r>
  <r>
    <x v="1"/>
  </r>
  <r>
    <x v="3"/>
  </r>
  <r>
    <x v="1"/>
  </r>
  <r>
    <x v="0"/>
  </r>
  <r>
    <x v="2"/>
  </r>
  <r>
    <x v="3"/>
  </r>
  <r>
    <x v="1"/>
  </r>
  <r>
    <x v="3"/>
  </r>
  <r>
    <x v="0"/>
  </r>
  <r>
    <x v="2"/>
  </r>
  <r>
    <x v="1"/>
  </r>
  <r>
    <x v="0"/>
  </r>
  <r>
    <x v="0"/>
  </r>
  <r>
    <x v="0"/>
  </r>
  <r>
    <x v="2"/>
  </r>
  <r>
    <x v="0"/>
  </r>
  <r>
    <x v="1"/>
  </r>
  <r>
    <x v="2"/>
  </r>
  <r>
    <x v="1"/>
  </r>
  <r>
    <x v="3"/>
  </r>
  <r>
    <x v="0"/>
  </r>
  <r>
    <x v="1"/>
  </r>
  <r>
    <x v="1"/>
  </r>
  <r>
    <x v="1"/>
  </r>
  <r>
    <x v="1"/>
  </r>
  <r>
    <x v="1"/>
  </r>
  <r>
    <x v="2"/>
  </r>
  <r>
    <x v="0"/>
  </r>
  <r>
    <x v="4"/>
  </r>
  <r>
    <x v="3"/>
  </r>
  <r>
    <x v="1"/>
  </r>
  <r>
    <x v="2"/>
  </r>
  <r>
    <x v="1"/>
  </r>
  <r>
    <x v="1"/>
  </r>
  <r>
    <x v="1"/>
  </r>
  <r>
    <x v="1"/>
  </r>
  <r>
    <x v="3"/>
  </r>
  <r>
    <x v="1"/>
  </r>
  <r>
    <x v="1"/>
  </r>
  <r>
    <x v="0"/>
  </r>
  <r>
    <x v="0"/>
  </r>
  <r>
    <x v="1"/>
  </r>
  <r>
    <x v="0"/>
  </r>
  <r>
    <x v="3"/>
  </r>
  <r>
    <x v="4"/>
  </r>
  <r>
    <x v="1"/>
  </r>
  <r>
    <x v="2"/>
  </r>
  <r>
    <x v="1"/>
  </r>
  <r>
    <x v="4"/>
  </r>
  <r>
    <x v="4"/>
  </r>
  <r>
    <x v="1"/>
  </r>
  <r>
    <x v="2"/>
  </r>
  <r>
    <x v="0"/>
  </r>
  <r>
    <x v="0"/>
  </r>
  <r>
    <x v="1"/>
  </r>
  <r>
    <x v="1"/>
  </r>
  <r>
    <x v="1"/>
  </r>
  <r>
    <x v="0"/>
  </r>
  <r>
    <x v="3"/>
  </r>
  <r>
    <x v="3"/>
  </r>
  <r>
    <x v="1"/>
  </r>
  <r>
    <x v="1"/>
  </r>
  <r>
    <x v="2"/>
  </r>
  <r>
    <x v="4"/>
  </r>
  <r>
    <x v="1"/>
  </r>
  <r>
    <x v="1"/>
  </r>
  <r>
    <x v="4"/>
  </r>
  <r>
    <x v="4"/>
  </r>
  <r>
    <x v="0"/>
  </r>
  <r>
    <x v="5"/>
  </r>
  <r>
    <x v="3"/>
  </r>
  <r>
    <x v="3"/>
  </r>
  <r>
    <x v="1"/>
  </r>
  <r>
    <x v="3"/>
  </r>
  <r>
    <x v="1"/>
  </r>
  <r>
    <x v="1"/>
  </r>
  <r>
    <x v="2"/>
  </r>
  <r>
    <x v="1"/>
  </r>
  <r>
    <x v="1"/>
  </r>
  <r>
    <x v="0"/>
  </r>
  <r>
    <x v="3"/>
  </r>
  <r>
    <x v="1"/>
  </r>
  <r>
    <x v="0"/>
  </r>
  <r>
    <x v="1"/>
  </r>
  <r>
    <x v="1"/>
  </r>
  <r>
    <x v="0"/>
  </r>
  <r>
    <x v="1"/>
  </r>
  <r>
    <x v="1"/>
  </r>
  <r>
    <x v="3"/>
  </r>
  <r>
    <x v="1"/>
  </r>
  <r>
    <x v="1"/>
  </r>
  <r>
    <x v="1"/>
  </r>
  <r>
    <x v="3"/>
  </r>
  <r>
    <x v="3"/>
  </r>
  <r>
    <x v="1"/>
  </r>
  <r>
    <x v="1"/>
  </r>
  <r>
    <x v="1"/>
  </r>
  <r>
    <x v="1"/>
  </r>
  <r>
    <x v="2"/>
  </r>
  <r>
    <x v="1"/>
  </r>
  <r>
    <x v="1"/>
  </r>
  <r>
    <x v="1"/>
  </r>
  <r>
    <x v="1"/>
  </r>
  <r>
    <x v="0"/>
  </r>
  <r>
    <x v="1"/>
  </r>
  <r>
    <x v="1"/>
  </r>
  <r>
    <x v="0"/>
  </r>
  <r>
    <x v="1"/>
  </r>
  <r>
    <x v="4"/>
  </r>
  <r>
    <x v="1"/>
  </r>
  <r>
    <x v="1"/>
  </r>
  <r>
    <x v="3"/>
  </r>
  <r>
    <x v="4"/>
  </r>
  <r>
    <x v="1"/>
  </r>
  <r>
    <x v="2"/>
  </r>
  <r>
    <x v="1"/>
  </r>
  <r>
    <x v="4"/>
  </r>
  <r>
    <x v="1"/>
  </r>
  <r>
    <x v="1"/>
  </r>
  <r>
    <x v="1"/>
  </r>
  <r>
    <x v="0"/>
  </r>
  <r>
    <x v="1"/>
  </r>
  <r>
    <x v="1"/>
  </r>
  <r>
    <x v="1"/>
  </r>
  <r>
    <x v="1"/>
  </r>
  <r>
    <x v="0"/>
  </r>
  <r>
    <x v="3"/>
  </r>
  <r>
    <x v="1"/>
  </r>
  <r>
    <x v="1"/>
  </r>
  <r>
    <x v="1"/>
  </r>
  <r>
    <x v="2"/>
  </r>
  <r>
    <x v="0"/>
  </r>
  <r>
    <x v="1"/>
  </r>
  <r>
    <x v="4"/>
  </r>
  <r>
    <x v="4"/>
  </r>
  <r>
    <x v="3"/>
  </r>
  <r>
    <x v="0"/>
  </r>
  <r>
    <x v="4"/>
  </r>
  <r>
    <x v="2"/>
  </r>
  <r>
    <x v="1"/>
  </r>
  <r>
    <x v="1"/>
  </r>
  <r>
    <x v="3"/>
  </r>
  <r>
    <x v="1"/>
  </r>
  <r>
    <x v="2"/>
  </r>
  <r>
    <x v="1"/>
  </r>
  <r>
    <x v="5"/>
  </r>
  <r>
    <x v="3"/>
  </r>
  <r>
    <x v="1"/>
  </r>
  <r>
    <x v="4"/>
  </r>
  <r>
    <x v="4"/>
  </r>
  <r>
    <x v="1"/>
  </r>
  <r>
    <x v="0"/>
  </r>
  <r>
    <x v="2"/>
  </r>
  <r>
    <x v="3"/>
  </r>
  <r>
    <x v="1"/>
  </r>
  <r>
    <x v="3"/>
  </r>
  <r>
    <x v="1"/>
  </r>
  <r>
    <x v="1"/>
  </r>
  <r>
    <x v="0"/>
  </r>
  <r>
    <x v="1"/>
  </r>
  <r>
    <x v="1"/>
  </r>
  <r>
    <x v="0"/>
  </r>
  <r>
    <x v="1"/>
  </r>
  <r>
    <x v="1"/>
  </r>
  <r>
    <x v="1"/>
  </r>
  <r>
    <x v="1"/>
  </r>
  <r>
    <x v="1"/>
  </r>
  <r>
    <x v="2"/>
  </r>
  <r>
    <x v="0"/>
  </r>
  <r>
    <x v="2"/>
  </r>
  <r>
    <x v="1"/>
  </r>
  <r>
    <x v="0"/>
  </r>
  <r>
    <x v="1"/>
  </r>
  <r>
    <x v="1"/>
  </r>
  <r>
    <x v="1"/>
  </r>
  <r>
    <x v="1"/>
  </r>
  <r>
    <x v="0"/>
  </r>
  <r>
    <x v="0"/>
  </r>
  <r>
    <x v="0"/>
  </r>
  <r>
    <x v="3"/>
  </r>
  <r>
    <x v="1"/>
  </r>
  <r>
    <x v="0"/>
  </r>
  <r>
    <x v="1"/>
  </r>
  <r>
    <x v="4"/>
  </r>
  <r>
    <x v="3"/>
  </r>
  <r>
    <x v="1"/>
  </r>
  <r>
    <x v="1"/>
  </r>
  <r>
    <x v="4"/>
  </r>
  <r>
    <x v="1"/>
  </r>
  <r>
    <x v="1"/>
  </r>
  <r>
    <x v="1"/>
  </r>
  <r>
    <x v="0"/>
  </r>
  <r>
    <x v="1"/>
  </r>
  <r>
    <x v="1"/>
  </r>
  <r>
    <x v="0"/>
  </r>
  <r>
    <x v="0"/>
  </r>
  <r>
    <x v="1"/>
  </r>
  <r>
    <x v="1"/>
  </r>
  <r>
    <x v="1"/>
  </r>
  <r>
    <x v="1"/>
  </r>
  <r>
    <x v="1"/>
  </r>
  <r>
    <x v="4"/>
  </r>
  <r>
    <x v="3"/>
  </r>
  <r>
    <x v="0"/>
  </r>
  <r>
    <x v="1"/>
  </r>
  <r>
    <x v="2"/>
  </r>
  <r>
    <x v="1"/>
  </r>
  <r>
    <x v="1"/>
  </r>
  <r>
    <x v="1"/>
  </r>
  <r>
    <x v="3"/>
  </r>
  <r>
    <x v="1"/>
  </r>
  <r>
    <x v="1"/>
  </r>
  <r>
    <x v="1"/>
  </r>
  <r>
    <x v="3"/>
  </r>
  <r>
    <x v="1"/>
  </r>
  <r>
    <x v="1"/>
  </r>
  <r>
    <x v="0"/>
  </r>
  <r>
    <x v="4"/>
  </r>
  <r>
    <x v="1"/>
  </r>
  <r>
    <x v="1"/>
  </r>
  <r>
    <x v="0"/>
  </r>
  <r>
    <x v="1"/>
  </r>
  <r>
    <x v="1"/>
  </r>
  <r>
    <x v="4"/>
  </r>
  <r>
    <x v="1"/>
  </r>
  <r>
    <x v="2"/>
  </r>
  <r>
    <x v="1"/>
  </r>
  <r>
    <x v="0"/>
  </r>
  <r>
    <x v="0"/>
  </r>
  <r>
    <x v="0"/>
  </r>
  <r>
    <x v="1"/>
  </r>
  <r>
    <x v="1"/>
  </r>
  <r>
    <x v="3"/>
  </r>
  <r>
    <x v="1"/>
  </r>
  <r>
    <x v="0"/>
  </r>
  <r>
    <x v="1"/>
  </r>
  <r>
    <x v="1"/>
  </r>
  <r>
    <x v="1"/>
  </r>
  <r>
    <x v="0"/>
  </r>
  <r>
    <x v="3"/>
  </r>
  <r>
    <x v="0"/>
  </r>
  <r>
    <x v="0"/>
  </r>
  <r>
    <x v="1"/>
  </r>
  <r>
    <x v="1"/>
  </r>
  <r>
    <x v="3"/>
  </r>
  <r>
    <x v="1"/>
  </r>
  <r>
    <x v="1"/>
  </r>
  <r>
    <x v="1"/>
  </r>
  <r>
    <x v="1"/>
  </r>
  <r>
    <x v="4"/>
  </r>
  <r>
    <x v="1"/>
  </r>
  <r>
    <x v="3"/>
  </r>
  <r>
    <x v="1"/>
  </r>
  <r>
    <x v="3"/>
  </r>
  <r>
    <x v="2"/>
  </r>
  <r>
    <x v="3"/>
  </r>
  <r>
    <x v="0"/>
  </r>
  <r>
    <x v="0"/>
  </r>
  <r>
    <x v="0"/>
  </r>
  <r>
    <x v="1"/>
  </r>
  <r>
    <x v="1"/>
  </r>
  <r>
    <x v="1"/>
  </r>
  <r>
    <x v="1"/>
  </r>
  <r>
    <x v="4"/>
  </r>
  <r>
    <x v="0"/>
  </r>
  <r>
    <x v="1"/>
  </r>
  <r>
    <x v="1"/>
  </r>
  <r>
    <x v="1"/>
  </r>
  <r>
    <x v="2"/>
  </r>
  <r>
    <x v="1"/>
  </r>
  <r>
    <x v="2"/>
  </r>
  <r>
    <x v="1"/>
  </r>
  <r>
    <x v="3"/>
  </r>
  <r>
    <x v="0"/>
  </r>
  <r>
    <x v="2"/>
  </r>
  <r>
    <x v="5"/>
  </r>
  <r>
    <x v="1"/>
  </r>
  <r>
    <x v="1"/>
  </r>
  <r>
    <x v="1"/>
  </r>
  <r>
    <x v="3"/>
  </r>
  <r>
    <x v="4"/>
  </r>
  <r>
    <x v="1"/>
  </r>
  <r>
    <x v="1"/>
  </r>
  <r>
    <x v="1"/>
  </r>
  <r>
    <x v="1"/>
  </r>
  <r>
    <x v="2"/>
  </r>
  <r>
    <x v="1"/>
  </r>
  <r>
    <x v="3"/>
  </r>
  <r>
    <x v="3"/>
  </r>
  <r>
    <x v="1"/>
  </r>
  <r>
    <x v="3"/>
  </r>
  <r>
    <x v="1"/>
  </r>
  <r>
    <x v="0"/>
  </r>
  <r>
    <x v="1"/>
  </r>
  <r>
    <x v="1"/>
  </r>
  <r>
    <x v="3"/>
  </r>
  <r>
    <x v="1"/>
  </r>
  <r>
    <x v="1"/>
  </r>
  <r>
    <x v="0"/>
  </r>
  <r>
    <x v="1"/>
  </r>
  <r>
    <x v="1"/>
  </r>
  <r>
    <x v="0"/>
  </r>
  <r>
    <x v="3"/>
  </r>
  <r>
    <x v="3"/>
  </r>
  <r>
    <x v="1"/>
  </r>
  <r>
    <x v="1"/>
  </r>
  <r>
    <x v="6"/>
  </r>
  <r>
    <x v="1"/>
  </r>
  <r>
    <x v="1"/>
  </r>
  <r>
    <x v="1"/>
  </r>
  <r>
    <x v="5"/>
  </r>
  <r>
    <x v="5"/>
  </r>
  <r>
    <x v="1"/>
  </r>
  <r>
    <x v="1"/>
  </r>
  <r>
    <x v="1"/>
  </r>
  <r>
    <x v="0"/>
  </r>
  <r>
    <x v="0"/>
  </r>
  <r>
    <x v="1"/>
  </r>
  <r>
    <x v="5"/>
  </r>
  <r>
    <x v="1"/>
  </r>
  <r>
    <x v="3"/>
  </r>
  <r>
    <x v="0"/>
  </r>
  <r>
    <x v="0"/>
  </r>
  <r>
    <x v="2"/>
  </r>
  <r>
    <x v="1"/>
  </r>
  <r>
    <x v="3"/>
  </r>
  <r>
    <x v="1"/>
  </r>
  <r>
    <x v="1"/>
  </r>
  <r>
    <x v="1"/>
  </r>
  <r>
    <x v="3"/>
  </r>
  <r>
    <x v="1"/>
  </r>
  <r>
    <x v="1"/>
  </r>
  <r>
    <x v="3"/>
  </r>
  <r>
    <x v="0"/>
  </r>
  <r>
    <x v="3"/>
  </r>
  <r>
    <x v="0"/>
  </r>
  <r>
    <x v="0"/>
  </r>
  <r>
    <x v="4"/>
  </r>
  <r>
    <x v="1"/>
  </r>
  <r>
    <x v="4"/>
  </r>
  <r>
    <x v="1"/>
  </r>
  <r>
    <x v="1"/>
  </r>
  <r>
    <x v="1"/>
  </r>
  <r>
    <x v="3"/>
  </r>
  <r>
    <x v="1"/>
  </r>
  <r>
    <x v="6"/>
  </r>
  <r>
    <x v="2"/>
  </r>
  <r>
    <x v="1"/>
  </r>
  <r>
    <x v="1"/>
  </r>
  <r>
    <x v="3"/>
  </r>
  <r>
    <x v="3"/>
  </r>
  <r>
    <x v="5"/>
  </r>
  <r>
    <x v="4"/>
  </r>
  <r>
    <x v="1"/>
  </r>
  <r>
    <x v="2"/>
  </r>
  <r>
    <x v="2"/>
  </r>
  <r>
    <x v="1"/>
  </r>
  <r>
    <x v="5"/>
  </r>
  <r>
    <x v="1"/>
  </r>
  <r>
    <x v="0"/>
  </r>
  <r>
    <x v="1"/>
  </r>
  <r>
    <x v="1"/>
  </r>
  <r>
    <x v="1"/>
  </r>
  <r>
    <x v="0"/>
  </r>
  <r>
    <x v="2"/>
  </r>
  <r>
    <x v="3"/>
  </r>
  <r>
    <x v="3"/>
  </r>
  <r>
    <x v="3"/>
  </r>
  <r>
    <x v="3"/>
  </r>
  <r>
    <x v="1"/>
  </r>
  <r>
    <x v="0"/>
  </r>
  <r>
    <x v="0"/>
  </r>
  <r>
    <x v="3"/>
  </r>
  <r>
    <x v="1"/>
  </r>
  <r>
    <x v="2"/>
  </r>
  <r>
    <x v="0"/>
  </r>
  <r>
    <x v="4"/>
  </r>
  <r>
    <x v="3"/>
  </r>
  <r>
    <x v="2"/>
  </r>
  <r>
    <x v="4"/>
  </r>
  <r>
    <x v="2"/>
  </r>
  <r>
    <x v="1"/>
  </r>
  <r>
    <x v="3"/>
  </r>
  <r>
    <x v="1"/>
  </r>
  <r>
    <x v="0"/>
  </r>
  <r>
    <x v="0"/>
  </r>
  <r>
    <x v="0"/>
  </r>
  <r>
    <x v="0"/>
  </r>
  <r>
    <x v="3"/>
  </r>
  <r>
    <x v="3"/>
  </r>
  <r>
    <x v="1"/>
  </r>
  <r>
    <x v="4"/>
  </r>
  <r>
    <x v="3"/>
  </r>
  <r>
    <x v="0"/>
  </r>
  <r>
    <x v="0"/>
  </r>
  <r>
    <x v="3"/>
  </r>
  <r>
    <x v="1"/>
  </r>
  <r>
    <x v="3"/>
  </r>
  <r>
    <x v="1"/>
  </r>
  <r>
    <x v="1"/>
  </r>
  <r>
    <x v="1"/>
  </r>
  <r>
    <x v="0"/>
  </r>
  <r>
    <x v="1"/>
  </r>
  <r>
    <x v="4"/>
  </r>
  <r>
    <x v="1"/>
  </r>
  <r>
    <x v="0"/>
  </r>
  <r>
    <x v="1"/>
  </r>
  <r>
    <x v="3"/>
  </r>
  <r>
    <x v="1"/>
  </r>
  <r>
    <x v="2"/>
  </r>
  <r>
    <x v="3"/>
  </r>
  <r>
    <x v="3"/>
  </r>
  <r>
    <x v="1"/>
  </r>
  <r>
    <x v="1"/>
  </r>
  <r>
    <x v="1"/>
  </r>
  <r>
    <x v="1"/>
  </r>
  <r>
    <x v="3"/>
  </r>
  <r>
    <x v="4"/>
  </r>
  <r>
    <x v="1"/>
  </r>
  <r>
    <x v="4"/>
  </r>
  <r>
    <x v="0"/>
  </r>
  <r>
    <x v="0"/>
  </r>
  <r>
    <x v="6"/>
  </r>
  <r>
    <x v="1"/>
  </r>
  <r>
    <x v="1"/>
  </r>
  <r>
    <x v="3"/>
  </r>
  <r>
    <x v="0"/>
  </r>
  <r>
    <x v="1"/>
  </r>
  <r>
    <x v="1"/>
  </r>
  <r>
    <x v="2"/>
  </r>
  <r>
    <x v="2"/>
  </r>
  <r>
    <x v="1"/>
  </r>
  <r>
    <x v="1"/>
  </r>
  <r>
    <x v="2"/>
  </r>
  <r>
    <x v="3"/>
  </r>
  <r>
    <x v="1"/>
  </r>
  <r>
    <x v="3"/>
  </r>
  <r>
    <x v="3"/>
  </r>
  <r>
    <x v="4"/>
  </r>
  <r>
    <x v="0"/>
  </r>
  <r>
    <x v="1"/>
  </r>
  <r>
    <x v="1"/>
  </r>
  <r>
    <x v="1"/>
  </r>
  <r>
    <x v="1"/>
  </r>
  <r>
    <x v="1"/>
  </r>
  <r>
    <x v="3"/>
  </r>
  <r>
    <x v="3"/>
  </r>
  <r>
    <x v="0"/>
  </r>
  <r>
    <x v="3"/>
  </r>
  <r>
    <x v="2"/>
  </r>
  <r>
    <x v="1"/>
  </r>
  <r>
    <x v="3"/>
  </r>
  <r>
    <x v="0"/>
  </r>
  <r>
    <x v="1"/>
  </r>
  <r>
    <x v="3"/>
  </r>
  <r>
    <x v="3"/>
  </r>
  <r>
    <x v="3"/>
  </r>
  <r>
    <x v="0"/>
  </r>
  <r>
    <x v="1"/>
  </r>
  <r>
    <x v="1"/>
  </r>
  <r>
    <x v="1"/>
  </r>
  <r>
    <x v="1"/>
  </r>
  <r>
    <x v="2"/>
  </r>
  <r>
    <x v="3"/>
  </r>
  <r>
    <x v="3"/>
  </r>
  <r>
    <x v="1"/>
  </r>
  <r>
    <x v="0"/>
  </r>
  <r>
    <x v="1"/>
  </r>
  <r>
    <x v="1"/>
  </r>
  <r>
    <x v="3"/>
  </r>
  <r>
    <x v="1"/>
  </r>
  <r>
    <x v="4"/>
  </r>
  <r>
    <x v="3"/>
  </r>
  <r>
    <x v="1"/>
  </r>
  <r>
    <x v="1"/>
  </r>
  <r>
    <x v="0"/>
  </r>
  <r>
    <x v="3"/>
  </r>
  <r>
    <x v="1"/>
  </r>
  <r>
    <x v="1"/>
  </r>
  <r>
    <x v="3"/>
  </r>
  <r>
    <x v="1"/>
  </r>
  <r>
    <x v="1"/>
  </r>
  <r>
    <x v="1"/>
  </r>
  <r>
    <x v="3"/>
  </r>
  <r>
    <x v="1"/>
  </r>
  <r>
    <x v="3"/>
  </r>
  <r>
    <x v="1"/>
  </r>
  <r>
    <x v="4"/>
  </r>
  <r>
    <x v="1"/>
  </r>
  <r>
    <x v="3"/>
  </r>
  <r>
    <x v="1"/>
  </r>
  <r>
    <x v="3"/>
  </r>
  <r>
    <x v="3"/>
  </r>
  <r>
    <x v="2"/>
  </r>
  <r>
    <x v="3"/>
  </r>
  <r>
    <x v="1"/>
  </r>
  <r>
    <x v="1"/>
  </r>
  <r>
    <x v="0"/>
  </r>
  <r>
    <x v="1"/>
  </r>
  <r>
    <x v="0"/>
  </r>
  <r>
    <x v="1"/>
  </r>
  <r>
    <x v="3"/>
  </r>
  <r>
    <x v="1"/>
  </r>
  <r>
    <x v="4"/>
  </r>
  <r>
    <x v="1"/>
  </r>
  <r>
    <x v="3"/>
  </r>
  <r>
    <x v="1"/>
  </r>
  <r>
    <x v="0"/>
  </r>
  <r>
    <x v="1"/>
  </r>
  <r>
    <x v="2"/>
  </r>
  <r>
    <x v="1"/>
  </r>
  <r>
    <x v="1"/>
  </r>
  <r>
    <x v="1"/>
  </r>
  <r>
    <x v="3"/>
  </r>
  <r>
    <x v="1"/>
  </r>
  <r>
    <x v="0"/>
  </r>
  <r>
    <x v="3"/>
  </r>
  <r>
    <x v="3"/>
  </r>
  <r>
    <x v="4"/>
  </r>
  <r>
    <x v="4"/>
  </r>
  <r>
    <x v="3"/>
  </r>
  <r>
    <x v="2"/>
  </r>
  <r>
    <x v="3"/>
  </r>
  <r>
    <x v="1"/>
  </r>
  <r>
    <x v="2"/>
  </r>
  <r>
    <x v="1"/>
  </r>
  <r>
    <x v="3"/>
  </r>
  <r>
    <x v="0"/>
  </r>
  <r>
    <x v="1"/>
  </r>
  <r>
    <x v="1"/>
  </r>
  <r>
    <x v="1"/>
  </r>
  <r>
    <x v="3"/>
  </r>
  <r>
    <x v="1"/>
  </r>
  <r>
    <x v="1"/>
  </r>
  <r>
    <x v="3"/>
  </r>
  <r>
    <x v="6"/>
  </r>
  <r>
    <x v="0"/>
  </r>
  <r>
    <x v="1"/>
  </r>
  <r>
    <x v="1"/>
  </r>
  <r>
    <x v="0"/>
  </r>
  <r>
    <x v="1"/>
  </r>
  <r>
    <x v="3"/>
  </r>
  <r>
    <x v="6"/>
  </r>
  <r>
    <x v="0"/>
  </r>
  <r>
    <x v="1"/>
  </r>
  <r>
    <x v="1"/>
  </r>
  <r>
    <x v="1"/>
  </r>
  <r>
    <x v="1"/>
  </r>
  <r>
    <x v="1"/>
  </r>
  <r>
    <x v="3"/>
  </r>
  <r>
    <x v="3"/>
  </r>
  <r>
    <x v="0"/>
  </r>
  <r>
    <x v="1"/>
  </r>
  <r>
    <x v="0"/>
  </r>
  <r>
    <x v="0"/>
  </r>
  <r>
    <x v="0"/>
  </r>
  <r>
    <x v="0"/>
  </r>
  <r>
    <x v="1"/>
  </r>
  <r>
    <x v="1"/>
  </r>
  <r>
    <x v="1"/>
  </r>
  <r>
    <x v="1"/>
  </r>
  <r>
    <x v="2"/>
  </r>
  <r>
    <x v="1"/>
  </r>
  <r>
    <x v="4"/>
  </r>
  <r>
    <x v="3"/>
  </r>
  <r>
    <x v="1"/>
  </r>
  <r>
    <x v="5"/>
  </r>
  <r>
    <x v="0"/>
  </r>
  <r>
    <x v="1"/>
  </r>
  <r>
    <x v="3"/>
  </r>
  <r>
    <x v="3"/>
  </r>
  <r>
    <x v="1"/>
  </r>
  <r>
    <x v="0"/>
  </r>
  <r>
    <x v="0"/>
  </r>
  <r>
    <x v="3"/>
  </r>
  <r>
    <x v="4"/>
  </r>
  <r>
    <x v="1"/>
  </r>
  <r>
    <x v="0"/>
  </r>
  <r>
    <x v="1"/>
  </r>
  <r>
    <x v="1"/>
  </r>
  <r>
    <x v="3"/>
  </r>
  <r>
    <x v="0"/>
  </r>
  <r>
    <x v="1"/>
  </r>
  <r>
    <x v="3"/>
  </r>
  <r>
    <x v="1"/>
  </r>
  <r>
    <x v="3"/>
  </r>
  <r>
    <x v="1"/>
  </r>
  <r>
    <x v="1"/>
  </r>
  <r>
    <x v="3"/>
  </r>
  <r>
    <x v="3"/>
  </r>
  <r>
    <x v="1"/>
  </r>
  <r>
    <x v="1"/>
  </r>
  <r>
    <x v="2"/>
  </r>
  <r>
    <x v="4"/>
  </r>
  <r>
    <x v="3"/>
  </r>
  <r>
    <x v="1"/>
  </r>
  <r>
    <x v="0"/>
  </r>
  <r>
    <x v="1"/>
  </r>
  <r>
    <x v="3"/>
  </r>
  <r>
    <x v="2"/>
  </r>
  <r>
    <x v="1"/>
  </r>
  <r>
    <x v="2"/>
  </r>
  <r>
    <x v="1"/>
  </r>
  <r>
    <x v="1"/>
  </r>
  <r>
    <x v="1"/>
  </r>
  <r>
    <x v="3"/>
  </r>
  <r>
    <x v="1"/>
  </r>
  <r>
    <x v="1"/>
  </r>
  <r>
    <x v="3"/>
  </r>
  <r>
    <x v="1"/>
  </r>
  <r>
    <x v="1"/>
  </r>
  <r>
    <x v="1"/>
  </r>
  <r>
    <x v="1"/>
  </r>
  <r>
    <x v="1"/>
  </r>
  <r>
    <x v="3"/>
  </r>
  <r>
    <x v="1"/>
  </r>
  <r>
    <x v="1"/>
  </r>
  <r>
    <x v="3"/>
  </r>
  <r>
    <x v="0"/>
  </r>
  <r>
    <x v="0"/>
  </r>
  <r>
    <x v="1"/>
  </r>
  <r>
    <x v="1"/>
  </r>
  <r>
    <x v="2"/>
  </r>
  <r>
    <x v="3"/>
  </r>
  <r>
    <x v="1"/>
  </r>
  <r>
    <x v="1"/>
  </r>
  <r>
    <x v="1"/>
  </r>
  <r>
    <x v="1"/>
  </r>
  <r>
    <x v="1"/>
  </r>
  <r>
    <x v="0"/>
  </r>
  <r>
    <x v="4"/>
  </r>
  <r>
    <x v="1"/>
  </r>
  <r>
    <x v="1"/>
  </r>
  <r>
    <x v="1"/>
  </r>
  <r>
    <x v="3"/>
  </r>
  <r>
    <x v="1"/>
  </r>
  <r>
    <x v="1"/>
  </r>
  <r>
    <x v="3"/>
  </r>
  <r>
    <x v="1"/>
  </r>
  <r>
    <x v="1"/>
  </r>
  <r>
    <x v="6"/>
  </r>
  <r>
    <x v="3"/>
  </r>
  <r>
    <x v="1"/>
  </r>
  <r>
    <x v="2"/>
  </r>
  <r>
    <x v="3"/>
  </r>
  <r>
    <x v="0"/>
  </r>
  <r>
    <x v="3"/>
  </r>
  <r>
    <x v="1"/>
  </r>
  <r>
    <x v="1"/>
  </r>
  <r>
    <x v="4"/>
  </r>
  <r>
    <x v="1"/>
  </r>
  <r>
    <x v="1"/>
  </r>
  <r>
    <x v="1"/>
  </r>
  <r>
    <x v="3"/>
  </r>
  <r>
    <x v="1"/>
  </r>
  <r>
    <x v="1"/>
  </r>
  <r>
    <x v="2"/>
  </r>
  <r>
    <x v="3"/>
  </r>
  <r>
    <x v="1"/>
  </r>
  <r>
    <x v="1"/>
  </r>
  <r>
    <x v="3"/>
  </r>
  <r>
    <x v="1"/>
  </r>
  <r>
    <x v="1"/>
  </r>
  <r>
    <x v="2"/>
  </r>
  <r>
    <x v="1"/>
  </r>
  <r>
    <x v="1"/>
  </r>
  <r>
    <x v="3"/>
  </r>
  <r>
    <x v="0"/>
  </r>
  <r>
    <x v="1"/>
  </r>
  <r>
    <x v="1"/>
  </r>
  <r>
    <x v="0"/>
  </r>
  <r>
    <x v="1"/>
  </r>
  <r>
    <x v="1"/>
  </r>
  <r>
    <x v="1"/>
  </r>
  <r>
    <x v="1"/>
  </r>
  <r>
    <x v="3"/>
  </r>
  <r>
    <x v="1"/>
  </r>
  <r>
    <x v="1"/>
  </r>
  <r>
    <x v="1"/>
  </r>
  <r>
    <x v="3"/>
  </r>
  <r>
    <x v="3"/>
  </r>
  <r>
    <x v="3"/>
  </r>
  <r>
    <x v="1"/>
  </r>
  <r>
    <x v="1"/>
  </r>
  <r>
    <x v="1"/>
  </r>
  <r>
    <x v="3"/>
  </r>
  <r>
    <x v="4"/>
  </r>
  <r>
    <x v="1"/>
  </r>
  <r>
    <x v="1"/>
  </r>
  <r>
    <x v="3"/>
  </r>
  <r>
    <x v="1"/>
  </r>
  <r>
    <x v="2"/>
  </r>
  <r>
    <x v="3"/>
  </r>
  <r>
    <x v="3"/>
  </r>
  <r>
    <x v="1"/>
  </r>
  <r>
    <x v="1"/>
  </r>
  <r>
    <x v="3"/>
  </r>
  <r>
    <x v="4"/>
  </r>
  <r>
    <x v="1"/>
  </r>
  <r>
    <x v="1"/>
  </r>
  <r>
    <x v="1"/>
  </r>
  <r>
    <x v="1"/>
  </r>
  <r>
    <x v="1"/>
  </r>
  <r>
    <x v="1"/>
  </r>
  <r>
    <x v="0"/>
  </r>
  <r>
    <x v="1"/>
  </r>
  <r>
    <x v="3"/>
  </r>
  <r>
    <x v="4"/>
  </r>
  <r>
    <x v="1"/>
  </r>
  <r>
    <x v="3"/>
  </r>
  <r>
    <x v="0"/>
  </r>
  <r>
    <x v="4"/>
  </r>
  <r>
    <x v="1"/>
  </r>
  <r>
    <x v="2"/>
  </r>
  <r>
    <x v="2"/>
  </r>
  <r>
    <x v="2"/>
  </r>
  <r>
    <x v="3"/>
  </r>
  <r>
    <x v="3"/>
  </r>
  <r>
    <x v="3"/>
  </r>
  <r>
    <x v="0"/>
  </r>
  <r>
    <x v="7"/>
  </r>
  <r>
    <x v="1"/>
  </r>
  <r>
    <x v="1"/>
  </r>
  <r>
    <x v="0"/>
  </r>
  <r>
    <x v="1"/>
  </r>
  <r>
    <x v="0"/>
  </r>
  <r>
    <x v="1"/>
  </r>
  <r>
    <x v="3"/>
  </r>
  <r>
    <x v="3"/>
  </r>
  <r>
    <x v="0"/>
  </r>
  <r>
    <x v="1"/>
  </r>
  <r>
    <x v="0"/>
  </r>
  <r>
    <x v="3"/>
  </r>
  <r>
    <x v="2"/>
  </r>
  <r>
    <x v="1"/>
  </r>
  <r>
    <x v="3"/>
  </r>
  <r>
    <x v="1"/>
  </r>
  <r>
    <x v="4"/>
  </r>
  <r>
    <x v="3"/>
  </r>
  <r>
    <x v="1"/>
  </r>
  <r>
    <x v="3"/>
  </r>
  <r>
    <x v="1"/>
  </r>
  <r>
    <x v="1"/>
  </r>
  <r>
    <x v="1"/>
  </r>
  <r>
    <x v="1"/>
  </r>
  <r>
    <x v="1"/>
  </r>
  <r>
    <x v="3"/>
  </r>
  <r>
    <x v="3"/>
  </r>
  <r>
    <x v="1"/>
  </r>
  <r>
    <x v="1"/>
  </r>
  <r>
    <x v="0"/>
  </r>
  <r>
    <x v="0"/>
  </r>
  <r>
    <x v="1"/>
  </r>
  <r>
    <x v="1"/>
  </r>
  <r>
    <x v="1"/>
  </r>
  <r>
    <x v="1"/>
  </r>
  <r>
    <x v="0"/>
  </r>
  <r>
    <x v="1"/>
  </r>
  <r>
    <x v="2"/>
  </r>
  <r>
    <x v="3"/>
  </r>
  <r>
    <x v="3"/>
  </r>
  <r>
    <x v="1"/>
  </r>
  <r>
    <x v="1"/>
  </r>
  <r>
    <x v="0"/>
  </r>
  <r>
    <x v="1"/>
  </r>
  <r>
    <x v="1"/>
  </r>
  <r>
    <x v="7"/>
  </r>
</pivotCacheRecords>
</file>

<file path=xl/pivotCache/pivotCacheRecords3.xml><?xml version="1.0" encoding="utf-8"?>
<pivotCacheRecords xmlns="http://schemas.openxmlformats.org/spreadsheetml/2006/main" xmlns:r="http://schemas.openxmlformats.org/officeDocument/2006/relationships" count="821">
  <r>
    <x v="0"/>
  </r>
  <r>
    <x v="0"/>
  </r>
  <r>
    <x v="1"/>
  </r>
  <r>
    <x v="0"/>
  </r>
  <r>
    <x v="0"/>
  </r>
  <r>
    <x v="2"/>
  </r>
  <r>
    <x v="2"/>
  </r>
  <r>
    <x v="0"/>
  </r>
  <r>
    <x v="2"/>
  </r>
  <r>
    <x v="3"/>
  </r>
  <r>
    <x v="3"/>
  </r>
  <r>
    <x v="1"/>
  </r>
  <r>
    <x v="4"/>
  </r>
  <r>
    <x v="0"/>
  </r>
  <r>
    <x v="4"/>
  </r>
  <r>
    <x v="1"/>
  </r>
  <r>
    <x v="0"/>
  </r>
  <r>
    <x v="0"/>
  </r>
  <r>
    <x v="0"/>
  </r>
  <r>
    <x v="0"/>
  </r>
  <r>
    <x v="1"/>
  </r>
  <r>
    <x v="4"/>
  </r>
  <r>
    <x v="1"/>
  </r>
  <r>
    <x v="3"/>
  </r>
  <r>
    <x v="4"/>
  </r>
  <r>
    <x v="1"/>
  </r>
  <r>
    <x v="0"/>
  </r>
  <r>
    <x v="0"/>
  </r>
  <r>
    <x v="4"/>
  </r>
  <r>
    <x v="4"/>
  </r>
  <r>
    <x v="5"/>
  </r>
  <r>
    <x v="1"/>
  </r>
  <r>
    <x v="0"/>
  </r>
  <r>
    <x v="2"/>
  </r>
  <r>
    <x v="0"/>
  </r>
  <r>
    <x v="2"/>
  </r>
  <r>
    <x v="4"/>
  </r>
  <r>
    <x v="4"/>
  </r>
  <r>
    <x v="1"/>
  </r>
  <r>
    <x v="1"/>
  </r>
  <r>
    <x v="0"/>
  </r>
  <r>
    <x v="0"/>
  </r>
  <r>
    <x v="4"/>
  </r>
  <r>
    <x v="4"/>
  </r>
  <r>
    <x v="0"/>
  </r>
  <r>
    <x v="0"/>
  </r>
  <r>
    <x v="1"/>
  </r>
  <r>
    <x v="0"/>
  </r>
  <r>
    <x v="0"/>
  </r>
  <r>
    <x v="0"/>
  </r>
  <r>
    <x v="0"/>
  </r>
  <r>
    <x v="0"/>
  </r>
  <r>
    <x v="0"/>
  </r>
  <r>
    <x v="1"/>
  </r>
  <r>
    <x v="0"/>
  </r>
  <r>
    <x v="0"/>
  </r>
  <r>
    <x v="0"/>
  </r>
  <r>
    <x v="1"/>
  </r>
  <r>
    <x v="2"/>
  </r>
  <r>
    <x v="4"/>
  </r>
  <r>
    <x v="0"/>
  </r>
  <r>
    <x v="4"/>
  </r>
  <r>
    <x v="0"/>
  </r>
  <r>
    <x v="1"/>
  </r>
  <r>
    <x v="0"/>
  </r>
  <r>
    <x v="1"/>
  </r>
  <r>
    <x v="0"/>
  </r>
  <r>
    <x v="0"/>
  </r>
  <r>
    <x v="2"/>
  </r>
  <r>
    <x v="0"/>
  </r>
  <r>
    <x v="1"/>
  </r>
  <r>
    <x v="3"/>
  </r>
  <r>
    <x v="4"/>
  </r>
  <r>
    <x v="4"/>
  </r>
  <r>
    <x v="1"/>
  </r>
  <r>
    <x v="0"/>
  </r>
  <r>
    <x v="0"/>
  </r>
  <r>
    <x v="0"/>
  </r>
  <r>
    <x v="0"/>
  </r>
  <r>
    <x v="0"/>
  </r>
  <r>
    <x v="1"/>
  </r>
  <r>
    <x v="0"/>
  </r>
  <r>
    <x v="3"/>
  </r>
  <r>
    <x v="4"/>
  </r>
  <r>
    <x v="0"/>
  </r>
  <r>
    <x v="3"/>
  </r>
  <r>
    <x v="0"/>
  </r>
  <r>
    <x v="0"/>
  </r>
  <r>
    <x v="4"/>
  </r>
  <r>
    <x v="0"/>
  </r>
  <r>
    <x v="4"/>
  </r>
  <r>
    <x v="0"/>
  </r>
  <r>
    <x v="0"/>
  </r>
  <r>
    <x v="1"/>
  </r>
  <r>
    <x v="1"/>
  </r>
  <r>
    <x v="1"/>
  </r>
  <r>
    <x v="0"/>
  </r>
  <r>
    <x v="4"/>
  </r>
  <r>
    <x v="3"/>
  </r>
  <r>
    <x v="0"/>
  </r>
  <r>
    <x v="1"/>
  </r>
  <r>
    <x v="0"/>
  </r>
  <r>
    <x v="3"/>
  </r>
  <r>
    <x v="3"/>
  </r>
  <r>
    <x v="0"/>
  </r>
  <r>
    <x v="2"/>
  </r>
  <r>
    <x v="1"/>
  </r>
  <r>
    <x v="1"/>
  </r>
  <r>
    <x v="1"/>
  </r>
  <r>
    <x v="0"/>
  </r>
  <r>
    <x v="0"/>
  </r>
  <r>
    <x v="1"/>
  </r>
  <r>
    <x v="4"/>
  </r>
  <r>
    <x v="1"/>
  </r>
  <r>
    <x v="4"/>
  </r>
  <r>
    <x v="0"/>
  </r>
  <r>
    <x v="2"/>
  </r>
  <r>
    <x v="3"/>
  </r>
  <r>
    <x v="4"/>
  </r>
  <r>
    <x v="0"/>
  </r>
  <r>
    <x v="3"/>
  </r>
  <r>
    <x v="3"/>
  </r>
  <r>
    <x v="1"/>
  </r>
  <r>
    <x v="5"/>
  </r>
  <r>
    <x v="0"/>
  </r>
  <r>
    <x v="4"/>
  </r>
  <r>
    <x v="0"/>
  </r>
  <r>
    <x v="4"/>
  </r>
  <r>
    <x v="0"/>
  </r>
  <r>
    <x v="0"/>
  </r>
  <r>
    <x v="1"/>
  </r>
  <r>
    <x v="0"/>
  </r>
  <r>
    <x v="0"/>
  </r>
  <r>
    <x v="0"/>
  </r>
  <r>
    <x v="0"/>
  </r>
  <r>
    <x v="1"/>
  </r>
  <r>
    <x v="1"/>
  </r>
  <r>
    <x v="0"/>
  </r>
  <r>
    <x v="0"/>
  </r>
  <r>
    <x v="1"/>
  </r>
  <r>
    <x v="0"/>
  </r>
  <r>
    <x v="0"/>
  </r>
  <r>
    <x v="4"/>
  </r>
  <r>
    <x v="0"/>
  </r>
  <r>
    <x v="0"/>
  </r>
  <r>
    <x v="0"/>
  </r>
  <r>
    <x v="4"/>
  </r>
  <r>
    <x v="4"/>
  </r>
  <r>
    <x v="4"/>
  </r>
  <r>
    <x v="0"/>
  </r>
  <r>
    <x v="0"/>
  </r>
  <r>
    <x v="1"/>
  </r>
  <r>
    <x v="2"/>
  </r>
  <r>
    <x v="0"/>
  </r>
  <r>
    <x v="0"/>
  </r>
  <r>
    <x v="0"/>
  </r>
  <r>
    <x v="4"/>
  </r>
  <r>
    <x v="1"/>
  </r>
  <r>
    <x v="0"/>
  </r>
  <r>
    <x v="0"/>
  </r>
  <r>
    <x v="1"/>
  </r>
  <r>
    <x v="0"/>
  </r>
  <r>
    <x v="2"/>
  </r>
  <r>
    <x v="0"/>
  </r>
  <r>
    <x v="4"/>
  </r>
  <r>
    <x v="4"/>
  </r>
  <r>
    <x v="0"/>
  </r>
  <r>
    <x v="0"/>
  </r>
  <r>
    <x v="0"/>
  </r>
  <r>
    <x v="0"/>
  </r>
  <r>
    <x v="2"/>
  </r>
  <r>
    <x v="0"/>
  </r>
  <r>
    <x v="0"/>
  </r>
  <r>
    <x v="0"/>
  </r>
  <r>
    <x v="1"/>
  </r>
  <r>
    <x v="0"/>
  </r>
  <r>
    <x v="0"/>
  </r>
  <r>
    <x v="0"/>
  </r>
  <r>
    <x v="0"/>
  </r>
  <r>
    <x v="0"/>
  </r>
  <r>
    <x v="4"/>
  </r>
  <r>
    <x v="0"/>
  </r>
  <r>
    <x v="0"/>
  </r>
  <r>
    <x v="2"/>
  </r>
  <r>
    <x v="1"/>
  </r>
  <r>
    <x v="1"/>
  </r>
  <r>
    <x v="0"/>
  </r>
  <r>
    <x v="0"/>
  </r>
  <r>
    <x v="1"/>
  </r>
  <r>
    <x v="4"/>
  </r>
  <r>
    <x v="1"/>
  </r>
  <r>
    <x v="2"/>
  </r>
  <r>
    <x v="0"/>
  </r>
  <r>
    <x v="0"/>
  </r>
  <r>
    <x v="0"/>
  </r>
  <r>
    <x v="4"/>
  </r>
  <r>
    <x v="0"/>
  </r>
  <r>
    <x v="1"/>
  </r>
  <r>
    <x v="0"/>
  </r>
  <r>
    <x v="5"/>
  </r>
  <r>
    <x v="4"/>
  </r>
  <r>
    <x v="0"/>
  </r>
  <r>
    <x v="2"/>
  </r>
  <r>
    <x v="1"/>
  </r>
  <r>
    <x v="0"/>
  </r>
  <r>
    <x v="0"/>
  </r>
  <r>
    <x v="2"/>
  </r>
  <r>
    <x v="0"/>
  </r>
  <r>
    <x v="0"/>
  </r>
  <r>
    <x v="4"/>
  </r>
  <r>
    <x v="0"/>
  </r>
  <r>
    <x v="0"/>
  </r>
  <r>
    <x v="1"/>
  </r>
  <r>
    <x v="0"/>
  </r>
  <r>
    <x v="0"/>
  </r>
  <r>
    <x v="0"/>
  </r>
  <r>
    <x v="0"/>
  </r>
  <r>
    <x v="0"/>
  </r>
  <r>
    <x v="0"/>
  </r>
  <r>
    <x v="0"/>
  </r>
  <r>
    <x v="0"/>
  </r>
  <r>
    <x v="2"/>
  </r>
  <r>
    <x v="0"/>
  </r>
  <r>
    <x v="3"/>
  </r>
  <r>
    <x v="0"/>
  </r>
  <r>
    <x v="1"/>
  </r>
  <r>
    <x v="0"/>
  </r>
  <r>
    <x v="0"/>
  </r>
  <r>
    <x v="0"/>
  </r>
  <r>
    <x v="0"/>
  </r>
  <r>
    <x v="0"/>
  </r>
  <r>
    <x v="1"/>
  </r>
  <r>
    <x v="1"/>
  </r>
  <r>
    <x v="4"/>
  </r>
  <r>
    <x v="0"/>
  </r>
  <r>
    <x v="2"/>
  </r>
  <r>
    <x v="0"/>
  </r>
  <r>
    <x v="1"/>
  </r>
  <r>
    <x v="4"/>
  </r>
  <r>
    <x v="0"/>
  </r>
  <r>
    <x v="5"/>
  </r>
  <r>
    <x v="3"/>
  </r>
  <r>
    <x v="0"/>
  </r>
  <r>
    <x v="0"/>
  </r>
  <r>
    <x v="0"/>
  </r>
  <r>
    <x v="1"/>
  </r>
  <r>
    <x v="0"/>
  </r>
  <r>
    <x v="0"/>
  </r>
  <r>
    <x v="0"/>
  </r>
  <r>
    <x v="0"/>
  </r>
  <r>
    <x v="0"/>
  </r>
  <r>
    <x v="0"/>
  </r>
  <r>
    <x v="0"/>
  </r>
  <r>
    <x v="0"/>
  </r>
  <r>
    <x v="0"/>
  </r>
  <r>
    <x v="3"/>
  </r>
  <r>
    <x v="0"/>
  </r>
  <r>
    <x v="0"/>
  </r>
  <r>
    <x v="0"/>
  </r>
  <r>
    <x v="2"/>
  </r>
  <r>
    <x v="0"/>
  </r>
  <r>
    <x v="0"/>
  </r>
  <r>
    <x v="0"/>
  </r>
  <r>
    <x v="0"/>
  </r>
  <r>
    <x v="0"/>
  </r>
  <r>
    <x v="0"/>
  </r>
  <r>
    <x v="0"/>
  </r>
  <r>
    <x v="4"/>
  </r>
  <r>
    <x v="0"/>
  </r>
  <r>
    <x v="0"/>
  </r>
  <r>
    <x v="0"/>
  </r>
  <r>
    <x v="2"/>
  </r>
  <r>
    <x v="0"/>
  </r>
  <r>
    <x v="0"/>
  </r>
  <r>
    <x v="0"/>
  </r>
  <r>
    <x v="0"/>
  </r>
  <r>
    <x v="0"/>
  </r>
  <r>
    <x v="2"/>
  </r>
  <r>
    <x v="0"/>
  </r>
  <r>
    <x v="3"/>
  </r>
  <r>
    <x v="0"/>
  </r>
  <r>
    <x v="0"/>
  </r>
  <r>
    <x v="1"/>
  </r>
  <r>
    <x v="0"/>
  </r>
  <r>
    <x v="0"/>
  </r>
  <r>
    <x v="0"/>
  </r>
  <r>
    <x v="4"/>
  </r>
  <r>
    <x v="0"/>
  </r>
  <r>
    <x v="2"/>
  </r>
  <r>
    <x v="0"/>
  </r>
  <r>
    <x v="0"/>
  </r>
  <r>
    <x v="1"/>
  </r>
  <r>
    <x v="1"/>
  </r>
  <r>
    <x v="4"/>
  </r>
  <r>
    <x v="1"/>
  </r>
  <r>
    <x v="1"/>
  </r>
  <r>
    <x v="0"/>
  </r>
  <r>
    <x v="0"/>
  </r>
  <r>
    <x v="4"/>
  </r>
  <r>
    <x v="0"/>
  </r>
  <r>
    <x v="0"/>
  </r>
  <r>
    <x v="0"/>
  </r>
  <r>
    <x v="0"/>
  </r>
  <r>
    <x v="2"/>
  </r>
  <r>
    <x v="0"/>
  </r>
  <r>
    <x v="4"/>
  </r>
  <r>
    <x v="0"/>
  </r>
  <r>
    <x v="4"/>
  </r>
  <r>
    <x v="2"/>
  </r>
  <r>
    <x v="4"/>
  </r>
  <r>
    <x v="1"/>
  </r>
  <r>
    <x v="0"/>
  </r>
  <r>
    <x v="3"/>
  </r>
  <r>
    <x v="0"/>
  </r>
  <r>
    <x v="0"/>
  </r>
  <r>
    <x v="0"/>
  </r>
  <r>
    <x v="0"/>
  </r>
  <r>
    <x v="1"/>
  </r>
  <r>
    <x v="3"/>
  </r>
  <r>
    <x v="0"/>
  </r>
  <r>
    <x v="0"/>
  </r>
  <r>
    <x v="0"/>
  </r>
  <r>
    <x v="0"/>
  </r>
  <r>
    <x v="0"/>
  </r>
  <r>
    <x v="0"/>
  </r>
  <r>
    <x v="0"/>
  </r>
  <r>
    <x v="0"/>
  </r>
  <r>
    <x v="2"/>
  </r>
  <r>
    <x v="2"/>
  </r>
  <r>
    <x v="5"/>
  </r>
  <r>
    <x v="0"/>
  </r>
  <r>
    <x v="2"/>
  </r>
  <r>
    <x v="4"/>
  </r>
  <r>
    <x v="4"/>
  </r>
  <r>
    <x v="2"/>
  </r>
  <r>
    <x v="0"/>
  </r>
  <r>
    <x v="0"/>
  </r>
  <r>
    <x v="0"/>
  </r>
  <r>
    <x v="0"/>
  </r>
  <r>
    <x v="1"/>
  </r>
  <r>
    <x v="0"/>
  </r>
  <r>
    <x v="4"/>
  </r>
  <r>
    <x v="4"/>
  </r>
  <r>
    <x v="0"/>
  </r>
  <r>
    <x v="4"/>
  </r>
  <r>
    <x v="0"/>
  </r>
  <r>
    <x v="0"/>
  </r>
  <r>
    <x v="0"/>
  </r>
  <r>
    <x v="0"/>
  </r>
  <r>
    <x v="4"/>
  </r>
  <r>
    <x v="0"/>
  </r>
  <r>
    <x v="0"/>
  </r>
  <r>
    <x v="0"/>
  </r>
  <r>
    <x v="0"/>
  </r>
  <r>
    <x v="0"/>
  </r>
  <r>
    <x v="0"/>
  </r>
  <r>
    <x v="4"/>
  </r>
  <r>
    <x v="4"/>
  </r>
  <r>
    <x v="0"/>
  </r>
  <r>
    <x v="0"/>
  </r>
  <r>
    <x v="4"/>
  </r>
  <r>
    <x v="0"/>
  </r>
  <r>
    <x v="0"/>
  </r>
  <r>
    <x v="0"/>
  </r>
  <r>
    <x v="5"/>
  </r>
  <r>
    <x v="5"/>
  </r>
  <r>
    <x v="0"/>
  </r>
  <r>
    <x v="4"/>
  </r>
  <r>
    <x v="0"/>
  </r>
  <r>
    <x v="1"/>
  </r>
  <r>
    <x v="1"/>
  </r>
  <r>
    <x v="0"/>
  </r>
  <r>
    <x v="5"/>
  </r>
  <r>
    <x v="0"/>
  </r>
  <r>
    <x v="4"/>
  </r>
  <r>
    <x v="1"/>
  </r>
  <r>
    <x v="0"/>
  </r>
  <r>
    <x v="1"/>
  </r>
  <r>
    <x v="0"/>
  </r>
  <r>
    <x v="4"/>
  </r>
  <r>
    <x v="0"/>
  </r>
  <r>
    <x v="1"/>
  </r>
  <r>
    <x v="0"/>
  </r>
  <r>
    <x v="4"/>
  </r>
  <r>
    <x v="0"/>
  </r>
  <r>
    <x v="0"/>
  </r>
  <r>
    <x v="4"/>
  </r>
  <r>
    <x v="0"/>
  </r>
  <r>
    <x v="4"/>
  </r>
  <r>
    <x v="1"/>
  </r>
  <r>
    <x v="1"/>
  </r>
  <r>
    <x v="1"/>
  </r>
  <r>
    <x v="0"/>
  </r>
  <r>
    <x v="6"/>
  </r>
  <r>
    <x v="0"/>
  </r>
  <r>
    <x v="0"/>
  </r>
  <r>
    <x v="0"/>
  </r>
  <r>
    <x v="4"/>
  </r>
  <r>
    <x v="0"/>
  </r>
  <r>
    <x v="1"/>
  </r>
  <r>
    <x v="0"/>
  </r>
  <r>
    <x v="0"/>
  </r>
  <r>
    <x v="1"/>
  </r>
  <r>
    <x v="4"/>
  </r>
  <r>
    <x v="4"/>
  </r>
  <r>
    <x v="5"/>
  </r>
  <r>
    <x v="2"/>
  </r>
  <r>
    <x v="0"/>
  </r>
  <r>
    <x v="2"/>
  </r>
  <r>
    <x v="2"/>
  </r>
  <r>
    <x v="0"/>
  </r>
  <r>
    <x v="5"/>
  </r>
  <r>
    <x v="0"/>
  </r>
  <r>
    <x v="1"/>
  </r>
  <r>
    <x v="0"/>
  </r>
  <r>
    <x v="0"/>
  </r>
  <r>
    <x v="0"/>
  </r>
  <r>
    <x v="0"/>
  </r>
  <r>
    <x v="1"/>
  </r>
  <r>
    <x v="4"/>
  </r>
  <r>
    <x v="4"/>
  </r>
  <r>
    <x v="4"/>
  </r>
  <r>
    <x v="4"/>
  </r>
  <r>
    <x v="0"/>
  </r>
  <r>
    <x v="2"/>
  </r>
  <r>
    <x v="0"/>
  </r>
  <r>
    <x v="4"/>
  </r>
  <r>
    <x v="0"/>
  </r>
  <r>
    <x v="2"/>
  </r>
  <r>
    <x v="0"/>
  </r>
  <r>
    <x v="2"/>
  </r>
  <r>
    <x v="4"/>
  </r>
  <r>
    <x v="2"/>
  </r>
  <r>
    <x v="0"/>
  </r>
  <r>
    <x v="1"/>
  </r>
  <r>
    <x v="0"/>
  </r>
  <r>
    <x v="4"/>
  </r>
  <r>
    <x v="0"/>
  </r>
  <r>
    <x v="1"/>
  </r>
  <r>
    <x v="1"/>
  </r>
  <r>
    <x v="0"/>
  </r>
  <r>
    <x v="0"/>
  </r>
  <r>
    <x v="4"/>
  </r>
  <r>
    <x v="4"/>
  </r>
  <r>
    <x v="1"/>
  </r>
  <r>
    <x v="3"/>
  </r>
  <r>
    <x v="4"/>
  </r>
  <r>
    <x v="1"/>
  </r>
  <r>
    <x v="0"/>
  </r>
  <r>
    <x v="4"/>
  </r>
  <r>
    <x v="0"/>
  </r>
  <r>
    <x v="4"/>
  </r>
  <r>
    <x v="0"/>
  </r>
  <r>
    <x v="0"/>
  </r>
  <r>
    <x v="0"/>
  </r>
  <r>
    <x v="1"/>
  </r>
  <r>
    <x v="0"/>
  </r>
  <r>
    <x v="0"/>
  </r>
  <r>
    <x v="0"/>
  </r>
  <r>
    <x v="0"/>
  </r>
  <r>
    <x v="0"/>
  </r>
  <r>
    <x v="4"/>
  </r>
  <r>
    <x v="0"/>
  </r>
  <r>
    <x v="0"/>
  </r>
  <r>
    <x v="4"/>
  </r>
  <r>
    <x v="4"/>
  </r>
  <r>
    <x v="0"/>
  </r>
  <r>
    <x v="0"/>
  </r>
  <r>
    <x v="0"/>
  </r>
  <r>
    <x v="0"/>
  </r>
  <r>
    <x v="4"/>
  </r>
  <r>
    <x v="3"/>
  </r>
  <r>
    <x v="0"/>
  </r>
  <r>
    <x v="1"/>
  </r>
  <r>
    <x v="1"/>
  </r>
  <r>
    <x v="1"/>
  </r>
  <r>
    <x v="3"/>
  </r>
  <r>
    <x v="0"/>
  </r>
  <r>
    <x v="4"/>
  </r>
  <r>
    <x v="4"/>
  </r>
  <r>
    <x v="1"/>
  </r>
  <r>
    <x v="0"/>
  </r>
  <r>
    <x v="4"/>
  </r>
  <r>
    <x v="0"/>
  </r>
  <r>
    <x v="1"/>
  </r>
  <r>
    <x v="0"/>
  </r>
  <r>
    <x v="0"/>
  </r>
  <r>
    <x v="3"/>
  </r>
  <r>
    <x v="4"/>
  </r>
  <r>
    <x v="0"/>
  </r>
  <r>
    <x v="4"/>
  </r>
  <r>
    <x v="0"/>
  </r>
  <r>
    <x v="3"/>
  </r>
  <r>
    <x v="0"/>
  </r>
  <r>
    <x v="0"/>
  </r>
  <r>
    <x v="0"/>
  </r>
  <r>
    <x v="0"/>
  </r>
  <r>
    <x v="0"/>
  </r>
  <r>
    <x v="0"/>
  </r>
  <r>
    <x v="4"/>
  </r>
  <r>
    <x v="4"/>
  </r>
  <r>
    <x v="1"/>
  </r>
  <r>
    <x v="4"/>
  </r>
  <r>
    <x v="2"/>
  </r>
  <r>
    <x v="0"/>
  </r>
  <r>
    <x v="4"/>
  </r>
  <r>
    <x v="1"/>
  </r>
  <r>
    <x v="0"/>
  </r>
  <r>
    <x v="4"/>
  </r>
  <r>
    <x v="4"/>
  </r>
  <r>
    <x v="4"/>
  </r>
  <r>
    <x v="1"/>
  </r>
  <r>
    <x v="0"/>
  </r>
  <r>
    <x v="0"/>
  </r>
  <r>
    <x v="0"/>
  </r>
  <r>
    <x v="0"/>
  </r>
  <r>
    <x v="1"/>
  </r>
  <r>
    <x v="4"/>
  </r>
  <r>
    <x v="4"/>
  </r>
  <r>
    <x v="0"/>
  </r>
  <r>
    <x v="0"/>
  </r>
  <r>
    <x v="1"/>
  </r>
  <r>
    <x v="0"/>
  </r>
  <r>
    <x v="4"/>
  </r>
  <r>
    <x v="1"/>
  </r>
  <r>
    <x v="3"/>
  </r>
  <r>
    <x v="4"/>
  </r>
  <r>
    <x v="0"/>
  </r>
  <r>
    <x v="0"/>
  </r>
  <r>
    <x v="1"/>
  </r>
  <r>
    <x v="4"/>
  </r>
  <r>
    <x v="0"/>
  </r>
  <r>
    <x v="0"/>
  </r>
  <r>
    <x v="0"/>
  </r>
  <r>
    <x v="0"/>
  </r>
  <r>
    <x v="0"/>
  </r>
  <r>
    <x v="1"/>
  </r>
  <r>
    <x v="4"/>
  </r>
  <r>
    <x v="0"/>
  </r>
  <r>
    <x v="4"/>
  </r>
  <r>
    <x v="0"/>
  </r>
  <r>
    <x v="1"/>
  </r>
  <r>
    <x v="0"/>
  </r>
  <r>
    <x v="0"/>
  </r>
  <r>
    <x v="0"/>
  </r>
  <r>
    <x v="4"/>
  </r>
  <r>
    <x v="4"/>
  </r>
  <r>
    <x v="0"/>
  </r>
  <r>
    <x v="4"/>
  </r>
  <r>
    <x v="0"/>
  </r>
  <r>
    <x v="0"/>
  </r>
  <r>
    <x v="1"/>
  </r>
  <r>
    <x v="0"/>
  </r>
  <r>
    <x v="1"/>
  </r>
  <r>
    <x v="0"/>
  </r>
  <r>
    <x v="4"/>
  </r>
  <r>
    <x v="0"/>
  </r>
  <r>
    <x v="3"/>
  </r>
  <r>
    <x v="0"/>
  </r>
  <r>
    <x v="4"/>
  </r>
  <r>
    <x v="0"/>
  </r>
  <r>
    <x v="1"/>
  </r>
  <r>
    <x v="0"/>
  </r>
  <r>
    <x v="0"/>
  </r>
  <r>
    <x v="0"/>
  </r>
  <r>
    <x v="0"/>
  </r>
  <r>
    <x v="1"/>
  </r>
  <r>
    <x v="0"/>
  </r>
  <r>
    <x v="0"/>
  </r>
  <r>
    <x v="1"/>
  </r>
  <r>
    <x v="4"/>
  </r>
  <r>
    <x v="4"/>
  </r>
  <r>
    <x v="3"/>
  </r>
  <r>
    <x v="3"/>
  </r>
  <r>
    <x v="4"/>
  </r>
  <r>
    <x v="0"/>
  </r>
  <r>
    <x v="4"/>
  </r>
  <r>
    <x v="0"/>
  </r>
  <r>
    <x v="4"/>
  </r>
  <r>
    <x v="0"/>
  </r>
  <r>
    <x v="4"/>
  </r>
  <r>
    <x v="1"/>
  </r>
  <r>
    <x v="1"/>
  </r>
  <r>
    <x v="0"/>
  </r>
  <r>
    <x v="0"/>
  </r>
  <r>
    <x v="4"/>
  </r>
  <r>
    <x v="0"/>
  </r>
  <r>
    <x v="0"/>
  </r>
  <r>
    <x v="4"/>
  </r>
  <r>
    <x v="1"/>
  </r>
  <r>
    <x v="0"/>
  </r>
  <r>
    <x v="0"/>
  </r>
  <r>
    <x v="0"/>
  </r>
  <r>
    <x v="0"/>
  </r>
  <r>
    <x v="0"/>
  </r>
  <r>
    <x v="0"/>
  </r>
  <r>
    <x v="6"/>
  </r>
  <r>
    <x v="1"/>
  </r>
  <r>
    <x v="0"/>
  </r>
  <r>
    <x v="0"/>
  </r>
  <r>
    <x v="0"/>
  </r>
  <r>
    <x v="0"/>
  </r>
  <r>
    <x v="0"/>
  </r>
  <r>
    <x v="4"/>
  </r>
  <r>
    <x v="4"/>
  </r>
  <r>
    <x v="1"/>
  </r>
  <r>
    <x v="1"/>
  </r>
  <r>
    <x v="0"/>
  </r>
  <r>
    <x v="0"/>
  </r>
  <r>
    <x v="1"/>
  </r>
  <r>
    <x v="0"/>
  </r>
  <r>
    <x v="1"/>
  </r>
  <r>
    <x v="0"/>
  </r>
  <r>
    <x v="0"/>
  </r>
  <r>
    <x v="0"/>
  </r>
  <r>
    <x v="2"/>
  </r>
  <r>
    <x v="0"/>
  </r>
  <r>
    <x v="3"/>
  </r>
  <r>
    <x v="4"/>
  </r>
  <r>
    <x v="0"/>
  </r>
  <r>
    <x v="5"/>
  </r>
  <r>
    <x v="1"/>
  </r>
  <r>
    <x v="0"/>
  </r>
  <r>
    <x v="0"/>
  </r>
  <r>
    <x v="4"/>
  </r>
  <r>
    <x v="0"/>
  </r>
  <r>
    <x v="2"/>
  </r>
  <r>
    <x v="2"/>
  </r>
  <r>
    <x v="4"/>
  </r>
  <r>
    <x v="3"/>
  </r>
  <r>
    <x v="0"/>
  </r>
  <r>
    <x v="3"/>
  </r>
  <r>
    <x v="4"/>
  </r>
  <r>
    <x v="0"/>
  </r>
  <r>
    <x v="4"/>
  </r>
  <r>
    <x v="1"/>
  </r>
  <r>
    <x v="0"/>
  </r>
  <r>
    <x v="4"/>
  </r>
  <r>
    <x v="0"/>
  </r>
  <r>
    <x v="4"/>
  </r>
  <r>
    <x v="0"/>
  </r>
  <r>
    <x v="0"/>
  </r>
  <r>
    <x v="4"/>
  </r>
  <r>
    <x v="4"/>
  </r>
  <r>
    <x v="1"/>
  </r>
  <r>
    <x v="0"/>
  </r>
  <r>
    <x v="0"/>
  </r>
  <r>
    <x v="2"/>
  </r>
  <r>
    <x v="4"/>
  </r>
  <r>
    <x v="0"/>
  </r>
  <r>
    <x v="0"/>
  </r>
  <r>
    <x v="1"/>
  </r>
  <r>
    <x v="4"/>
  </r>
  <r>
    <x v="0"/>
  </r>
  <r>
    <x v="0"/>
  </r>
  <r>
    <x v="2"/>
  </r>
  <r>
    <x v="0"/>
  </r>
  <r>
    <x v="0"/>
  </r>
  <r>
    <x v="0"/>
  </r>
  <r>
    <x v="0"/>
  </r>
  <r>
    <x v="0"/>
  </r>
  <r>
    <x v="0"/>
  </r>
  <r>
    <x v="4"/>
  </r>
  <r>
    <x v="4"/>
  </r>
  <r>
    <x v="0"/>
  </r>
  <r>
    <x v="0"/>
  </r>
  <r>
    <x v="0"/>
  </r>
  <r>
    <x v="0"/>
  </r>
  <r>
    <x v="4"/>
  </r>
  <r>
    <x v="1"/>
  </r>
  <r>
    <x v="0"/>
  </r>
  <r>
    <x v="4"/>
  </r>
  <r>
    <x v="1"/>
  </r>
  <r>
    <x v="1"/>
  </r>
  <r>
    <x v="0"/>
  </r>
  <r>
    <x v="0"/>
  </r>
  <r>
    <x v="0"/>
  </r>
  <r>
    <x v="4"/>
  </r>
  <r>
    <x v="0"/>
  </r>
  <r>
    <x v="0"/>
  </r>
  <r>
    <x v="0"/>
  </r>
  <r>
    <x v="2"/>
  </r>
  <r>
    <x v="0"/>
  </r>
  <r>
    <x v="1"/>
  </r>
  <r>
    <x v="1"/>
  </r>
  <r>
    <x v="4"/>
  </r>
  <r>
    <x v="0"/>
  </r>
  <r>
    <x v="0"/>
  </r>
  <r>
    <x v="4"/>
  </r>
  <r>
    <x v="4"/>
  </r>
  <r>
    <x v="0"/>
  </r>
  <r>
    <x v="4"/>
  </r>
  <r>
    <x v="0"/>
  </r>
  <r>
    <x v="1"/>
  </r>
  <r>
    <x v="6"/>
  </r>
  <r>
    <x v="4"/>
  </r>
  <r>
    <x v="0"/>
  </r>
  <r>
    <x v="1"/>
  </r>
  <r>
    <x v="4"/>
  </r>
  <r>
    <x v="1"/>
  </r>
  <r>
    <x v="4"/>
  </r>
  <r>
    <x v="0"/>
  </r>
  <r>
    <x v="0"/>
  </r>
  <r>
    <x v="3"/>
  </r>
  <r>
    <x v="0"/>
  </r>
  <r>
    <x v="0"/>
  </r>
  <r>
    <x v="0"/>
  </r>
  <r>
    <x v="0"/>
  </r>
  <r>
    <x v="0"/>
  </r>
  <r>
    <x v="4"/>
  </r>
  <r>
    <x v="1"/>
  </r>
  <r>
    <x v="4"/>
  </r>
  <r>
    <x v="0"/>
  </r>
  <r>
    <x v="0"/>
  </r>
  <r>
    <x v="4"/>
  </r>
  <r>
    <x v="0"/>
  </r>
  <r>
    <x v="0"/>
  </r>
  <r>
    <x v="1"/>
  </r>
  <r>
    <x v="0"/>
  </r>
  <r>
    <x v="0"/>
  </r>
  <r>
    <x v="4"/>
  </r>
  <r>
    <x v="0"/>
  </r>
  <r>
    <x v="0"/>
  </r>
  <r>
    <x v="0"/>
  </r>
  <r>
    <x v="1"/>
  </r>
  <r>
    <x v="0"/>
  </r>
  <r>
    <x v="0"/>
  </r>
  <r>
    <x v="0"/>
  </r>
  <r>
    <x v="0"/>
  </r>
  <r>
    <x v="4"/>
  </r>
  <r>
    <x v="0"/>
  </r>
  <r>
    <x v="0"/>
  </r>
  <r>
    <x v="0"/>
  </r>
  <r>
    <x v="4"/>
  </r>
  <r>
    <x v="4"/>
  </r>
  <r>
    <x v="4"/>
  </r>
  <r>
    <x v="0"/>
  </r>
  <r>
    <x v="0"/>
  </r>
  <r>
    <x v="0"/>
  </r>
  <r>
    <x v="4"/>
  </r>
  <r>
    <x v="3"/>
  </r>
  <r>
    <x v="0"/>
  </r>
  <r>
    <x v="0"/>
  </r>
  <r>
    <x v="4"/>
  </r>
  <r>
    <x v="0"/>
  </r>
  <r>
    <x v="3"/>
  </r>
  <r>
    <x v="4"/>
  </r>
  <r>
    <x v="4"/>
  </r>
  <r>
    <x v="0"/>
  </r>
  <r>
    <x v="0"/>
  </r>
  <r>
    <x v="4"/>
  </r>
  <r>
    <x v="3"/>
  </r>
  <r>
    <x v="0"/>
  </r>
  <r>
    <x v="0"/>
  </r>
  <r>
    <x v="0"/>
  </r>
  <r>
    <x v="0"/>
  </r>
  <r>
    <x v="0"/>
  </r>
  <r>
    <x v="0"/>
  </r>
  <r>
    <x v="3"/>
  </r>
  <r>
    <x v="0"/>
  </r>
  <r>
    <x v="4"/>
  </r>
  <r>
    <x v="3"/>
  </r>
  <r>
    <x v="0"/>
  </r>
  <r>
    <x v="4"/>
  </r>
  <r>
    <x v="0"/>
  </r>
  <r>
    <x v="0"/>
  </r>
  <r>
    <x v="0"/>
  </r>
  <r>
    <x v="2"/>
  </r>
  <r>
    <x v="1"/>
  </r>
  <r>
    <x v="3"/>
  </r>
  <r>
    <x v="4"/>
  </r>
  <r>
    <x v="4"/>
  </r>
  <r>
    <x v="4"/>
  </r>
  <r>
    <x v="1"/>
  </r>
  <r>
    <x v="7"/>
  </r>
  <r>
    <x v="0"/>
  </r>
  <r>
    <x v="0"/>
  </r>
  <r>
    <x v="0"/>
  </r>
  <r>
    <x v="0"/>
  </r>
  <r>
    <x v="1"/>
  </r>
  <r>
    <x v="0"/>
  </r>
  <r>
    <x v="4"/>
  </r>
  <r>
    <x v="4"/>
  </r>
  <r>
    <x v="2"/>
  </r>
  <r>
    <x v="0"/>
  </r>
  <r>
    <x v="0"/>
  </r>
  <r>
    <x v="4"/>
  </r>
  <r>
    <x v="1"/>
  </r>
  <r>
    <x v="0"/>
  </r>
  <r>
    <x v="3"/>
  </r>
  <r>
    <x v="0"/>
  </r>
  <r>
    <x v="2"/>
  </r>
  <r>
    <x v="4"/>
  </r>
  <r>
    <x v="0"/>
  </r>
  <r>
    <x v="4"/>
  </r>
  <r>
    <x v="0"/>
  </r>
  <r>
    <x v="0"/>
  </r>
  <r>
    <x v="4"/>
  </r>
  <r>
    <x v="4"/>
  </r>
  <r>
    <x v="0"/>
  </r>
  <r>
    <x v="4"/>
  </r>
  <r>
    <x v="4"/>
  </r>
  <r>
    <x v="0"/>
  </r>
  <r>
    <x v="0"/>
  </r>
  <r>
    <x v="0"/>
  </r>
  <r>
    <x v="4"/>
  </r>
  <r>
    <x v="0"/>
  </r>
  <r>
    <x v="0"/>
  </r>
  <r>
    <x v="0"/>
  </r>
  <r>
    <x v="0"/>
  </r>
  <r>
    <x v="0"/>
  </r>
  <r>
    <x v="0"/>
  </r>
  <r>
    <x v="0"/>
  </r>
  <r>
    <x v="4"/>
  </r>
  <r>
    <x v="4"/>
  </r>
  <r>
    <x v="1"/>
  </r>
  <r>
    <x v="0"/>
  </r>
  <r>
    <x v="0"/>
  </r>
  <r>
    <x v="0"/>
  </r>
  <r>
    <x v="3"/>
  </r>
  <r>
    <x v="7"/>
  </r>
</pivotCacheRecords>
</file>

<file path=xl/pivotCache/pivotCacheRecords4.xml><?xml version="1.0" encoding="utf-8"?>
<pivotCacheRecords xmlns="http://schemas.openxmlformats.org/spreadsheetml/2006/main" xmlns:r="http://schemas.openxmlformats.org/officeDocument/2006/relationships" count="821">
  <r>
    <x v="0"/>
  </r>
  <r>
    <x v="0"/>
  </r>
  <r>
    <x v="0"/>
  </r>
  <r>
    <x v="0"/>
  </r>
  <r>
    <x v="1"/>
  </r>
  <r>
    <x v="1"/>
  </r>
  <r>
    <x v="1"/>
  </r>
  <r>
    <x v="2"/>
  </r>
  <r>
    <x v="3"/>
  </r>
  <r>
    <x v="3"/>
  </r>
  <r>
    <x v="0"/>
  </r>
  <r>
    <x v="4"/>
  </r>
  <r>
    <x v="0"/>
  </r>
  <r>
    <x v="0"/>
  </r>
  <r>
    <x v="2"/>
  </r>
  <r>
    <x v="0"/>
  </r>
  <r>
    <x v="0"/>
  </r>
  <r>
    <x v="0"/>
  </r>
  <r>
    <x v="0"/>
  </r>
  <r>
    <x v="0"/>
  </r>
  <r>
    <x v="2"/>
  </r>
  <r>
    <x v="2"/>
  </r>
  <r>
    <x v="1"/>
  </r>
  <r>
    <x v="3"/>
  </r>
  <r>
    <x v="0"/>
  </r>
  <r>
    <x v="4"/>
  </r>
  <r>
    <x v="0"/>
  </r>
  <r>
    <x v="0"/>
  </r>
  <r>
    <x v="2"/>
  </r>
  <r>
    <x v="0"/>
  </r>
  <r>
    <x v="0"/>
  </r>
  <r>
    <x v="0"/>
  </r>
  <r>
    <x v="0"/>
  </r>
  <r>
    <x v="4"/>
  </r>
  <r>
    <x v="0"/>
  </r>
  <r>
    <x v="1"/>
  </r>
  <r>
    <x v="2"/>
  </r>
  <r>
    <x v="2"/>
  </r>
  <r>
    <x v="0"/>
  </r>
  <r>
    <x v="4"/>
  </r>
  <r>
    <x v="2"/>
  </r>
  <r>
    <x v="0"/>
  </r>
  <r>
    <x v="0"/>
  </r>
  <r>
    <x v="2"/>
  </r>
  <r>
    <x v="4"/>
  </r>
  <r>
    <x v="0"/>
  </r>
  <r>
    <x v="0"/>
  </r>
  <r>
    <x v="1"/>
  </r>
  <r>
    <x v="0"/>
  </r>
  <r>
    <x v="2"/>
  </r>
  <r>
    <x v="0"/>
  </r>
  <r>
    <x v="4"/>
  </r>
  <r>
    <x v="0"/>
  </r>
  <r>
    <x v="4"/>
  </r>
  <r>
    <x v="3"/>
  </r>
  <r>
    <x v="0"/>
  </r>
  <r>
    <x v="0"/>
  </r>
  <r>
    <x v="4"/>
  </r>
  <r>
    <x v="0"/>
  </r>
  <r>
    <x v="2"/>
  </r>
  <r>
    <x v="0"/>
  </r>
  <r>
    <x v="2"/>
  </r>
  <r>
    <x v="0"/>
  </r>
  <r>
    <x v="0"/>
  </r>
  <r>
    <x v="0"/>
  </r>
  <r>
    <x v="4"/>
  </r>
  <r>
    <x v="0"/>
  </r>
  <r>
    <x v="0"/>
  </r>
  <r>
    <x v="1"/>
  </r>
  <r>
    <x v="3"/>
  </r>
  <r>
    <x v="0"/>
  </r>
  <r>
    <x v="4"/>
  </r>
  <r>
    <x v="0"/>
  </r>
  <r>
    <x v="2"/>
  </r>
  <r>
    <x v="3"/>
  </r>
  <r>
    <x v="0"/>
  </r>
  <r>
    <x v="0"/>
  </r>
  <r>
    <x v="0"/>
  </r>
  <r>
    <x v="2"/>
  </r>
  <r>
    <x v="0"/>
  </r>
  <r>
    <x v="4"/>
  </r>
  <r>
    <x v="4"/>
  </r>
  <r>
    <x v="3"/>
  </r>
  <r>
    <x v="2"/>
  </r>
  <r>
    <x v="0"/>
  </r>
  <r>
    <x v="3"/>
  </r>
  <r>
    <x v="0"/>
  </r>
  <r>
    <x v="0"/>
  </r>
  <r>
    <x v="2"/>
  </r>
  <r>
    <x v="0"/>
  </r>
  <r>
    <x v="2"/>
  </r>
  <r>
    <x v="1"/>
  </r>
  <r>
    <x v="0"/>
  </r>
  <r>
    <x v="4"/>
  </r>
  <r>
    <x v="1"/>
  </r>
  <r>
    <x v="1"/>
  </r>
  <r>
    <x v="0"/>
  </r>
  <r>
    <x v="2"/>
  </r>
  <r>
    <x v="3"/>
  </r>
  <r>
    <x v="0"/>
  </r>
  <r>
    <x v="4"/>
  </r>
  <r>
    <x v="0"/>
  </r>
  <r>
    <x v="3"/>
  </r>
  <r>
    <x v="3"/>
  </r>
  <r>
    <x v="0"/>
  </r>
  <r>
    <x v="1"/>
  </r>
  <r>
    <x v="0"/>
  </r>
  <r>
    <x v="4"/>
  </r>
  <r>
    <x v="0"/>
  </r>
  <r>
    <x v="0"/>
  </r>
  <r>
    <x v="0"/>
  </r>
  <r>
    <x v="4"/>
  </r>
  <r>
    <x v="2"/>
  </r>
  <r>
    <x v="2"/>
  </r>
  <r>
    <x v="2"/>
  </r>
  <r>
    <x v="0"/>
  </r>
  <r>
    <x v="1"/>
  </r>
  <r>
    <x v="3"/>
  </r>
  <r>
    <x v="0"/>
  </r>
  <r>
    <x v="0"/>
  </r>
  <r>
    <x v="3"/>
  </r>
  <r>
    <x v="3"/>
  </r>
  <r>
    <x v="4"/>
  </r>
  <r>
    <x v="5"/>
  </r>
  <r>
    <x v="0"/>
  </r>
  <r>
    <x v="2"/>
  </r>
  <r>
    <x v="1"/>
  </r>
  <r>
    <x v="2"/>
  </r>
  <r>
    <x v="0"/>
  </r>
  <r>
    <x v="2"/>
  </r>
  <r>
    <x v="4"/>
  </r>
  <r>
    <x v="0"/>
  </r>
  <r>
    <x v="4"/>
  </r>
  <r>
    <x v="0"/>
  </r>
  <r>
    <x v="0"/>
  </r>
  <r>
    <x v="0"/>
  </r>
  <r>
    <x v="4"/>
  </r>
  <r>
    <x v="0"/>
  </r>
  <r>
    <x v="0"/>
  </r>
  <r>
    <x v="4"/>
  </r>
  <r>
    <x v="0"/>
  </r>
  <r>
    <x v="0"/>
  </r>
  <r>
    <x v="2"/>
  </r>
  <r>
    <x v="0"/>
  </r>
  <r>
    <x v="0"/>
  </r>
  <r>
    <x v="0"/>
  </r>
  <r>
    <x v="2"/>
  </r>
  <r>
    <x v="2"/>
  </r>
  <r>
    <x v="2"/>
  </r>
  <r>
    <x v="0"/>
  </r>
  <r>
    <x v="4"/>
  </r>
  <r>
    <x v="0"/>
  </r>
  <r>
    <x v="4"/>
  </r>
  <r>
    <x v="0"/>
  </r>
  <r>
    <x v="0"/>
  </r>
  <r>
    <x v="0"/>
  </r>
  <r>
    <x v="2"/>
  </r>
  <r>
    <x v="2"/>
  </r>
  <r>
    <x v="0"/>
  </r>
  <r>
    <x v="0"/>
  </r>
  <r>
    <x v="3"/>
  </r>
  <r>
    <x v="0"/>
  </r>
  <r>
    <x v="3"/>
  </r>
  <r>
    <x v="0"/>
  </r>
  <r>
    <x v="2"/>
  </r>
  <r>
    <x v="2"/>
  </r>
  <r>
    <x v="4"/>
  </r>
  <r>
    <x v="0"/>
  </r>
  <r>
    <x v="4"/>
  </r>
  <r>
    <x v="0"/>
  </r>
  <r>
    <x v="1"/>
  </r>
  <r>
    <x v="4"/>
  </r>
  <r>
    <x v="4"/>
  </r>
  <r>
    <x v="2"/>
  </r>
  <r>
    <x v="4"/>
  </r>
  <r>
    <x v="0"/>
  </r>
  <r>
    <x v="0"/>
  </r>
  <r>
    <x v="0"/>
  </r>
  <r>
    <x v="0"/>
  </r>
  <r>
    <x v="2"/>
  </r>
  <r>
    <x v="2"/>
  </r>
  <r>
    <x v="0"/>
  </r>
  <r>
    <x v="0"/>
  </r>
  <r>
    <x v="0"/>
  </r>
  <r>
    <x v="3"/>
  </r>
  <r>
    <x v="4"/>
  </r>
  <r>
    <x v="0"/>
  </r>
  <r>
    <x v="3"/>
  </r>
  <r>
    <x v="1"/>
  </r>
  <r>
    <x v="2"/>
  </r>
  <r>
    <x v="4"/>
  </r>
  <r>
    <x v="1"/>
  </r>
  <r>
    <x v="1"/>
  </r>
  <r>
    <x v="0"/>
  </r>
  <r>
    <x v="0"/>
  </r>
  <r>
    <x v="2"/>
  </r>
  <r>
    <x v="0"/>
  </r>
  <r>
    <x v="1"/>
  </r>
  <r>
    <x v="0"/>
  </r>
  <r>
    <x v="5"/>
  </r>
  <r>
    <x v="2"/>
  </r>
  <r>
    <x v="2"/>
  </r>
  <r>
    <x v="4"/>
  </r>
  <r>
    <x v="1"/>
  </r>
  <r>
    <x v="0"/>
  </r>
  <r>
    <x v="4"/>
  </r>
  <r>
    <x v="1"/>
  </r>
  <r>
    <x v="0"/>
  </r>
  <r>
    <x v="0"/>
  </r>
  <r>
    <x v="2"/>
  </r>
  <r>
    <x v="0"/>
  </r>
  <r>
    <x v="0"/>
  </r>
  <r>
    <x v="0"/>
  </r>
  <r>
    <x v="0"/>
  </r>
  <r>
    <x v="0"/>
  </r>
  <r>
    <x v="0"/>
  </r>
  <r>
    <x v="0"/>
  </r>
  <r>
    <x v="0"/>
  </r>
  <r>
    <x v="0"/>
  </r>
  <r>
    <x v="4"/>
  </r>
  <r>
    <x v="0"/>
  </r>
  <r>
    <x v="1"/>
  </r>
  <r>
    <x v="0"/>
  </r>
  <r>
    <x v="3"/>
  </r>
  <r>
    <x v="0"/>
  </r>
  <r>
    <x v="4"/>
  </r>
  <r>
    <x v="0"/>
  </r>
  <r>
    <x v="0"/>
  </r>
  <r>
    <x v="0"/>
  </r>
  <r>
    <x v="0"/>
  </r>
  <r>
    <x v="0"/>
  </r>
  <r>
    <x v="0"/>
  </r>
  <r>
    <x v="4"/>
  </r>
  <r>
    <x v="0"/>
  </r>
  <r>
    <x v="0"/>
  </r>
  <r>
    <x v="1"/>
  </r>
  <r>
    <x v="0"/>
  </r>
  <r>
    <x v="0"/>
  </r>
  <r>
    <x v="2"/>
  </r>
  <r>
    <x v="1"/>
  </r>
  <r>
    <x v="4"/>
  </r>
  <r>
    <x v="3"/>
  </r>
  <r>
    <x v="0"/>
  </r>
  <r>
    <x v="0"/>
  </r>
  <r>
    <x v="0"/>
  </r>
  <r>
    <x v="0"/>
  </r>
  <r>
    <x v="0"/>
  </r>
  <r>
    <x v="0"/>
  </r>
  <r>
    <x v="2"/>
  </r>
  <r>
    <x v="0"/>
  </r>
  <r>
    <x v="0"/>
  </r>
  <r>
    <x v="0"/>
  </r>
  <r>
    <x v="0"/>
  </r>
  <r>
    <x v="0"/>
  </r>
  <r>
    <x v="0"/>
  </r>
  <r>
    <x v="3"/>
  </r>
  <r>
    <x v="2"/>
  </r>
  <r>
    <x v="2"/>
  </r>
  <r>
    <x v="0"/>
  </r>
  <r>
    <x v="0"/>
  </r>
  <r>
    <x v="0"/>
  </r>
  <r>
    <x v="0"/>
  </r>
  <r>
    <x v="4"/>
  </r>
  <r>
    <x v="0"/>
  </r>
  <r>
    <x v="0"/>
  </r>
  <r>
    <x v="2"/>
  </r>
  <r>
    <x v="0"/>
  </r>
  <r>
    <x v="2"/>
  </r>
  <r>
    <x v="0"/>
  </r>
  <r>
    <x v="0"/>
  </r>
  <r>
    <x v="4"/>
  </r>
  <r>
    <x v="3"/>
  </r>
  <r>
    <x v="0"/>
  </r>
  <r>
    <x v="0"/>
  </r>
  <r>
    <x v="0"/>
  </r>
  <r>
    <x v="0"/>
  </r>
  <r>
    <x v="0"/>
  </r>
  <r>
    <x v="3"/>
  </r>
  <r>
    <x v="0"/>
  </r>
  <r>
    <x v="1"/>
  </r>
  <r>
    <x v="0"/>
  </r>
  <r>
    <x v="3"/>
  </r>
  <r>
    <x v="0"/>
  </r>
  <r>
    <x v="0"/>
  </r>
  <r>
    <x v="0"/>
  </r>
  <r>
    <x v="0"/>
  </r>
  <r>
    <x v="2"/>
  </r>
  <r>
    <x v="0"/>
  </r>
  <r>
    <x v="4"/>
  </r>
  <r>
    <x v="0"/>
  </r>
  <r>
    <x v="0"/>
  </r>
  <r>
    <x v="0"/>
  </r>
  <r>
    <x v="4"/>
  </r>
  <r>
    <x v="2"/>
  </r>
  <r>
    <x v="1"/>
  </r>
  <r>
    <x v="4"/>
  </r>
  <r>
    <x v="0"/>
  </r>
  <r>
    <x v="0"/>
  </r>
  <r>
    <x v="2"/>
  </r>
  <r>
    <x v="0"/>
  </r>
  <r>
    <x v="4"/>
  </r>
  <r>
    <x v="2"/>
  </r>
  <r>
    <x v="0"/>
  </r>
  <r>
    <x v="3"/>
  </r>
  <r>
    <x v="0"/>
  </r>
  <r>
    <x v="0"/>
  </r>
  <r>
    <x v="0"/>
  </r>
  <r>
    <x v="0"/>
  </r>
  <r>
    <x v="3"/>
  </r>
  <r>
    <x v="2"/>
  </r>
  <r>
    <x v="1"/>
  </r>
  <r>
    <x v="4"/>
  </r>
  <r>
    <x v="1"/>
  </r>
  <r>
    <x v="0"/>
  </r>
  <r>
    <x v="0"/>
  </r>
  <r>
    <x v="0"/>
  </r>
  <r>
    <x v="0"/>
  </r>
  <r>
    <x v="3"/>
  </r>
  <r>
    <x v="4"/>
  </r>
  <r>
    <x v="0"/>
  </r>
  <r>
    <x v="4"/>
  </r>
  <r>
    <x v="0"/>
  </r>
  <r>
    <x v="1"/>
  </r>
  <r>
    <x v="0"/>
  </r>
  <r>
    <x v="2"/>
  </r>
  <r>
    <x v="0"/>
  </r>
  <r>
    <x v="0"/>
  </r>
  <r>
    <x v="0"/>
  </r>
  <r>
    <x v="0"/>
  </r>
  <r>
    <x v="5"/>
  </r>
  <r>
    <x v="0"/>
  </r>
  <r>
    <x v="0"/>
  </r>
  <r>
    <x v="4"/>
  </r>
  <r>
    <x v="2"/>
  </r>
  <r>
    <x v="0"/>
  </r>
  <r>
    <x v="0"/>
  </r>
  <r>
    <x v="0"/>
  </r>
  <r>
    <x v="0"/>
  </r>
  <r>
    <x v="0"/>
  </r>
  <r>
    <x v="1"/>
  </r>
  <r>
    <x v="0"/>
  </r>
  <r>
    <x v="2"/>
  </r>
  <r>
    <x v="2"/>
  </r>
  <r>
    <x v="0"/>
  </r>
  <r>
    <x v="2"/>
  </r>
  <r>
    <x v="0"/>
  </r>
  <r>
    <x v="4"/>
  </r>
  <r>
    <x v="0"/>
  </r>
  <r>
    <x v="4"/>
  </r>
  <r>
    <x v="2"/>
  </r>
  <r>
    <x v="0"/>
  </r>
  <r>
    <x v="0"/>
  </r>
  <r>
    <x v="4"/>
  </r>
  <r>
    <x v="0"/>
  </r>
  <r>
    <x v="0"/>
  </r>
  <r>
    <x v="0"/>
  </r>
  <r>
    <x v="2"/>
  </r>
  <r>
    <x v="2"/>
  </r>
  <r>
    <x v="0"/>
  </r>
  <r>
    <x v="0"/>
  </r>
  <r>
    <x v="0"/>
  </r>
  <r>
    <x v="0"/>
  </r>
  <r>
    <x v="0"/>
  </r>
  <r>
    <x v="0"/>
  </r>
  <r>
    <x v="5"/>
  </r>
  <r>
    <x v="5"/>
  </r>
  <r>
    <x v="4"/>
  </r>
  <r>
    <x v="2"/>
  </r>
  <r>
    <x v="4"/>
  </r>
  <r>
    <x v="4"/>
  </r>
  <r>
    <x v="4"/>
  </r>
  <r>
    <x v="0"/>
  </r>
  <r>
    <x v="5"/>
  </r>
  <r>
    <x v="0"/>
  </r>
  <r>
    <x v="2"/>
  </r>
  <r>
    <x v="4"/>
  </r>
  <r>
    <x v="0"/>
  </r>
  <r>
    <x v="3"/>
  </r>
  <r>
    <x v="4"/>
  </r>
  <r>
    <x v="2"/>
  </r>
  <r>
    <x v="0"/>
  </r>
  <r>
    <x v="4"/>
  </r>
  <r>
    <x v="2"/>
  </r>
  <r>
    <x v="2"/>
  </r>
  <r>
    <x v="1"/>
  </r>
  <r>
    <x v="2"/>
  </r>
  <r>
    <x v="2"/>
  </r>
  <r>
    <x v="4"/>
  </r>
  <r>
    <x v="2"/>
  </r>
  <r>
    <x v="0"/>
  </r>
  <r>
    <x v="0"/>
  </r>
  <r>
    <x v="3"/>
  </r>
  <r>
    <x v="4"/>
  </r>
  <r>
    <x v="6"/>
  </r>
  <r>
    <x v="2"/>
  </r>
  <r>
    <x v="0"/>
  </r>
  <r>
    <x v="2"/>
  </r>
  <r>
    <x v="2"/>
  </r>
  <r>
    <x v="0"/>
  </r>
  <r>
    <x v="4"/>
  </r>
  <r>
    <x v="1"/>
  </r>
  <r>
    <x v="0"/>
  </r>
  <r>
    <x v="4"/>
  </r>
  <r>
    <x v="2"/>
  </r>
  <r>
    <x v="2"/>
  </r>
  <r>
    <x v="5"/>
  </r>
  <r>
    <x v="4"/>
  </r>
  <r>
    <x v="0"/>
  </r>
  <r>
    <x v="1"/>
  </r>
  <r>
    <x v="3"/>
  </r>
  <r>
    <x v="0"/>
  </r>
  <r>
    <x v="5"/>
  </r>
  <r>
    <x v="0"/>
  </r>
  <r>
    <x v="0"/>
  </r>
  <r>
    <x v="0"/>
  </r>
  <r>
    <x v="0"/>
  </r>
  <r>
    <x v="0"/>
  </r>
  <r>
    <x v="0"/>
  </r>
  <r>
    <x v="1"/>
  </r>
  <r>
    <x v="0"/>
  </r>
  <r>
    <x v="2"/>
  </r>
  <r>
    <x v="2"/>
  </r>
  <r>
    <x v="2"/>
  </r>
  <r>
    <x v="0"/>
  </r>
  <r>
    <x v="1"/>
  </r>
  <r>
    <x v="2"/>
  </r>
  <r>
    <x v="0"/>
  </r>
  <r>
    <x v="4"/>
  </r>
  <r>
    <x v="4"/>
  </r>
  <r>
    <x v="4"/>
  </r>
  <r>
    <x v="3"/>
  </r>
  <r>
    <x v="2"/>
  </r>
  <r>
    <x v="4"/>
  </r>
  <r>
    <x v="0"/>
  </r>
  <r>
    <x v="4"/>
  </r>
  <r>
    <x v="0"/>
  </r>
  <r>
    <x v="2"/>
  </r>
  <r>
    <x v="0"/>
  </r>
  <r>
    <x v="4"/>
  </r>
  <r>
    <x v="4"/>
  </r>
  <r>
    <x v="0"/>
  </r>
  <r>
    <x v="4"/>
  </r>
  <r>
    <x v="2"/>
  </r>
  <r>
    <x v="2"/>
  </r>
  <r>
    <x v="4"/>
  </r>
  <r>
    <x v="3"/>
  </r>
  <r>
    <x v="2"/>
  </r>
  <r>
    <x v="0"/>
  </r>
  <r>
    <x v="0"/>
  </r>
  <r>
    <x v="2"/>
  </r>
  <r>
    <x v="0"/>
  </r>
  <r>
    <x v="2"/>
  </r>
  <r>
    <x v="0"/>
  </r>
  <r>
    <x v="0"/>
  </r>
  <r>
    <x v="0"/>
  </r>
  <r>
    <x v="4"/>
  </r>
  <r>
    <x v="4"/>
  </r>
  <r>
    <x v="6"/>
  </r>
  <r>
    <x v="0"/>
  </r>
  <r>
    <x v="0"/>
  </r>
  <r>
    <x v="0"/>
  </r>
  <r>
    <x v="2"/>
  </r>
  <r>
    <x v="0"/>
  </r>
  <r>
    <x v="0"/>
  </r>
  <r>
    <x v="0"/>
  </r>
  <r>
    <x v="2"/>
  </r>
  <r>
    <x v="0"/>
  </r>
  <r>
    <x v="0"/>
  </r>
  <r>
    <x v="0"/>
  </r>
  <r>
    <x v="0"/>
  </r>
  <r>
    <x v="2"/>
  </r>
  <r>
    <x v="3"/>
  </r>
  <r>
    <x v="0"/>
  </r>
  <r>
    <x v="4"/>
  </r>
  <r>
    <x v="0"/>
  </r>
  <r>
    <x v="0"/>
  </r>
  <r>
    <x v="6"/>
  </r>
  <r>
    <x v="0"/>
  </r>
  <r>
    <x v="2"/>
  </r>
  <r>
    <x v="2"/>
  </r>
  <r>
    <x v="4"/>
  </r>
  <r>
    <x v="0"/>
  </r>
  <r>
    <x v="0"/>
  </r>
  <r>
    <x v="0"/>
  </r>
  <r>
    <x v="0"/>
  </r>
  <r>
    <x v="0"/>
  </r>
  <r>
    <x v="0"/>
  </r>
  <r>
    <x v="3"/>
  </r>
  <r>
    <x v="2"/>
  </r>
  <r>
    <x v="0"/>
  </r>
  <r>
    <x v="2"/>
  </r>
  <r>
    <x v="2"/>
  </r>
  <r>
    <x v="3"/>
  </r>
  <r>
    <x v="2"/>
  </r>
  <r>
    <x v="0"/>
  </r>
  <r>
    <x v="0"/>
  </r>
  <r>
    <x v="0"/>
  </r>
  <r>
    <x v="4"/>
  </r>
  <r>
    <x v="0"/>
  </r>
  <r>
    <x v="2"/>
  </r>
  <r>
    <x v="2"/>
  </r>
  <r>
    <x v="1"/>
  </r>
  <r>
    <x v="2"/>
  </r>
  <r>
    <x v="1"/>
  </r>
  <r>
    <x v="0"/>
  </r>
  <r>
    <x v="2"/>
  </r>
  <r>
    <x v="0"/>
  </r>
  <r>
    <x v="0"/>
  </r>
  <r>
    <x v="2"/>
  </r>
  <r>
    <x v="2"/>
  </r>
  <r>
    <x v="2"/>
  </r>
  <r>
    <x v="4"/>
  </r>
  <r>
    <x v="0"/>
  </r>
  <r>
    <x v="0"/>
  </r>
  <r>
    <x v="0"/>
  </r>
  <r>
    <x v="0"/>
  </r>
  <r>
    <x v="0"/>
  </r>
  <r>
    <x v="2"/>
  </r>
  <r>
    <x v="2"/>
  </r>
  <r>
    <x v="0"/>
  </r>
  <r>
    <x v="0"/>
  </r>
  <r>
    <x v="0"/>
  </r>
  <r>
    <x v="0"/>
  </r>
  <r>
    <x v="2"/>
  </r>
  <r>
    <x v="1"/>
  </r>
  <r>
    <x v="3"/>
  </r>
  <r>
    <x v="2"/>
  </r>
  <r>
    <x v="0"/>
  </r>
  <r>
    <x v="0"/>
  </r>
  <r>
    <x v="1"/>
  </r>
  <r>
    <x v="2"/>
  </r>
  <r>
    <x v="0"/>
  </r>
  <r>
    <x v="2"/>
  </r>
  <r>
    <x v="2"/>
  </r>
  <r>
    <x v="0"/>
  </r>
  <r>
    <x v="0"/>
  </r>
  <r>
    <x v="4"/>
  </r>
  <r>
    <x v="2"/>
  </r>
  <r>
    <x v="0"/>
  </r>
  <r>
    <x v="2"/>
  </r>
  <r>
    <x v="0"/>
  </r>
  <r>
    <x v="4"/>
  </r>
  <r>
    <x v="0"/>
  </r>
  <r>
    <x v="0"/>
  </r>
  <r>
    <x v="0"/>
  </r>
  <r>
    <x v="2"/>
  </r>
  <r>
    <x v="2"/>
  </r>
  <r>
    <x v="3"/>
  </r>
  <r>
    <x v="2"/>
  </r>
  <r>
    <x v="0"/>
  </r>
  <r>
    <x v="0"/>
  </r>
  <r>
    <x v="4"/>
  </r>
  <r>
    <x v="0"/>
  </r>
  <r>
    <x v="4"/>
  </r>
  <r>
    <x v="0"/>
  </r>
  <r>
    <x v="2"/>
  </r>
  <r>
    <x v="0"/>
  </r>
  <r>
    <x v="3"/>
  </r>
  <r>
    <x v="4"/>
  </r>
  <r>
    <x v="2"/>
  </r>
  <r>
    <x v="0"/>
  </r>
  <r>
    <x v="4"/>
  </r>
  <r>
    <x v="0"/>
  </r>
  <r>
    <x v="3"/>
  </r>
  <r>
    <x v="0"/>
  </r>
  <r>
    <x v="0"/>
  </r>
  <r>
    <x v="0"/>
  </r>
  <r>
    <x v="2"/>
  </r>
  <r>
    <x v="0"/>
  </r>
  <r>
    <x v="4"/>
  </r>
  <r>
    <x v="2"/>
  </r>
  <r>
    <x v="2"/>
  </r>
  <r>
    <x v="3"/>
  </r>
  <r>
    <x v="3"/>
  </r>
  <r>
    <x v="2"/>
  </r>
  <r>
    <x v="0"/>
  </r>
  <r>
    <x v="2"/>
  </r>
  <r>
    <x v="4"/>
  </r>
  <r>
    <x v="3"/>
  </r>
  <r>
    <x v="0"/>
  </r>
  <r>
    <x v="0"/>
  </r>
  <r>
    <x v="0"/>
  </r>
  <r>
    <x v="4"/>
  </r>
  <r>
    <x v="4"/>
  </r>
  <r>
    <x v="0"/>
  </r>
  <r>
    <x v="2"/>
  </r>
  <r>
    <x v="4"/>
  </r>
  <r>
    <x v="0"/>
  </r>
  <r>
    <x v="2"/>
  </r>
  <r>
    <x v="3"/>
  </r>
  <r>
    <x v="4"/>
  </r>
  <r>
    <x v="0"/>
  </r>
  <r>
    <x v="0"/>
  </r>
  <r>
    <x v="0"/>
  </r>
  <r>
    <x v="0"/>
  </r>
  <r>
    <x v="2"/>
  </r>
  <r>
    <x v="6"/>
  </r>
  <r>
    <x v="0"/>
  </r>
  <r>
    <x v="0"/>
  </r>
  <r>
    <x v="0"/>
  </r>
  <r>
    <x v="4"/>
  </r>
  <r>
    <x v="4"/>
  </r>
  <r>
    <x v="2"/>
  </r>
  <r>
    <x v="2"/>
  </r>
  <r>
    <x v="2"/>
  </r>
  <r>
    <x v="4"/>
  </r>
  <r>
    <x v="0"/>
  </r>
  <r>
    <x v="4"/>
  </r>
  <r>
    <x v="0"/>
  </r>
  <r>
    <x v="4"/>
  </r>
  <r>
    <x v="0"/>
  </r>
  <r>
    <x v="1"/>
  </r>
  <r>
    <x v="0"/>
  </r>
  <r>
    <x v="0"/>
  </r>
  <r>
    <x v="4"/>
  </r>
  <r>
    <x v="4"/>
  </r>
  <r>
    <x v="0"/>
  </r>
  <r>
    <x v="3"/>
  </r>
  <r>
    <x v="2"/>
  </r>
  <r>
    <x v="0"/>
  </r>
  <r>
    <x v="5"/>
  </r>
  <r>
    <x v="4"/>
  </r>
  <r>
    <x v="0"/>
  </r>
  <r>
    <x v="0"/>
  </r>
  <r>
    <x v="2"/>
  </r>
  <r>
    <x v="0"/>
  </r>
  <r>
    <x v="0"/>
  </r>
  <r>
    <x v="3"/>
  </r>
  <r>
    <x v="2"/>
  </r>
  <r>
    <x v="3"/>
  </r>
  <r>
    <x v="0"/>
  </r>
  <r>
    <x v="3"/>
  </r>
  <r>
    <x v="0"/>
  </r>
  <r>
    <x v="0"/>
  </r>
  <r>
    <x v="2"/>
  </r>
  <r>
    <x v="1"/>
  </r>
  <r>
    <x v="0"/>
  </r>
  <r>
    <x v="2"/>
  </r>
  <r>
    <x v="0"/>
  </r>
  <r>
    <x v="2"/>
  </r>
  <r>
    <x v="0"/>
  </r>
  <r>
    <x v="0"/>
  </r>
  <r>
    <x v="2"/>
  </r>
  <r>
    <x v="2"/>
  </r>
  <r>
    <x v="0"/>
  </r>
  <r>
    <x v="0"/>
  </r>
  <r>
    <x v="4"/>
  </r>
  <r>
    <x v="4"/>
  </r>
  <r>
    <x v="2"/>
  </r>
  <r>
    <x v="0"/>
  </r>
  <r>
    <x v="1"/>
  </r>
  <r>
    <x v="0"/>
  </r>
  <r>
    <x v="2"/>
  </r>
  <r>
    <x v="0"/>
  </r>
  <r>
    <x v="0"/>
  </r>
  <r>
    <x v="0"/>
  </r>
  <r>
    <x v="0"/>
  </r>
  <r>
    <x v="0"/>
  </r>
  <r>
    <x v="0"/>
  </r>
  <r>
    <x v="0"/>
  </r>
  <r>
    <x v="0"/>
  </r>
  <r>
    <x v="2"/>
  </r>
  <r>
    <x v="2"/>
  </r>
  <r>
    <x v="2"/>
  </r>
  <r>
    <x v="2"/>
  </r>
  <r>
    <x v="3"/>
  </r>
  <r>
    <x v="0"/>
  </r>
  <r>
    <x v="5"/>
  </r>
  <r>
    <x v="2"/>
  </r>
  <r>
    <x v="2"/>
  </r>
  <r>
    <x v="0"/>
  </r>
  <r>
    <x v="2"/>
  </r>
  <r>
    <x v="1"/>
  </r>
  <r>
    <x v="6"/>
  </r>
  <r>
    <x v="0"/>
  </r>
  <r>
    <x v="0"/>
  </r>
  <r>
    <x v="3"/>
  </r>
  <r>
    <x v="2"/>
  </r>
  <r>
    <x v="0"/>
  </r>
  <r>
    <x v="0"/>
  </r>
  <r>
    <x v="0"/>
  </r>
  <r>
    <x v="4"/>
  </r>
  <r>
    <x v="0"/>
  </r>
  <r>
    <x v="4"/>
  </r>
  <r>
    <x v="4"/>
  </r>
  <r>
    <x v="2"/>
  </r>
  <r>
    <x v="0"/>
  </r>
  <r>
    <x v="0"/>
  </r>
  <r>
    <x v="2"/>
  </r>
  <r>
    <x v="2"/>
  </r>
  <r>
    <x v="0"/>
  </r>
  <r>
    <x v="2"/>
  </r>
  <r>
    <x v="4"/>
  </r>
  <r>
    <x v="4"/>
  </r>
  <r>
    <x v="6"/>
  </r>
  <r>
    <x v="2"/>
  </r>
  <r>
    <x v="2"/>
  </r>
  <r>
    <x v="4"/>
  </r>
  <r>
    <x v="2"/>
  </r>
  <r>
    <x v="4"/>
  </r>
  <r>
    <x v="2"/>
  </r>
  <r>
    <x v="0"/>
  </r>
  <r>
    <x v="2"/>
  </r>
  <r>
    <x v="1"/>
  </r>
  <r>
    <x v="2"/>
  </r>
  <r>
    <x v="0"/>
  </r>
  <r>
    <x v="0"/>
  </r>
  <r>
    <x v="0"/>
  </r>
  <r>
    <x v="0"/>
  </r>
  <r>
    <x v="0"/>
  </r>
  <r>
    <x v="1"/>
  </r>
  <r>
    <x v="2"/>
  </r>
  <r>
    <x v="0"/>
  </r>
  <r>
    <x v="0"/>
  </r>
  <r>
    <x v="2"/>
  </r>
  <r>
    <x v="0"/>
  </r>
  <r>
    <x v="0"/>
  </r>
  <r>
    <x v="3"/>
  </r>
  <r>
    <x v="0"/>
  </r>
  <r>
    <x v="0"/>
  </r>
  <r>
    <x v="2"/>
  </r>
  <r>
    <x v="4"/>
  </r>
  <r>
    <x v="4"/>
  </r>
  <r>
    <x v="0"/>
  </r>
  <r>
    <x v="3"/>
  </r>
  <r>
    <x v="0"/>
  </r>
  <r>
    <x v="0"/>
  </r>
  <r>
    <x v="4"/>
  </r>
  <r>
    <x v="0"/>
  </r>
  <r>
    <x v="2"/>
  </r>
  <r>
    <x v="0"/>
  </r>
  <r>
    <x v="0"/>
  </r>
  <r>
    <x v="0"/>
  </r>
  <r>
    <x v="2"/>
  </r>
  <r>
    <x v="2"/>
  </r>
  <r>
    <x v="2"/>
  </r>
  <r>
    <x v="0"/>
  </r>
  <r>
    <x v="0"/>
  </r>
  <r>
    <x v="0"/>
  </r>
  <r>
    <x v="0"/>
  </r>
  <r>
    <x v="1"/>
  </r>
  <r>
    <x v="0"/>
  </r>
  <r>
    <x v="0"/>
  </r>
  <r>
    <x v="2"/>
  </r>
  <r>
    <x v="0"/>
  </r>
  <r>
    <x v="1"/>
  </r>
  <r>
    <x v="2"/>
  </r>
  <r>
    <x v="2"/>
  </r>
  <r>
    <x v="0"/>
  </r>
  <r>
    <x v="0"/>
  </r>
  <r>
    <x v="0"/>
  </r>
  <r>
    <x v="3"/>
  </r>
  <r>
    <x v="0"/>
  </r>
  <r>
    <x v="0"/>
  </r>
  <r>
    <x v="0"/>
  </r>
  <r>
    <x v="0"/>
  </r>
  <r>
    <x v="2"/>
  </r>
  <r>
    <x v="0"/>
  </r>
  <r>
    <x v="0"/>
  </r>
  <r>
    <x v="1"/>
  </r>
  <r>
    <x v="0"/>
  </r>
  <r>
    <x v="3"/>
  </r>
  <r>
    <x v="4"/>
  </r>
  <r>
    <x v="2"/>
  </r>
  <r>
    <x v="0"/>
  </r>
  <r>
    <x v="3"/>
  </r>
  <r>
    <x v="0"/>
  </r>
  <r>
    <x v="4"/>
  </r>
  <r>
    <x v="4"/>
  </r>
  <r>
    <x v="3"/>
  </r>
  <r>
    <x v="2"/>
  </r>
  <r>
    <x v="2"/>
  </r>
  <r>
    <x v="2"/>
  </r>
  <r>
    <x v="4"/>
  </r>
  <r>
    <x v="7"/>
  </r>
  <r>
    <x v="0"/>
  </r>
  <r>
    <x v="0"/>
  </r>
  <r>
    <x v="0"/>
  </r>
  <r>
    <x v="0"/>
  </r>
  <r>
    <x v="0"/>
  </r>
  <r>
    <x v="0"/>
  </r>
  <r>
    <x v="2"/>
  </r>
  <r>
    <x v="6"/>
  </r>
  <r>
    <x v="1"/>
  </r>
  <r>
    <x v="2"/>
  </r>
  <r>
    <x v="1"/>
  </r>
  <r>
    <x v="4"/>
  </r>
  <r>
    <x v="1"/>
  </r>
  <r>
    <x v="0"/>
  </r>
  <r>
    <x v="3"/>
  </r>
  <r>
    <x v="0"/>
  </r>
  <r>
    <x v="3"/>
  </r>
  <r>
    <x v="2"/>
  </r>
  <r>
    <x v="0"/>
  </r>
  <r>
    <x v="2"/>
  </r>
  <r>
    <x v="0"/>
  </r>
  <r>
    <x v="0"/>
  </r>
  <r>
    <x v="0"/>
  </r>
  <r>
    <x v="2"/>
  </r>
  <r>
    <x v="0"/>
  </r>
  <r>
    <x v="2"/>
  </r>
  <r>
    <x v="2"/>
  </r>
  <r>
    <x v="4"/>
  </r>
  <r>
    <x v="4"/>
  </r>
  <r>
    <x v="0"/>
  </r>
  <r>
    <x v="2"/>
  </r>
  <r>
    <x v="0"/>
  </r>
  <r>
    <x v="0"/>
  </r>
  <r>
    <x v="0"/>
  </r>
  <r>
    <x v="0"/>
  </r>
  <r>
    <x v="1"/>
  </r>
  <r>
    <x v="0"/>
  </r>
  <r>
    <x v="0"/>
  </r>
  <r>
    <x v="2"/>
  </r>
  <r>
    <x v="2"/>
  </r>
  <r>
    <x v="0"/>
  </r>
  <r>
    <x v="1"/>
  </r>
  <r>
    <x v="0"/>
  </r>
  <r>
    <x v="0"/>
  </r>
  <r>
    <x v="4"/>
  </r>
  <r>
    <x v="7"/>
  </r>
</pivotCacheRecords>
</file>

<file path=xl/pivotCache/pivotCacheRecords5.xml><?xml version="1.0" encoding="utf-8"?>
<pivotCacheRecords xmlns="http://schemas.openxmlformats.org/spreadsheetml/2006/main" xmlns:r="http://schemas.openxmlformats.org/officeDocument/2006/relationships" count="822">
  <r>
    <x v="0"/>
  </r>
  <r>
    <x v="0"/>
  </r>
  <r>
    <x v="1"/>
  </r>
  <r>
    <x v="1"/>
  </r>
  <r>
    <x v="2"/>
  </r>
  <r>
    <x v="1"/>
  </r>
  <r>
    <x v="0"/>
  </r>
  <r>
    <x v="1"/>
  </r>
  <r>
    <x v="2"/>
  </r>
  <r>
    <x v="3"/>
  </r>
  <r>
    <x v="2"/>
  </r>
  <r>
    <x v="0"/>
  </r>
  <r>
    <x v="1"/>
  </r>
  <r>
    <x v="1"/>
  </r>
  <r>
    <x v="4"/>
  </r>
  <r>
    <x v="0"/>
  </r>
  <r>
    <x v="3"/>
  </r>
  <r>
    <x v="1"/>
  </r>
  <r>
    <x v="1"/>
  </r>
  <r>
    <x v="1"/>
  </r>
  <r>
    <x v="2"/>
  </r>
  <r>
    <x v="4"/>
  </r>
  <r>
    <x v="2"/>
  </r>
  <r>
    <x v="1"/>
  </r>
  <r>
    <x v="1"/>
  </r>
  <r>
    <x v="0"/>
  </r>
  <r>
    <x v="1"/>
  </r>
  <r>
    <x v="1"/>
  </r>
  <r>
    <x v="1"/>
  </r>
  <r>
    <x v="1"/>
  </r>
  <r>
    <x v="2"/>
  </r>
  <r>
    <x v="1"/>
  </r>
  <r>
    <x v="1"/>
  </r>
  <r>
    <x v="0"/>
  </r>
  <r>
    <x v="1"/>
  </r>
  <r>
    <x v="2"/>
  </r>
  <r>
    <x v="4"/>
  </r>
  <r>
    <x v="4"/>
  </r>
  <r>
    <x v="2"/>
  </r>
  <r>
    <x v="0"/>
  </r>
  <r>
    <x v="1"/>
  </r>
  <r>
    <x v="0"/>
  </r>
  <r>
    <x v="1"/>
  </r>
  <r>
    <x v="4"/>
  </r>
  <r>
    <x v="1"/>
  </r>
  <r>
    <x v="1"/>
  </r>
  <r>
    <x v="0"/>
  </r>
  <r>
    <x v="1"/>
  </r>
  <r>
    <x v="1"/>
  </r>
  <r>
    <x v="1"/>
  </r>
  <r>
    <x v="1"/>
  </r>
  <r>
    <x v="0"/>
  </r>
  <r>
    <x v="1"/>
  </r>
  <r>
    <x v="0"/>
  </r>
  <r>
    <x v="3"/>
  </r>
  <r>
    <x v="0"/>
  </r>
  <r>
    <x v="1"/>
  </r>
  <r>
    <x v="2"/>
  </r>
  <r>
    <x v="2"/>
  </r>
  <r>
    <x v="4"/>
  </r>
  <r>
    <x v="1"/>
  </r>
  <r>
    <x v="1"/>
  </r>
  <r>
    <x v="0"/>
  </r>
  <r>
    <x v="2"/>
  </r>
  <r>
    <x v="2"/>
  </r>
  <r>
    <x v="1"/>
  </r>
  <r>
    <x v="1"/>
  </r>
  <r>
    <x v="0"/>
  </r>
  <r>
    <x v="2"/>
  </r>
  <r>
    <x v="0"/>
  </r>
  <r>
    <x v="1"/>
  </r>
  <r>
    <x v="2"/>
  </r>
  <r>
    <x v="1"/>
  </r>
  <r>
    <x v="4"/>
  </r>
  <r>
    <x v="3"/>
  </r>
  <r>
    <x v="1"/>
  </r>
  <r>
    <x v="1"/>
  </r>
  <r>
    <x v="1"/>
  </r>
  <r>
    <x v="4"/>
  </r>
  <r>
    <x v="1"/>
  </r>
  <r>
    <x v="2"/>
  </r>
  <r>
    <x v="1"/>
  </r>
  <r>
    <x v="3"/>
  </r>
  <r>
    <x v="4"/>
  </r>
  <r>
    <x v="1"/>
  </r>
  <r>
    <x v="4"/>
  </r>
  <r>
    <x v="1"/>
  </r>
  <r>
    <x v="1"/>
  </r>
  <r>
    <x v="4"/>
  </r>
  <r>
    <x v="1"/>
  </r>
  <r>
    <x v="4"/>
  </r>
  <r>
    <x v="1"/>
  </r>
  <r>
    <x v="1"/>
  </r>
  <r>
    <x v="1"/>
  </r>
  <r>
    <x v="2"/>
  </r>
  <r>
    <x v="1"/>
  </r>
  <r>
    <x v="1"/>
  </r>
  <r>
    <x v="1"/>
  </r>
  <r>
    <x v="3"/>
  </r>
  <r>
    <x v="0"/>
  </r>
  <r>
    <x v="3"/>
  </r>
  <r>
    <x v="1"/>
  </r>
  <r>
    <x v="3"/>
  </r>
  <r>
    <x v="3"/>
  </r>
  <r>
    <x v="1"/>
  </r>
  <r>
    <x v="2"/>
  </r>
  <r>
    <x v="1"/>
  </r>
  <r>
    <x v="2"/>
  </r>
  <r>
    <x v="0"/>
  </r>
  <r>
    <x v="1"/>
  </r>
  <r>
    <x v="0"/>
  </r>
  <r>
    <x v="0"/>
  </r>
  <r>
    <x v="4"/>
  </r>
  <r>
    <x v="4"/>
  </r>
  <r>
    <x v="4"/>
  </r>
  <r>
    <x v="1"/>
  </r>
  <r>
    <x v="2"/>
  </r>
  <r>
    <x v="3"/>
  </r>
  <r>
    <x v="1"/>
  </r>
  <r>
    <x v="1"/>
  </r>
  <r>
    <x v="2"/>
  </r>
  <r>
    <x v="3"/>
  </r>
  <r>
    <x v="0"/>
  </r>
  <r>
    <x v="5"/>
  </r>
  <r>
    <x v="1"/>
  </r>
  <r>
    <x v="1"/>
  </r>
  <r>
    <x v="1"/>
  </r>
  <r>
    <x v="4"/>
  </r>
  <r>
    <x v="0"/>
  </r>
  <r>
    <x v="1"/>
  </r>
  <r>
    <x v="2"/>
  </r>
  <r>
    <x v="1"/>
  </r>
  <r>
    <x v="0"/>
  </r>
  <r>
    <x v="0"/>
  </r>
  <r>
    <x v="1"/>
  </r>
  <r>
    <x v="0"/>
  </r>
  <r>
    <x v="0"/>
  </r>
  <r>
    <x v="1"/>
  </r>
  <r>
    <x v="0"/>
  </r>
  <r>
    <x v="0"/>
  </r>
  <r>
    <x v="1"/>
  </r>
  <r>
    <x v="1"/>
  </r>
  <r>
    <x v="4"/>
  </r>
  <r>
    <x v="1"/>
  </r>
  <r>
    <x v="1"/>
  </r>
  <r>
    <x v="1"/>
  </r>
  <r>
    <x v="4"/>
  </r>
  <r>
    <x v="4"/>
  </r>
  <r>
    <x v="1"/>
  </r>
  <r>
    <x v="1"/>
  </r>
  <r>
    <x v="1"/>
  </r>
  <r>
    <x v="1"/>
  </r>
  <r>
    <x v="3"/>
  </r>
  <r>
    <x v="1"/>
  </r>
  <r>
    <x v="1"/>
  </r>
  <r>
    <x v="1"/>
  </r>
  <r>
    <x v="0"/>
  </r>
  <r>
    <x v="1"/>
  </r>
  <r>
    <x v="1"/>
  </r>
  <r>
    <x v="1"/>
  </r>
  <r>
    <x v="3"/>
  </r>
  <r>
    <x v="1"/>
  </r>
  <r>
    <x v="3"/>
  </r>
  <r>
    <x v="1"/>
  </r>
  <r>
    <x v="4"/>
  </r>
  <r>
    <x v="4"/>
  </r>
  <r>
    <x v="0"/>
  </r>
  <r>
    <x v="1"/>
  </r>
  <r>
    <x v="0"/>
  </r>
  <r>
    <x v="1"/>
  </r>
  <r>
    <x v="2"/>
  </r>
  <r>
    <x v="0"/>
  </r>
  <r>
    <x v="1"/>
  </r>
  <r>
    <x v="1"/>
  </r>
  <r>
    <x v="1"/>
  </r>
  <r>
    <x v="1"/>
  </r>
  <r>
    <x v="1"/>
  </r>
  <r>
    <x v="1"/>
  </r>
  <r>
    <x v="1"/>
  </r>
  <r>
    <x v="1"/>
  </r>
  <r>
    <x v="4"/>
  </r>
  <r>
    <x v="1"/>
  </r>
  <r>
    <x v="1"/>
  </r>
  <r>
    <x v="1"/>
  </r>
  <r>
    <x v="2"/>
  </r>
  <r>
    <x v="0"/>
  </r>
  <r>
    <x v="1"/>
  </r>
  <r>
    <x v="3"/>
  </r>
  <r>
    <x v="2"/>
  </r>
  <r>
    <x v="4"/>
  </r>
  <r>
    <x v="0"/>
  </r>
  <r>
    <x v="2"/>
  </r>
  <r>
    <x v="0"/>
  </r>
  <r>
    <x v="1"/>
  </r>
  <r>
    <x v="1"/>
  </r>
  <r>
    <x v="4"/>
  </r>
  <r>
    <x v="1"/>
  </r>
  <r>
    <x v="2"/>
  </r>
  <r>
    <x v="1"/>
  </r>
  <r>
    <x v="4"/>
  </r>
  <r>
    <x v="4"/>
  </r>
  <r>
    <x v="1"/>
  </r>
  <r>
    <x v="3"/>
  </r>
  <r>
    <x v="0"/>
  </r>
  <r>
    <x v="1"/>
  </r>
  <r>
    <x v="1"/>
  </r>
  <r>
    <x v="1"/>
  </r>
  <r>
    <x v="4"/>
  </r>
  <r>
    <x v="1"/>
  </r>
  <r>
    <x v="4"/>
  </r>
  <r>
    <x v="1"/>
  </r>
  <r>
    <x v="1"/>
  </r>
  <r>
    <x v="3"/>
  </r>
  <r>
    <x v="1"/>
  </r>
  <r>
    <x v="1"/>
  </r>
  <r>
    <x v="0"/>
  </r>
  <r>
    <x v="1"/>
  </r>
  <r>
    <x v="1"/>
  </r>
  <r>
    <x v="1"/>
  </r>
  <r>
    <x v="2"/>
  </r>
  <r>
    <x v="1"/>
  </r>
  <r>
    <x v="1"/>
  </r>
  <r>
    <x v="1"/>
  </r>
  <r>
    <x v="3"/>
  </r>
  <r>
    <x v="1"/>
  </r>
  <r>
    <x v="0"/>
  </r>
  <r>
    <x v="1"/>
  </r>
  <r>
    <x v="1"/>
  </r>
  <r>
    <x v="4"/>
  </r>
  <r>
    <x v="1"/>
  </r>
  <r>
    <x v="0"/>
  </r>
  <r>
    <x v="1"/>
  </r>
  <r>
    <x v="0"/>
  </r>
  <r>
    <x v="0"/>
  </r>
  <r>
    <x v="1"/>
  </r>
  <r>
    <x v="1"/>
  </r>
  <r>
    <x v="1"/>
  </r>
  <r>
    <x v="2"/>
  </r>
  <r>
    <x v="4"/>
  </r>
  <r>
    <x v="2"/>
  </r>
  <r>
    <x v="1"/>
  </r>
  <r>
    <x v="3"/>
  </r>
  <r>
    <x v="1"/>
  </r>
  <r>
    <x v="1"/>
  </r>
  <r>
    <x v="1"/>
  </r>
  <r>
    <x v="0"/>
  </r>
  <r>
    <x v="1"/>
  </r>
  <r>
    <x v="1"/>
  </r>
  <r>
    <x v="0"/>
  </r>
  <r>
    <x v="1"/>
  </r>
  <r>
    <x v="1"/>
  </r>
  <r>
    <x v="1"/>
  </r>
  <r>
    <x v="1"/>
  </r>
  <r>
    <x v="0"/>
  </r>
  <r>
    <x v="1"/>
  </r>
  <r>
    <x v="3"/>
  </r>
  <r>
    <x v="0"/>
  </r>
  <r>
    <x v="4"/>
  </r>
  <r>
    <x v="1"/>
  </r>
  <r>
    <x v="1"/>
  </r>
  <r>
    <x v="1"/>
  </r>
  <r>
    <x v="1"/>
  </r>
  <r>
    <x v="0"/>
  </r>
  <r>
    <x v="1"/>
  </r>
  <r>
    <x v="1"/>
  </r>
  <r>
    <x v="1"/>
  </r>
  <r>
    <x v="1"/>
  </r>
  <r>
    <x v="4"/>
  </r>
  <r>
    <x v="1"/>
  </r>
  <r>
    <x v="1"/>
  </r>
  <r>
    <x v="0"/>
  </r>
  <r>
    <x v="3"/>
  </r>
  <r>
    <x v="1"/>
  </r>
  <r>
    <x v="1"/>
  </r>
  <r>
    <x v="1"/>
  </r>
  <r>
    <x v="1"/>
  </r>
  <r>
    <x v="1"/>
  </r>
  <r>
    <x v="3"/>
  </r>
  <r>
    <x v="1"/>
  </r>
  <r>
    <x v="3"/>
  </r>
  <r>
    <x v="4"/>
  </r>
  <r>
    <x v="3"/>
  </r>
  <r>
    <x v="0"/>
  </r>
  <r>
    <x v="1"/>
  </r>
  <r>
    <x v="2"/>
  </r>
  <r>
    <x v="1"/>
  </r>
  <r>
    <x v="4"/>
  </r>
  <r>
    <x v="1"/>
  </r>
  <r>
    <x v="2"/>
  </r>
  <r>
    <x v="1"/>
  </r>
  <r>
    <x v="2"/>
  </r>
  <r>
    <x v="0"/>
  </r>
  <r>
    <x v="0"/>
  </r>
  <r>
    <x v="4"/>
  </r>
  <r>
    <x v="1"/>
  </r>
  <r>
    <x v="0"/>
  </r>
  <r>
    <x v="1"/>
  </r>
  <r>
    <x v="1"/>
  </r>
  <r>
    <x v="4"/>
  </r>
  <r>
    <x v="1"/>
  </r>
  <r>
    <x v="2"/>
  </r>
  <r>
    <x v="1"/>
  </r>
  <r>
    <x v="1"/>
  </r>
  <r>
    <x v="3"/>
  </r>
  <r>
    <x v="1"/>
  </r>
  <r>
    <x v="1"/>
  </r>
  <r>
    <x v="1"/>
  </r>
  <r>
    <x v="4"/>
  </r>
  <r>
    <x v="2"/>
  </r>
  <r>
    <x v="4"/>
  </r>
  <r>
    <x v="3"/>
  </r>
  <r>
    <x v="0"/>
  </r>
  <r>
    <x v="2"/>
  </r>
  <r>
    <x v="1"/>
  </r>
  <r>
    <x v="0"/>
  </r>
  <r>
    <x v="1"/>
  </r>
  <r>
    <x v="1"/>
  </r>
  <r>
    <x v="2"/>
  </r>
  <r>
    <x v="1"/>
  </r>
  <r>
    <x v="1"/>
  </r>
  <r>
    <x v="2"/>
  </r>
  <r>
    <x v="1"/>
  </r>
  <r>
    <x v="1"/>
  </r>
  <r>
    <x v="1"/>
  </r>
  <r>
    <x v="1"/>
  </r>
  <r>
    <x v="1"/>
  </r>
  <r>
    <x v="1"/>
  </r>
  <r>
    <x v="1"/>
  </r>
  <r>
    <x v="2"/>
  </r>
  <r>
    <x v="5"/>
  </r>
  <r>
    <x v="1"/>
  </r>
  <r>
    <x v="4"/>
  </r>
  <r>
    <x v="2"/>
  </r>
  <r>
    <x v="4"/>
  </r>
  <r>
    <x v="1"/>
  </r>
  <r>
    <x v="4"/>
  </r>
  <r>
    <x v="1"/>
  </r>
  <r>
    <x v="0"/>
  </r>
  <r>
    <x v="1"/>
  </r>
  <r>
    <x v="2"/>
  </r>
  <r>
    <x v="1"/>
  </r>
  <r>
    <x v="4"/>
  </r>
  <r>
    <x v="4"/>
  </r>
  <r>
    <x v="0"/>
  </r>
  <r>
    <x v="1"/>
  </r>
  <r>
    <x v="1"/>
  </r>
  <r>
    <x v="0"/>
  </r>
  <r>
    <x v="1"/>
  </r>
  <r>
    <x v="1"/>
  </r>
  <r>
    <x v="4"/>
  </r>
  <r>
    <x v="1"/>
  </r>
  <r>
    <x v="1"/>
  </r>
  <r>
    <x v="0"/>
  </r>
  <r>
    <x v="1"/>
  </r>
  <r>
    <x v="1"/>
  </r>
  <r>
    <x v="0"/>
  </r>
  <r>
    <x v="4"/>
  </r>
  <r>
    <x v="4"/>
  </r>
  <r>
    <x v="1"/>
  </r>
  <r>
    <x v="4"/>
  </r>
  <r>
    <x v="0"/>
  </r>
  <r>
    <x v="1"/>
  </r>
  <r>
    <x v="2"/>
  </r>
  <r>
    <x v="0"/>
  </r>
  <r>
    <x v="5"/>
  </r>
  <r>
    <x v="5"/>
  </r>
  <r>
    <x v="1"/>
  </r>
  <r>
    <x v="4"/>
  </r>
  <r>
    <x v="1"/>
  </r>
  <r>
    <x v="0"/>
  </r>
  <r>
    <x v="0"/>
  </r>
  <r>
    <x v="1"/>
  </r>
  <r>
    <x v="5"/>
  </r>
  <r>
    <x v="1"/>
  </r>
  <r>
    <x v="4"/>
  </r>
  <r>
    <x v="0"/>
  </r>
  <r>
    <x v="0"/>
  </r>
  <r>
    <x v="3"/>
  </r>
  <r>
    <x v="1"/>
  </r>
  <r>
    <x v="4"/>
  </r>
  <r>
    <x v="1"/>
  </r>
  <r>
    <x v="3"/>
  </r>
  <r>
    <x v="1"/>
  </r>
  <r>
    <x v="4"/>
  </r>
  <r>
    <x v="0"/>
  </r>
  <r>
    <x v="1"/>
  </r>
  <r>
    <x v="4"/>
  </r>
  <r>
    <x v="1"/>
  </r>
  <r>
    <x v="1"/>
  </r>
  <r>
    <x v="1"/>
  </r>
  <r>
    <x v="0"/>
  </r>
  <r>
    <x v="3"/>
  </r>
  <r>
    <x v="0"/>
  </r>
  <r>
    <x v="6"/>
  </r>
  <r>
    <x v="4"/>
  </r>
  <r>
    <x v="1"/>
  </r>
  <r>
    <x v="4"/>
  </r>
  <r>
    <x v="1"/>
  </r>
  <r>
    <x v="1"/>
  </r>
  <r>
    <x v="6"/>
  </r>
  <r>
    <x v="1"/>
  </r>
  <r>
    <x v="2"/>
  </r>
  <r>
    <x v="0"/>
  </r>
  <r>
    <x v="4"/>
  </r>
  <r>
    <x v="1"/>
  </r>
  <r>
    <x v="5"/>
  </r>
  <r>
    <x v="3"/>
  </r>
  <r>
    <x v="1"/>
  </r>
  <r>
    <x v="2"/>
  </r>
  <r>
    <x v="3"/>
  </r>
  <r>
    <x v="1"/>
  </r>
  <r>
    <x v="5"/>
  </r>
  <r>
    <x v="1"/>
  </r>
  <r>
    <x v="1"/>
  </r>
  <r>
    <x v="1"/>
  </r>
  <r>
    <x v="4"/>
  </r>
  <r>
    <x v="1"/>
  </r>
  <r>
    <x v="1"/>
  </r>
  <r>
    <x v="2"/>
  </r>
  <r>
    <x v="4"/>
  </r>
  <r>
    <x v="4"/>
  </r>
  <r>
    <x v="4"/>
  </r>
  <r>
    <x v="1"/>
  </r>
  <r>
    <x v="1"/>
  </r>
  <r>
    <x v="2"/>
  </r>
  <r>
    <x v="0"/>
  </r>
  <r>
    <x v="1"/>
  </r>
  <r>
    <x v="0"/>
  </r>
  <r>
    <x v="3"/>
  </r>
  <r>
    <x v="1"/>
  </r>
  <r>
    <x v="3"/>
  </r>
  <r>
    <x v="4"/>
  </r>
  <r>
    <x v="0"/>
  </r>
  <r>
    <x v="1"/>
  </r>
  <r>
    <x v="4"/>
  </r>
  <r>
    <x v="1"/>
  </r>
  <r>
    <x v="4"/>
  </r>
  <r>
    <x v="1"/>
  </r>
  <r>
    <x v="0"/>
  </r>
  <r>
    <x v="2"/>
  </r>
  <r>
    <x v="1"/>
  </r>
  <r>
    <x v="0"/>
  </r>
  <r>
    <x v="4"/>
  </r>
  <r>
    <x v="1"/>
  </r>
  <r>
    <x v="1"/>
  </r>
  <r>
    <x v="4"/>
  </r>
  <r>
    <x v="4"/>
  </r>
  <r>
    <x v="1"/>
  </r>
  <r>
    <x v="1"/>
  </r>
  <r>
    <x v="4"/>
  </r>
  <r>
    <x v="1"/>
  </r>
  <r>
    <x v="4"/>
  </r>
  <r>
    <x v="1"/>
  </r>
  <r>
    <x v="1"/>
  </r>
  <r>
    <x v="1"/>
  </r>
  <r>
    <x v="3"/>
  </r>
  <r>
    <x v="1"/>
  </r>
  <r>
    <x v="3"/>
  </r>
  <r>
    <x v="1"/>
  </r>
  <r>
    <x v="0"/>
  </r>
  <r>
    <x v="1"/>
  </r>
  <r>
    <x v="4"/>
  </r>
  <r>
    <x v="1"/>
  </r>
  <r>
    <x v="4"/>
  </r>
  <r>
    <x v="4"/>
  </r>
  <r>
    <x v="4"/>
  </r>
  <r>
    <x v="1"/>
  </r>
  <r>
    <x v="1"/>
  </r>
  <r>
    <x v="1"/>
  </r>
  <r>
    <x v="1"/>
  </r>
  <r>
    <x v="4"/>
  </r>
  <r>
    <x v="3"/>
  </r>
  <r>
    <x v="1"/>
  </r>
  <r>
    <x v="0"/>
  </r>
  <r>
    <x v="0"/>
  </r>
  <r>
    <x v="1"/>
  </r>
  <r>
    <x v="3"/>
  </r>
  <r>
    <x v="1"/>
  </r>
  <r>
    <x v="4"/>
  </r>
  <r>
    <x v="4"/>
  </r>
  <r>
    <x v="1"/>
  </r>
  <r>
    <x v="0"/>
  </r>
  <r>
    <x v="0"/>
  </r>
  <r>
    <x v="1"/>
  </r>
  <r>
    <x v="2"/>
  </r>
  <r>
    <x v="0"/>
  </r>
  <r>
    <x v="1"/>
  </r>
  <r>
    <x v="3"/>
  </r>
  <r>
    <x v="4"/>
  </r>
  <r>
    <x v="6"/>
  </r>
  <r>
    <x v="1"/>
  </r>
  <r>
    <x v="1"/>
  </r>
  <r>
    <x v="2"/>
  </r>
  <r>
    <x v="1"/>
  </r>
  <r>
    <x v="0"/>
  </r>
  <r>
    <x v="1"/>
  </r>
  <r>
    <x v="1"/>
  </r>
  <r>
    <x v="0"/>
  </r>
  <r>
    <x v="1"/>
  </r>
  <r>
    <x v="4"/>
  </r>
  <r>
    <x v="4"/>
  </r>
  <r>
    <x v="1"/>
  </r>
  <r>
    <x v="4"/>
  </r>
  <r>
    <x v="0"/>
  </r>
  <r>
    <x v="1"/>
  </r>
  <r>
    <x v="4"/>
  </r>
  <r>
    <x v="2"/>
  </r>
  <r>
    <x v="1"/>
  </r>
  <r>
    <x v="4"/>
  </r>
  <r>
    <x v="1"/>
  </r>
  <r>
    <x v="4"/>
  </r>
  <r>
    <x v="1"/>
  </r>
  <r>
    <x v="0"/>
  </r>
  <r>
    <x v="1"/>
  </r>
  <r>
    <x v="1"/>
  </r>
  <r>
    <x v="1"/>
  </r>
  <r>
    <x v="2"/>
  </r>
  <r>
    <x v="1"/>
  </r>
  <r>
    <x v="1"/>
  </r>
  <r>
    <x v="1"/>
  </r>
  <r>
    <x v="0"/>
  </r>
  <r>
    <x v="0"/>
  </r>
  <r>
    <x v="0"/>
  </r>
  <r>
    <x v="1"/>
  </r>
  <r>
    <x v="2"/>
  </r>
  <r>
    <x v="3"/>
  </r>
  <r>
    <x v="4"/>
  </r>
  <r>
    <x v="1"/>
  </r>
  <r>
    <x v="1"/>
  </r>
  <r>
    <x v="2"/>
  </r>
  <r>
    <x v="4"/>
  </r>
  <r>
    <x v="3"/>
  </r>
  <r>
    <x v="4"/>
  </r>
  <r>
    <x v="1"/>
  </r>
  <r>
    <x v="1"/>
  </r>
  <r>
    <x v="1"/>
  </r>
  <r>
    <x v="1"/>
  </r>
  <r>
    <x v="4"/>
  </r>
  <r>
    <x v="1"/>
  </r>
  <r>
    <x v="4"/>
  </r>
  <r>
    <x v="1"/>
  </r>
  <r>
    <x v="0"/>
  </r>
  <r>
    <x v="1"/>
  </r>
  <r>
    <x v="4"/>
  </r>
  <r>
    <x v="0"/>
  </r>
  <r>
    <x v="4"/>
  </r>
  <r>
    <x v="4"/>
  </r>
  <r>
    <x v="3"/>
  </r>
  <r>
    <x v="1"/>
  </r>
  <r>
    <x v="1"/>
  </r>
  <r>
    <x v="4"/>
  </r>
  <r>
    <x v="0"/>
  </r>
  <r>
    <x v="0"/>
  </r>
  <r>
    <x v="0"/>
  </r>
  <r>
    <x v="1"/>
  </r>
  <r>
    <x v="4"/>
  </r>
  <r>
    <x v="1"/>
  </r>
  <r>
    <x v="2"/>
  </r>
  <r>
    <x v="1"/>
  </r>
  <r>
    <x v="4"/>
  </r>
  <r>
    <x v="1"/>
  </r>
  <r>
    <x v="2"/>
  </r>
  <r>
    <x v="1"/>
  </r>
  <r>
    <x v="4"/>
  </r>
  <r>
    <x v="1"/>
  </r>
  <r>
    <x v="1"/>
  </r>
  <r>
    <x v="2"/>
  </r>
  <r>
    <x v="1"/>
  </r>
  <r>
    <x v="1"/>
  </r>
  <r>
    <x v="0"/>
  </r>
  <r>
    <x v="4"/>
  </r>
  <r>
    <x v="4"/>
  </r>
  <r>
    <x v="3"/>
  </r>
  <r>
    <x v="3"/>
  </r>
  <r>
    <x v="1"/>
  </r>
  <r>
    <x v="2"/>
  </r>
  <r>
    <x v="4"/>
  </r>
  <r>
    <x v="0"/>
  </r>
  <r>
    <x v="2"/>
  </r>
  <r>
    <x v="1"/>
  </r>
  <r>
    <x v="1"/>
  </r>
  <r>
    <x v="1"/>
  </r>
  <r>
    <x v="0"/>
  </r>
  <r>
    <x v="2"/>
  </r>
  <r>
    <x v="1"/>
  </r>
  <r>
    <x v="1"/>
  </r>
  <r>
    <x v="1"/>
  </r>
  <r>
    <x v="1"/>
  </r>
  <r>
    <x v="4"/>
  </r>
  <r>
    <x v="3"/>
  </r>
  <r>
    <x v="0"/>
  </r>
  <r>
    <x v="1"/>
  </r>
  <r>
    <x v="1"/>
  </r>
  <r>
    <x v="0"/>
  </r>
  <r>
    <x v="1"/>
  </r>
  <r>
    <x v="1"/>
  </r>
  <r>
    <x v="6"/>
  </r>
  <r>
    <x v="1"/>
  </r>
  <r>
    <x v="1"/>
  </r>
  <r>
    <x v="1"/>
  </r>
  <r>
    <x v="1"/>
  </r>
  <r>
    <x v="0"/>
  </r>
  <r>
    <x v="1"/>
  </r>
  <r>
    <x v="4"/>
  </r>
  <r>
    <x v="4"/>
  </r>
  <r>
    <x v="0"/>
  </r>
  <r>
    <x v="0"/>
  </r>
  <r>
    <x v="2"/>
  </r>
  <r>
    <x v="1"/>
  </r>
  <r>
    <x v="3"/>
  </r>
  <r>
    <x v="2"/>
  </r>
  <r>
    <x v="1"/>
  </r>
  <r>
    <x v="1"/>
  </r>
  <r>
    <x v="1"/>
  </r>
  <r>
    <x v="0"/>
  </r>
  <r>
    <x v="3"/>
  </r>
  <r>
    <x v="1"/>
  </r>
  <r>
    <x v="3"/>
  </r>
  <r>
    <x v="4"/>
  </r>
  <r>
    <x v="1"/>
  </r>
  <r>
    <x v="5"/>
  </r>
  <r>
    <x v="0"/>
  </r>
  <r>
    <x v="1"/>
  </r>
  <r>
    <x v="4"/>
  </r>
  <r>
    <x v="4"/>
  </r>
  <r>
    <x v="1"/>
  </r>
  <r>
    <x v="2"/>
  </r>
  <r>
    <x v="2"/>
  </r>
  <r>
    <x v="4"/>
  </r>
  <r>
    <x v="3"/>
  </r>
  <r>
    <x v="0"/>
  </r>
  <r>
    <x v="3"/>
  </r>
  <r>
    <x v="4"/>
  </r>
  <r>
    <x v="1"/>
  </r>
  <r>
    <x v="4"/>
  </r>
  <r>
    <x v="0"/>
  </r>
  <r>
    <x v="1"/>
  </r>
  <r>
    <x v="4"/>
  </r>
  <r>
    <x v="1"/>
  </r>
  <r>
    <x v="4"/>
  </r>
  <r>
    <x v="1"/>
  </r>
  <r>
    <x v="1"/>
  </r>
  <r>
    <x v="4"/>
  </r>
  <r>
    <x v="4"/>
  </r>
  <r>
    <x v="1"/>
  </r>
  <r>
    <x v="1"/>
  </r>
  <r>
    <x v="2"/>
  </r>
  <r>
    <x v="2"/>
  </r>
  <r>
    <x v="4"/>
  </r>
  <r>
    <x v="1"/>
  </r>
  <r>
    <x v="3"/>
  </r>
  <r>
    <x v="0"/>
  </r>
  <r>
    <x v="4"/>
  </r>
  <r>
    <x v="2"/>
  </r>
  <r>
    <x v="1"/>
  </r>
  <r>
    <x v="1"/>
  </r>
  <r>
    <x v="1"/>
  </r>
  <r>
    <x v="4"/>
  </r>
  <r>
    <x v="1"/>
  </r>
  <r>
    <x v="0"/>
  </r>
  <r>
    <x v="1"/>
  </r>
  <r>
    <x v="1"/>
  </r>
  <r>
    <x v="4"/>
  </r>
  <r>
    <x v="1"/>
  </r>
  <r>
    <x v="1"/>
  </r>
  <r>
    <x v="1"/>
  </r>
  <r>
    <x v="1"/>
  </r>
  <r>
    <x v="2"/>
  </r>
  <r>
    <x v="1"/>
  </r>
  <r>
    <x v="1"/>
  </r>
  <r>
    <x v="1"/>
  </r>
  <r>
    <x v="4"/>
  </r>
  <r>
    <x v="0"/>
  </r>
  <r>
    <x v="6"/>
  </r>
  <r>
    <x v="2"/>
  </r>
  <r>
    <x v="1"/>
  </r>
  <r>
    <x v="3"/>
  </r>
  <r>
    <x v="1"/>
  </r>
  <r>
    <x v="1"/>
  </r>
  <r>
    <x v="1"/>
  </r>
  <r>
    <x v="1"/>
  </r>
  <r>
    <x v="4"/>
  </r>
  <r>
    <x v="1"/>
  </r>
  <r>
    <x v="2"/>
  </r>
  <r>
    <x v="0"/>
  </r>
  <r>
    <x v="1"/>
  </r>
  <r>
    <x v="1"/>
  </r>
  <r>
    <x v="1"/>
  </r>
  <r>
    <x v="1"/>
  </r>
  <r>
    <x v="4"/>
  </r>
  <r>
    <x v="1"/>
  </r>
  <r>
    <x v="1"/>
  </r>
  <r>
    <x v="1"/>
  </r>
  <r>
    <x v="0"/>
  </r>
  <r>
    <x v="6"/>
  </r>
  <r>
    <x v="4"/>
  </r>
  <r>
    <x v="4"/>
  </r>
  <r>
    <x v="2"/>
  </r>
  <r>
    <x v="4"/>
  </r>
  <r>
    <x v="0"/>
  </r>
  <r>
    <x v="4"/>
  </r>
  <r>
    <x v="1"/>
  </r>
  <r>
    <x v="4"/>
  </r>
  <r>
    <x v="3"/>
  </r>
  <r>
    <x v="4"/>
  </r>
  <r>
    <x v="1"/>
  </r>
  <r>
    <x v="1"/>
  </r>
  <r>
    <x v="1"/>
  </r>
  <r>
    <x v="1"/>
  </r>
  <r>
    <x v="1"/>
  </r>
  <r>
    <x v="2"/>
  </r>
  <r>
    <x v="4"/>
  </r>
  <r>
    <x v="1"/>
  </r>
  <r>
    <x v="0"/>
  </r>
  <r>
    <x v="4"/>
  </r>
  <r>
    <x v="1"/>
  </r>
  <r>
    <x v="1"/>
  </r>
  <r>
    <x v="2"/>
  </r>
  <r>
    <x v="1"/>
  </r>
  <r>
    <x v="1"/>
  </r>
  <r>
    <x v="4"/>
  </r>
  <r>
    <x v="1"/>
  </r>
  <r>
    <x v="0"/>
  </r>
  <r>
    <x v="1"/>
  </r>
  <r>
    <x v="1"/>
  </r>
  <r>
    <x v="1"/>
  </r>
  <r>
    <x v="1"/>
  </r>
  <r>
    <x v="0"/>
  </r>
  <r>
    <x v="1"/>
  </r>
  <r>
    <x v="4"/>
  </r>
  <r>
    <x v="1"/>
  </r>
  <r>
    <x v="1"/>
  </r>
  <r>
    <x v="0"/>
  </r>
  <r>
    <x v="4"/>
  </r>
  <r>
    <x v="4"/>
  </r>
  <r>
    <x v="4"/>
  </r>
  <r>
    <x v="0"/>
  </r>
  <r>
    <x v="1"/>
  </r>
  <r>
    <x v="0"/>
  </r>
  <r>
    <x v="1"/>
  </r>
  <r>
    <x v="3"/>
  </r>
  <r>
    <x v="1"/>
  </r>
  <r>
    <x v="1"/>
  </r>
  <r>
    <x v="4"/>
  </r>
  <r>
    <x v="1"/>
  </r>
  <r>
    <x v="3"/>
  </r>
  <r>
    <x v="4"/>
  </r>
  <r>
    <x v="4"/>
  </r>
  <r>
    <x v="1"/>
  </r>
  <r>
    <x v="1"/>
  </r>
  <r>
    <x v="1"/>
  </r>
  <r>
    <x v="3"/>
  </r>
  <r>
    <x v="0"/>
  </r>
  <r>
    <x v="0"/>
  </r>
  <r>
    <x v="1"/>
  </r>
  <r>
    <x v="1"/>
  </r>
  <r>
    <x v="1"/>
  </r>
  <r>
    <x v="1"/>
  </r>
  <r>
    <x v="2"/>
  </r>
  <r>
    <x v="1"/>
  </r>
  <r>
    <x v="4"/>
  </r>
  <r>
    <x v="3"/>
  </r>
  <r>
    <x v="0"/>
  </r>
  <r>
    <x v="4"/>
  </r>
  <r>
    <x v="1"/>
  </r>
  <r>
    <x v="1"/>
  </r>
  <r>
    <x v="1"/>
  </r>
  <r>
    <x v="3"/>
  </r>
  <r>
    <x v="4"/>
  </r>
  <r>
    <x v="3"/>
  </r>
  <r>
    <x v="4"/>
  </r>
  <r>
    <x v="4"/>
  </r>
  <r>
    <x v="4"/>
  </r>
  <r>
    <x v="0"/>
  </r>
  <r>
    <x v="7"/>
  </r>
  <r>
    <x v="0"/>
  </r>
  <r>
    <x v="1"/>
  </r>
  <r>
    <x v="1"/>
  </r>
  <r>
    <x v="1"/>
  </r>
  <r>
    <x v="1"/>
  </r>
  <r>
    <x v="1"/>
  </r>
  <r>
    <x v="1"/>
  </r>
  <r>
    <x v="4"/>
  </r>
  <r>
    <x v="4"/>
  </r>
  <r>
    <x v="2"/>
  </r>
  <r>
    <x v="1"/>
  </r>
  <r>
    <x v="0"/>
  </r>
  <r>
    <x v="1"/>
  </r>
  <r>
    <x v="2"/>
  </r>
  <r>
    <x v="0"/>
  </r>
  <r>
    <x v="2"/>
  </r>
  <r>
    <x v="1"/>
  </r>
  <r>
    <x v="0"/>
  </r>
  <r>
    <x v="1"/>
  </r>
  <r>
    <x v="1"/>
  </r>
  <r>
    <x v="1"/>
  </r>
  <r>
    <x v="0"/>
  </r>
  <r>
    <x v="1"/>
  </r>
  <r>
    <x v="1"/>
  </r>
  <r>
    <x v="1"/>
  </r>
  <r>
    <x v="1"/>
  </r>
  <r>
    <x v="4"/>
  </r>
  <r>
    <x v="4"/>
  </r>
  <r>
    <x v="1"/>
  </r>
  <r>
    <x v="0"/>
  </r>
  <r>
    <x v="1"/>
  </r>
  <r>
    <x v="4"/>
  </r>
  <r>
    <x v="1"/>
  </r>
  <r>
    <x v="1"/>
  </r>
  <r>
    <x v="1"/>
  </r>
  <r>
    <x v="1"/>
  </r>
  <r>
    <x v="2"/>
  </r>
  <r>
    <x v="1"/>
  </r>
  <r>
    <x v="1"/>
  </r>
  <r>
    <x v="4"/>
  </r>
  <r>
    <x v="1"/>
  </r>
  <r>
    <x v="0"/>
  </r>
  <r>
    <x v="0"/>
  </r>
  <r>
    <x v="0"/>
  </r>
  <r>
    <x v="1"/>
  </r>
  <r>
    <x v="0"/>
  </r>
  <r>
    <x v="7"/>
  </r>
</pivotCacheRecords>
</file>

<file path=xl/pivotCache/pivotCacheRecords6.xml><?xml version="1.0" encoding="utf-8"?>
<pivotCacheRecords xmlns="http://schemas.openxmlformats.org/spreadsheetml/2006/main" xmlns:r="http://schemas.openxmlformats.org/officeDocument/2006/relationships" count="821">
  <r>
    <x v="0"/>
  </r>
  <r>
    <x v="0"/>
  </r>
  <r>
    <x v="0"/>
  </r>
  <r>
    <x v="1"/>
  </r>
  <r>
    <x v="1"/>
  </r>
  <r>
    <x v="1"/>
  </r>
  <r>
    <x v="1"/>
  </r>
  <r>
    <x v="1"/>
  </r>
  <r>
    <x v="1"/>
  </r>
  <r>
    <x v="1"/>
  </r>
  <r>
    <x v="0"/>
  </r>
  <r>
    <x v="0"/>
  </r>
  <r>
    <x v="1"/>
  </r>
  <r>
    <x v="1"/>
  </r>
  <r>
    <x v="0"/>
  </r>
  <r>
    <x v="0"/>
  </r>
  <r>
    <x v="0"/>
  </r>
  <r>
    <x v="1"/>
  </r>
  <r>
    <x v="1"/>
  </r>
  <r>
    <x v="0"/>
  </r>
  <r>
    <x v="0"/>
  </r>
  <r>
    <x v="1"/>
  </r>
  <r>
    <x v="1"/>
  </r>
  <r>
    <x v="1"/>
  </r>
  <r>
    <x v="1"/>
  </r>
  <r>
    <x v="1"/>
  </r>
  <r>
    <x v="0"/>
  </r>
  <r>
    <x v="1"/>
  </r>
  <r>
    <x v="1"/>
  </r>
  <r>
    <x v="1"/>
  </r>
  <r>
    <x v="1"/>
  </r>
  <r>
    <x v="1"/>
  </r>
  <r>
    <x v="0"/>
  </r>
  <r>
    <x v="0"/>
  </r>
  <r>
    <x v="0"/>
  </r>
  <r>
    <x v="1"/>
  </r>
  <r>
    <x v="0"/>
  </r>
  <r>
    <x v="1"/>
  </r>
  <r>
    <x v="1"/>
  </r>
  <r>
    <x v="1"/>
  </r>
  <r>
    <x v="0"/>
  </r>
  <r>
    <x v="1"/>
  </r>
  <r>
    <x v="1"/>
  </r>
  <r>
    <x v="0"/>
  </r>
  <r>
    <x v="1"/>
  </r>
  <r>
    <x v="1"/>
  </r>
  <r>
    <x v="0"/>
  </r>
  <r>
    <x v="1"/>
  </r>
  <r>
    <x v="0"/>
  </r>
  <r>
    <x v="1"/>
  </r>
  <r>
    <x v="0"/>
  </r>
  <r>
    <x v="1"/>
  </r>
  <r>
    <x v="1"/>
  </r>
  <r>
    <x v="1"/>
  </r>
  <r>
    <x v="1"/>
  </r>
  <r>
    <x v="1"/>
  </r>
  <r>
    <x v="1"/>
  </r>
  <r>
    <x v="0"/>
  </r>
  <r>
    <x v="1"/>
  </r>
  <r>
    <x v="2"/>
  </r>
  <r>
    <x v="0"/>
  </r>
  <r>
    <x v="1"/>
  </r>
  <r>
    <x v="1"/>
  </r>
  <r>
    <x v="0"/>
  </r>
  <r>
    <x v="0"/>
  </r>
  <r>
    <x v="1"/>
  </r>
  <r>
    <x v="0"/>
  </r>
  <r>
    <x v="1"/>
  </r>
  <r>
    <x v="2"/>
  </r>
  <r>
    <x v="1"/>
  </r>
  <r>
    <x v="1"/>
  </r>
  <r>
    <x v="1"/>
  </r>
  <r>
    <x v="1"/>
  </r>
  <r>
    <x v="0"/>
  </r>
  <r>
    <x v="1"/>
  </r>
  <r>
    <x v="0"/>
  </r>
  <r>
    <x v="1"/>
  </r>
  <r>
    <x v="0"/>
  </r>
  <r>
    <x v="0"/>
  </r>
  <r>
    <x v="0"/>
  </r>
  <r>
    <x v="1"/>
  </r>
  <r>
    <x v="1"/>
  </r>
  <r>
    <x v="1"/>
  </r>
  <r>
    <x v="1"/>
  </r>
  <r>
    <x v="1"/>
  </r>
  <r>
    <x v="0"/>
  </r>
  <r>
    <x v="1"/>
  </r>
  <r>
    <x v="1"/>
  </r>
  <r>
    <x v="0"/>
  </r>
  <r>
    <x v="1"/>
  </r>
  <r>
    <x v="1"/>
  </r>
  <r>
    <x v="0"/>
  </r>
  <r>
    <x v="1"/>
  </r>
  <r>
    <x v="1"/>
  </r>
  <r>
    <x v="1"/>
  </r>
  <r>
    <x v="0"/>
  </r>
  <r>
    <x v="0"/>
  </r>
  <r>
    <x v="0"/>
  </r>
  <r>
    <x v="0"/>
  </r>
  <r>
    <x v="0"/>
  </r>
  <r>
    <x v="1"/>
  </r>
  <r>
    <x v="1"/>
  </r>
  <r>
    <x v="1"/>
  </r>
  <r>
    <x v="1"/>
  </r>
  <r>
    <x v="1"/>
  </r>
  <r>
    <x v="1"/>
  </r>
  <r>
    <x v="1"/>
  </r>
  <r>
    <x v="1"/>
  </r>
  <r>
    <x v="1"/>
  </r>
  <r>
    <x v="1"/>
  </r>
  <r>
    <x v="1"/>
  </r>
  <r>
    <x v="1"/>
  </r>
  <r>
    <x v="1"/>
  </r>
  <r>
    <x v="0"/>
  </r>
  <r>
    <x v="1"/>
  </r>
  <r>
    <x v="1"/>
  </r>
  <r>
    <x v="0"/>
  </r>
  <r>
    <x v="1"/>
  </r>
  <r>
    <x v="1"/>
  </r>
  <r>
    <x v="0"/>
  </r>
  <r>
    <x v="1"/>
  </r>
  <r>
    <x v="0"/>
  </r>
  <r>
    <x v="0"/>
  </r>
  <r>
    <x v="2"/>
  </r>
  <r>
    <x v="1"/>
  </r>
  <r>
    <x v="0"/>
  </r>
  <r>
    <x v="0"/>
  </r>
  <r>
    <x v="1"/>
  </r>
  <r>
    <x v="0"/>
  </r>
  <r>
    <x v="1"/>
  </r>
  <r>
    <x v="0"/>
  </r>
  <r>
    <x v="1"/>
  </r>
  <r>
    <x v="1"/>
  </r>
  <r>
    <x v="1"/>
  </r>
  <r>
    <x v="0"/>
  </r>
  <r>
    <x v="1"/>
  </r>
  <r>
    <x v="1"/>
  </r>
  <r>
    <x v="1"/>
  </r>
  <r>
    <x v="1"/>
  </r>
  <r>
    <x v="0"/>
  </r>
  <r>
    <x v="1"/>
  </r>
  <r>
    <x v="0"/>
  </r>
  <r>
    <x v="1"/>
  </r>
  <r>
    <x v="1"/>
  </r>
  <r>
    <x v="1"/>
  </r>
  <r>
    <x v="0"/>
  </r>
  <r>
    <x v="1"/>
  </r>
  <r>
    <x v="0"/>
  </r>
  <r>
    <x v="1"/>
  </r>
  <r>
    <x v="1"/>
  </r>
  <r>
    <x v="1"/>
  </r>
  <r>
    <x v="0"/>
  </r>
  <r>
    <x v="1"/>
  </r>
  <r>
    <x v="1"/>
  </r>
  <r>
    <x v="0"/>
  </r>
  <r>
    <x v="1"/>
  </r>
  <r>
    <x v="0"/>
  </r>
  <r>
    <x v="0"/>
  </r>
  <r>
    <x v="0"/>
  </r>
  <r>
    <x v="1"/>
  </r>
  <r>
    <x v="1"/>
  </r>
  <r>
    <x v="1"/>
  </r>
  <r>
    <x v="1"/>
  </r>
  <r>
    <x v="0"/>
  </r>
  <r>
    <x v="1"/>
  </r>
  <r>
    <x v="0"/>
  </r>
  <r>
    <x v="1"/>
  </r>
  <r>
    <x v="1"/>
  </r>
  <r>
    <x v="1"/>
  </r>
  <r>
    <x v="0"/>
  </r>
  <r>
    <x v="1"/>
  </r>
  <r>
    <x v="0"/>
  </r>
  <r>
    <x v="1"/>
  </r>
  <r>
    <x v="0"/>
  </r>
  <r>
    <x v="1"/>
  </r>
  <r>
    <x v="1"/>
  </r>
  <r>
    <x v="2"/>
  </r>
  <r>
    <x v="1"/>
  </r>
  <r>
    <x v="0"/>
  </r>
  <r>
    <x v="1"/>
  </r>
  <r>
    <x v="1"/>
  </r>
  <r>
    <x v="1"/>
  </r>
  <r>
    <x v="1"/>
  </r>
  <r>
    <x v="1"/>
  </r>
  <r>
    <x v="1"/>
  </r>
  <r>
    <x v="1"/>
  </r>
  <r>
    <x v="1"/>
  </r>
  <r>
    <x v="1"/>
  </r>
  <r>
    <x v="1"/>
  </r>
  <r>
    <x v="1"/>
  </r>
  <r>
    <x v="1"/>
  </r>
  <r>
    <x v="1"/>
  </r>
  <r>
    <x v="1"/>
  </r>
  <r>
    <x v="0"/>
  </r>
  <r>
    <x v="1"/>
  </r>
  <r>
    <x v="1"/>
  </r>
  <r>
    <x v="1"/>
  </r>
  <r>
    <x v="1"/>
  </r>
  <r>
    <x v="1"/>
  </r>
  <r>
    <x v="1"/>
  </r>
  <r>
    <x v="1"/>
  </r>
  <r>
    <x v="1"/>
  </r>
  <r>
    <x v="1"/>
  </r>
  <r>
    <x v="1"/>
  </r>
  <r>
    <x v="1"/>
  </r>
  <r>
    <x v="1"/>
  </r>
  <r>
    <x v="0"/>
  </r>
  <r>
    <x v="1"/>
  </r>
  <r>
    <x v="1"/>
  </r>
  <r>
    <x v="1"/>
  </r>
  <r>
    <x v="1"/>
  </r>
  <r>
    <x v="1"/>
  </r>
  <r>
    <x v="0"/>
  </r>
  <r>
    <x v="1"/>
  </r>
  <r>
    <x v="1"/>
  </r>
  <r>
    <x v="0"/>
  </r>
  <r>
    <x v="1"/>
  </r>
  <r>
    <x v="0"/>
  </r>
  <r>
    <x v="1"/>
  </r>
  <r>
    <x v="1"/>
  </r>
  <r>
    <x v="1"/>
  </r>
  <r>
    <x v="1"/>
  </r>
  <r>
    <x v="1"/>
  </r>
  <r>
    <x v="2"/>
  </r>
  <r>
    <x v="1"/>
  </r>
  <r>
    <x v="1"/>
  </r>
  <r>
    <x v="1"/>
  </r>
  <r>
    <x v="0"/>
  </r>
  <r>
    <x v="0"/>
  </r>
  <r>
    <x v="1"/>
  </r>
  <r>
    <x v="1"/>
  </r>
  <r>
    <x v="0"/>
  </r>
  <r>
    <x v="1"/>
  </r>
  <r>
    <x v="1"/>
  </r>
  <r>
    <x v="1"/>
  </r>
  <r>
    <x v="1"/>
  </r>
  <r>
    <x v="1"/>
  </r>
  <r>
    <x v="0"/>
  </r>
  <r>
    <x v="0"/>
  </r>
  <r>
    <x v="1"/>
  </r>
  <r>
    <x v="1"/>
  </r>
  <r>
    <x v="0"/>
  </r>
  <r>
    <x v="0"/>
  </r>
  <r>
    <x v="1"/>
  </r>
  <r>
    <x v="1"/>
  </r>
  <r>
    <x v="1"/>
  </r>
  <r>
    <x v="1"/>
  </r>
  <r>
    <x v="1"/>
  </r>
  <r>
    <x v="0"/>
  </r>
  <r>
    <x v="1"/>
  </r>
  <r>
    <x v="0"/>
  </r>
  <r>
    <x v="1"/>
  </r>
  <r>
    <x v="0"/>
  </r>
  <r>
    <x v="1"/>
  </r>
  <r>
    <x v="1"/>
  </r>
  <r>
    <x v="1"/>
  </r>
  <r>
    <x v="1"/>
  </r>
  <r>
    <x v="1"/>
  </r>
  <r>
    <x v="1"/>
  </r>
  <r>
    <x v="0"/>
  </r>
  <r>
    <x v="1"/>
  </r>
  <r>
    <x v="0"/>
  </r>
  <r>
    <x v="0"/>
  </r>
  <r>
    <x v="1"/>
  </r>
  <r>
    <x v="1"/>
  </r>
  <r>
    <x v="0"/>
  </r>
  <r>
    <x v="1"/>
  </r>
  <r>
    <x v="1"/>
  </r>
  <r>
    <x v="1"/>
  </r>
  <r>
    <x v="1"/>
  </r>
  <r>
    <x v="1"/>
  </r>
  <r>
    <x v="0"/>
  </r>
  <r>
    <x v="0"/>
  </r>
  <r>
    <x v="1"/>
  </r>
  <r>
    <x v="1"/>
  </r>
  <r>
    <x v="1"/>
  </r>
  <r>
    <x v="1"/>
  </r>
  <r>
    <x v="1"/>
  </r>
  <r>
    <x v="1"/>
  </r>
  <r>
    <x v="1"/>
  </r>
  <r>
    <x v="1"/>
  </r>
  <r>
    <x v="1"/>
  </r>
  <r>
    <x v="1"/>
  </r>
  <r>
    <x v="1"/>
  </r>
  <r>
    <x v="1"/>
  </r>
  <r>
    <x v="1"/>
  </r>
  <r>
    <x v="1"/>
  </r>
  <r>
    <x v="0"/>
  </r>
  <r>
    <x v="1"/>
  </r>
  <r>
    <x v="1"/>
  </r>
  <r>
    <x v="0"/>
  </r>
  <r>
    <x v="1"/>
  </r>
  <r>
    <x v="2"/>
  </r>
  <r>
    <x v="0"/>
  </r>
  <r>
    <x v="1"/>
  </r>
  <r>
    <x v="0"/>
  </r>
  <r>
    <x v="1"/>
  </r>
  <r>
    <x v="1"/>
  </r>
  <r>
    <x v="1"/>
  </r>
  <r>
    <x v="1"/>
  </r>
  <r>
    <x v="1"/>
  </r>
  <r>
    <x v="1"/>
  </r>
  <r>
    <x v="0"/>
  </r>
  <r>
    <x v="0"/>
  </r>
  <r>
    <x v="0"/>
  </r>
  <r>
    <x v="0"/>
  </r>
  <r>
    <x v="1"/>
  </r>
  <r>
    <x v="0"/>
  </r>
  <r>
    <x v="1"/>
  </r>
  <r>
    <x v="0"/>
  </r>
  <r>
    <x v="0"/>
  </r>
  <r>
    <x v="1"/>
  </r>
  <r>
    <x v="1"/>
  </r>
  <r>
    <x v="1"/>
  </r>
  <r>
    <x v="1"/>
  </r>
  <r>
    <x v="1"/>
  </r>
  <r>
    <x v="0"/>
  </r>
  <r>
    <x v="1"/>
  </r>
  <r>
    <x v="0"/>
  </r>
  <r>
    <x v="1"/>
  </r>
  <r>
    <x v="1"/>
  </r>
  <r>
    <x v="0"/>
  </r>
  <r>
    <x v="0"/>
  </r>
  <r>
    <x v="1"/>
  </r>
  <r>
    <x v="1"/>
  </r>
  <r>
    <x v="1"/>
  </r>
  <r>
    <x v="1"/>
  </r>
  <r>
    <x v="1"/>
  </r>
  <r>
    <x v="2"/>
  </r>
  <r>
    <x v="1"/>
  </r>
  <r>
    <x v="1"/>
  </r>
  <r>
    <x v="1"/>
  </r>
  <r>
    <x v="1"/>
  </r>
  <r>
    <x v="0"/>
  </r>
  <r>
    <x v="1"/>
  </r>
  <r>
    <x v="2"/>
  </r>
  <r>
    <x v="0"/>
  </r>
  <r>
    <x v="1"/>
  </r>
  <r>
    <x v="0"/>
  </r>
  <r>
    <x v="0"/>
  </r>
  <r>
    <x v="1"/>
  </r>
  <r>
    <x v="1"/>
  </r>
  <r>
    <x v="1"/>
  </r>
  <r>
    <x v="1"/>
  </r>
  <r>
    <x v="1"/>
  </r>
  <r>
    <x v="1"/>
  </r>
  <r>
    <x v="1"/>
  </r>
  <r>
    <x v="0"/>
  </r>
  <r>
    <x v="1"/>
  </r>
  <r>
    <x v="1"/>
  </r>
  <r>
    <x v="1"/>
  </r>
  <r>
    <x v="1"/>
  </r>
  <r>
    <x v="1"/>
  </r>
  <r>
    <x v="0"/>
  </r>
  <r>
    <x v="1"/>
  </r>
  <r>
    <x v="1"/>
  </r>
  <r>
    <x v="0"/>
  </r>
  <r>
    <x v="1"/>
  </r>
  <r>
    <x v="1"/>
  </r>
  <r>
    <x v="1"/>
  </r>
  <r>
    <x v="1"/>
  </r>
  <r>
    <x v="1"/>
  </r>
  <r>
    <x v="0"/>
  </r>
  <r>
    <x v="0"/>
  </r>
  <r>
    <x v="0"/>
  </r>
  <r>
    <x v="0"/>
  </r>
  <r>
    <x v="1"/>
  </r>
  <r>
    <x v="1"/>
  </r>
  <r>
    <x v="0"/>
  </r>
  <r>
    <x v="1"/>
  </r>
  <r>
    <x v="1"/>
  </r>
  <r>
    <x v="1"/>
  </r>
  <r>
    <x v="1"/>
  </r>
  <r>
    <x v="1"/>
  </r>
  <r>
    <x v="1"/>
  </r>
  <r>
    <x v="1"/>
  </r>
  <r>
    <x v="1"/>
  </r>
  <r>
    <x v="0"/>
  </r>
  <r>
    <x v="1"/>
  </r>
  <r>
    <x v="1"/>
  </r>
  <r>
    <x v="1"/>
  </r>
  <r>
    <x v="0"/>
  </r>
  <r>
    <x v="1"/>
  </r>
  <r>
    <x v="0"/>
  </r>
  <r>
    <x v="1"/>
  </r>
  <r>
    <x v="0"/>
  </r>
  <r>
    <x v="1"/>
  </r>
  <r>
    <x v="1"/>
  </r>
  <r>
    <x v="1"/>
  </r>
  <r>
    <x v="1"/>
  </r>
  <r>
    <x v="1"/>
  </r>
  <r>
    <x v="0"/>
  </r>
  <r>
    <x v="0"/>
  </r>
  <r>
    <x v="0"/>
  </r>
  <r>
    <x v="0"/>
  </r>
  <r>
    <x v="1"/>
  </r>
  <r>
    <x v="1"/>
  </r>
  <r>
    <x v="1"/>
  </r>
  <r>
    <x v="0"/>
  </r>
  <r>
    <x v="1"/>
  </r>
  <r>
    <x v="1"/>
  </r>
  <r>
    <x v="1"/>
  </r>
  <r>
    <x v="1"/>
  </r>
  <r>
    <x v="1"/>
  </r>
  <r>
    <x v="2"/>
  </r>
  <r>
    <x v="1"/>
  </r>
  <r>
    <x v="0"/>
  </r>
  <r>
    <x v="1"/>
  </r>
  <r>
    <x v="1"/>
  </r>
  <r>
    <x v="1"/>
  </r>
  <r>
    <x v="1"/>
  </r>
  <r>
    <x v="1"/>
  </r>
  <r>
    <x v="1"/>
  </r>
  <r>
    <x v="1"/>
  </r>
  <r>
    <x v="0"/>
  </r>
  <r>
    <x v="1"/>
  </r>
  <r>
    <x v="1"/>
  </r>
  <r>
    <x v="0"/>
  </r>
  <r>
    <x v="1"/>
  </r>
  <r>
    <x v="1"/>
  </r>
  <r>
    <x v="0"/>
  </r>
  <r>
    <x v="0"/>
  </r>
  <r>
    <x v="0"/>
  </r>
  <r>
    <x v="1"/>
  </r>
  <r>
    <x v="0"/>
  </r>
  <r>
    <x v="1"/>
  </r>
  <r>
    <x v="1"/>
  </r>
  <r>
    <x v="1"/>
  </r>
  <r>
    <x v="1"/>
  </r>
  <r>
    <x v="1"/>
  </r>
  <r>
    <x v="0"/>
  </r>
  <r>
    <x v="1"/>
  </r>
  <r>
    <x v="1"/>
  </r>
  <r>
    <x v="1"/>
  </r>
  <r>
    <x v="1"/>
  </r>
  <r>
    <x v="1"/>
  </r>
  <r>
    <x v="1"/>
  </r>
  <r>
    <x v="1"/>
  </r>
  <r>
    <x v="1"/>
  </r>
  <r>
    <x v="1"/>
  </r>
  <r>
    <x v="1"/>
  </r>
  <r>
    <x v="0"/>
  </r>
  <r>
    <x v="1"/>
  </r>
  <r>
    <x v="1"/>
  </r>
  <r>
    <x v="0"/>
  </r>
  <r>
    <x v="1"/>
  </r>
  <r>
    <x v="0"/>
  </r>
  <r>
    <x v="1"/>
  </r>
  <r>
    <x v="0"/>
  </r>
  <r>
    <x v="1"/>
  </r>
  <r>
    <x v="1"/>
  </r>
  <r>
    <x v="1"/>
  </r>
  <r>
    <x v="0"/>
  </r>
  <r>
    <x v="1"/>
  </r>
  <r>
    <x v="1"/>
  </r>
  <r>
    <x v="1"/>
  </r>
  <r>
    <x v="1"/>
  </r>
  <r>
    <x v="1"/>
  </r>
  <r>
    <x v="1"/>
  </r>
  <r>
    <x v="1"/>
  </r>
  <r>
    <x v="1"/>
  </r>
  <r>
    <x v="1"/>
  </r>
  <r>
    <x v="1"/>
  </r>
  <r>
    <x v="1"/>
  </r>
  <r>
    <x v="1"/>
  </r>
  <r>
    <x v="1"/>
  </r>
  <r>
    <x v="1"/>
  </r>
  <r>
    <x v="1"/>
  </r>
  <r>
    <x v="1"/>
  </r>
  <r>
    <x v="1"/>
  </r>
  <r>
    <x v="1"/>
  </r>
  <r>
    <x v="1"/>
  </r>
  <r>
    <x v="1"/>
  </r>
  <r>
    <x v="2"/>
  </r>
  <r>
    <x v="1"/>
  </r>
  <r>
    <x v="0"/>
  </r>
  <r>
    <x v="0"/>
  </r>
  <r>
    <x v="1"/>
  </r>
  <r>
    <x v="1"/>
  </r>
  <r>
    <x v="1"/>
  </r>
  <r>
    <x v="0"/>
  </r>
  <r>
    <x v="1"/>
  </r>
  <r>
    <x v="1"/>
  </r>
  <r>
    <x v="1"/>
  </r>
  <r>
    <x v="1"/>
  </r>
  <r>
    <x v="1"/>
  </r>
  <r>
    <x v="1"/>
  </r>
  <r>
    <x v="1"/>
  </r>
  <r>
    <x v="1"/>
  </r>
  <r>
    <x v="1"/>
  </r>
  <r>
    <x v="1"/>
  </r>
  <r>
    <x v="2"/>
  </r>
  <r>
    <x v="1"/>
  </r>
  <r>
    <x v="1"/>
  </r>
  <r>
    <x v="1"/>
  </r>
  <r>
    <x v="0"/>
  </r>
  <r>
    <x v="0"/>
  </r>
  <r>
    <x v="0"/>
  </r>
  <r>
    <x v="1"/>
  </r>
  <r>
    <x v="1"/>
  </r>
  <r>
    <x v="2"/>
  </r>
  <r>
    <x v="1"/>
  </r>
  <r>
    <x v="0"/>
  </r>
  <r>
    <x v="0"/>
  </r>
  <r>
    <x v="1"/>
  </r>
  <r>
    <x v="1"/>
  </r>
  <r>
    <x v="1"/>
  </r>
  <r>
    <x v="1"/>
  </r>
  <r>
    <x v="0"/>
  </r>
  <r>
    <x v="0"/>
  </r>
  <r>
    <x v="0"/>
  </r>
  <r>
    <x v="1"/>
  </r>
  <r>
    <x v="1"/>
  </r>
  <r>
    <x v="0"/>
  </r>
  <r>
    <x v="1"/>
  </r>
  <r>
    <x v="1"/>
  </r>
  <r>
    <x v="2"/>
  </r>
  <r>
    <x v="0"/>
  </r>
  <r>
    <x v="2"/>
  </r>
  <r>
    <x v="1"/>
  </r>
  <r>
    <x v="0"/>
  </r>
  <r>
    <x v="0"/>
  </r>
  <r>
    <x v="1"/>
  </r>
  <r>
    <x v="1"/>
  </r>
  <r>
    <x v="1"/>
  </r>
  <r>
    <x v="1"/>
  </r>
  <r>
    <x v="1"/>
  </r>
  <r>
    <x v="0"/>
  </r>
  <r>
    <x v="0"/>
  </r>
  <r>
    <x v="2"/>
  </r>
  <r>
    <x v="1"/>
  </r>
  <r>
    <x v="1"/>
  </r>
  <r>
    <x v="0"/>
  </r>
  <r>
    <x v="1"/>
  </r>
  <r>
    <x v="1"/>
  </r>
  <r>
    <x v="1"/>
  </r>
  <r>
    <x v="1"/>
  </r>
  <r>
    <x v="0"/>
  </r>
  <r>
    <x v="1"/>
  </r>
  <r>
    <x v="1"/>
  </r>
  <r>
    <x v="1"/>
  </r>
  <r>
    <x v="1"/>
  </r>
  <r>
    <x v="1"/>
  </r>
  <r>
    <x v="1"/>
  </r>
  <r>
    <x v="0"/>
  </r>
  <r>
    <x v="0"/>
  </r>
  <r>
    <x v="1"/>
  </r>
  <r>
    <x v="1"/>
  </r>
  <r>
    <x v="0"/>
  </r>
  <r>
    <x v="0"/>
  </r>
  <r>
    <x v="0"/>
  </r>
  <r>
    <x v="1"/>
  </r>
  <r>
    <x v="1"/>
  </r>
  <r>
    <x v="1"/>
  </r>
  <r>
    <x v="1"/>
  </r>
  <r>
    <x v="1"/>
  </r>
  <r>
    <x v="1"/>
  </r>
  <r>
    <x v="0"/>
  </r>
  <r>
    <x v="1"/>
  </r>
  <r>
    <x v="1"/>
  </r>
  <r>
    <x v="0"/>
  </r>
  <r>
    <x v="1"/>
  </r>
  <r>
    <x v="1"/>
  </r>
  <r>
    <x v="1"/>
  </r>
  <r>
    <x v="1"/>
  </r>
  <r>
    <x v="0"/>
  </r>
  <r>
    <x v="0"/>
  </r>
  <r>
    <x v="1"/>
  </r>
  <r>
    <x v="0"/>
  </r>
  <r>
    <x v="1"/>
  </r>
  <r>
    <x v="1"/>
  </r>
  <r>
    <x v="0"/>
  </r>
  <r>
    <x v="1"/>
  </r>
  <r>
    <x v="1"/>
  </r>
  <r>
    <x v="1"/>
  </r>
  <r>
    <x v="1"/>
  </r>
  <r>
    <x v="1"/>
  </r>
  <r>
    <x v="0"/>
  </r>
  <r>
    <x v="0"/>
  </r>
  <r>
    <x v="0"/>
  </r>
  <r>
    <x v="1"/>
  </r>
  <r>
    <x v="1"/>
  </r>
  <r>
    <x v="1"/>
  </r>
  <r>
    <x v="1"/>
  </r>
  <r>
    <x v="1"/>
  </r>
  <r>
    <x v="1"/>
  </r>
  <r>
    <x v="1"/>
  </r>
  <r>
    <x v="0"/>
  </r>
  <r>
    <x v="0"/>
  </r>
  <r>
    <x v="1"/>
  </r>
  <r>
    <x v="1"/>
  </r>
  <r>
    <x v="1"/>
  </r>
  <r>
    <x v="1"/>
  </r>
  <r>
    <x v="1"/>
  </r>
  <r>
    <x v="1"/>
  </r>
  <r>
    <x v="1"/>
  </r>
  <r>
    <x v="0"/>
  </r>
  <r>
    <x v="1"/>
  </r>
  <r>
    <x v="1"/>
  </r>
  <r>
    <x v="1"/>
  </r>
  <r>
    <x v="1"/>
  </r>
  <r>
    <x v="1"/>
  </r>
  <r>
    <x v="1"/>
  </r>
  <r>
    <x v="1"/>
  </r>
  <r>
    <x v="1"/>
  </r>
  <r>
    <x v="1"/>
  </r>
  <r>
    <x v="1"/>
  </r>
  <r>
    <x v="1"/>
  </r>
  <r>
    <x v="0"/>
  </r>
  <r>
    <x v="1"/>
  </r>
  <r>
    <x v="0"/>
  </r>
  <r>
    <x v="1"/>
  </r>
  <r>
    <x v="1"/>
  </r>
  <r>
    <x v="1"/>
  </r>
  <r>
    <x v="0"/>
  </r>
  <r>
    <x v="1"/>
  </r>
  <r>
    <x v="1"/>
  </r>
  <r>
    <x v="1"/>
  </r>
  <r>
    <x v="1"/>
  </r>
  <r>
    <x v="1"/>
  </r>
  <r>
    <x v="1"/>
  </r>
  <r>
    <x v="0"/>
  </r>
  <r>
    <x v="1"/>
  </r>
  <r>
    <x v="1"/>
  </r>
  <r>
    <x v="1"/>
  </r>
  <r>
    <x v="1"/>
  </r>
  <r>
    <x v="1"/>
  </r>
  <r>
    <x v="0"/>
  </r>
  <r>
    <x v="1"/>
  </r>
  <r>
    <x v="1"/>
  </r>
  <r>
    <x v="0"/>
  </r>
  <r>
    <x v="1"/>
  </r>
  <r>
    <x v="1"/>
  </r>
  <r>
    <x v="1"/>
  </r>
  <r>
    <x v="1"/>
  </r>
  <r>
    <x v="1"/>
  </r>
  <r>
    <x v="1"/>
  </r>
  <r>
    <x v="0"/>
  </r>
  <r>
    <x v="1"/>
  </r>
  <r>
    <x v="1"/>
  </r>
  <r>
    <x v="1"/>
  </r>
  <r>
    <x v="1"/>
  </r>
  <r>
    <x v="1"/>
  </r>
  <r>
    <x v="1"/>
  </r>
  <r>
    <x v="1"/>
  </r>
  <r>
    <x v="0"/>
  </r>
  <r>
    <x v="1"/>
  </r>
  <r>
    <x v="1"/>
  </r>
  <r>
    <x v="1"/>
  </r>
  <r>
    <x v="1"/>
  </r>
  <r>
    <x v="1"/>
  </r>
  <r>
    <x v="1"/>
  </r>
  <r>
    <x v="1"/>
  </r>
  <r>
    <x v="1"/>
  </r>
  <r>
    <x v="0"/>
  </r>
  <r>
    <x v="1"/>
  </r>
  <r>
    <x v="1"/>
  </r>
  <r>
    <x v="2"/>
  </r>
  <r>
    <x v="1"/>
  </r>
  <r>
    <x v="0"/>
  </r>
  <r>
    <x v="0"/>
  </r>
  <r>
    <x v="1"/>
  </r>
  <r>
    <x v="1"/>
  </r>
  <r>
    <x v="0"/>
  </r>
  <r>
    <x v="1"/>
  </r>
  <r>
    <x v="0"/>
  </r>
  <r>
    <x v="1"/>
  </r>
  <r>
    <x v="2"/>
  </r>
  <r>
    <x v="1"/>
  </r>
  <r>
    <x v="1"/>
  </r>
  <r>
    <x v="1"/>
  </r>
  <r>
    <x v="1"/>
  </r>
  <r>
    <x v="1"/>
  </r>
  <r>
    <x v="1"/>
  </r>
  <r>
    <x v="1"/>
  </r>
  <r>
    <x v="1"/>
  </r>
  <r>
    <x v="1"/>
  </r>
  <r>
    <x v="1"/>
  </r>
  <r>
    <x v="1"/>
  </r>
  <r>
    <x v="1"/>
  </r>
  <r>
    <x v="1"/>
  </r>
  <r>
    <x v="2"/>
  </r>
  <r>
    <x v="0"/>
  </r>
  <r>
    <x v="1"/>
  </r>
  <r>
    <x v="0"/>
  </r>
  <r>
    <x v="1"/>
  </r>
  <r>
    <x v="1"/>
  </r>
  <r>
    <x v="1"/>
  </r>
  <r>
    <x v="1"/>
  </r>
  <r>
    <x v="1"/>
  </r>
  <r>
    <x v="1"/>
  </r>
  <r>
    <x v="1"/>
  </r>
  <r>
    <x v="0"/>
  </r>
  <r>
    <x v="1"/>
  </r>
  <r>
    <x v="0"/>
  </r>
  <r>
    <x v="0"/>
  </r>
  <r>
    <x v="1"/>
  </r>
  <r>
    <x v="1"/>
  </r>
  <r>
    <x v="0"/>
  </r>
  <r>
    <x v="0"/>
  </r>
  <r>
    <x v="1"/>
  </r>
  <r>
    <x v="1"/>
  </r>
  <r>
    <x v="1"/>
  </r>
  <r>
    <x v="1"/>
  </r>
  <r>
    <x v="1"/>
  </r>
  <r>
    <x v="1"/>
  </r>
  <r>
    <x v="1"/>
  </r>
  <r>
    <x v="1"/>
  </r>
  <r>
    <x v="1"/>
  </r>
  <r>
    <x v="1"/>
  </r>
  <r>
    <x v="0"/>
  </r>
  <r>
    <x v="1"/>
  </r>
  <r>
    <x v="1"/>
  </r>
  <r>
    <x v="0"/>
  </r>
  <r>
    <x v="1"/>
  </r>
  <r>
    <x v="1"/>
  </r>
  <r>
    <x v="1"/>
  </r>
  <r>
    <x v="0"/>
  </r>
  <r>
    <x v="0"/>
  </r>
  <r>
    <x v="0"/>
  </r>
  <r>
    <x v="0"/>
  </r>
  <r>
    <x v="0"/>
  </r>
  <r>
    <x v="0"/>
  </r>
  <r>
    <x v="1"/>
  </r>
  <r>
    <x v="0"/>
  </r>
  <r>
    <x v="0"/>
  </r>
  <r>
    <x v="1"/>
  </r>
  <r>
    <x v="1"/>
  </r>
  <r>
    <x v="0"/>
  </r>
  <r>
    <x v="1"/>
  </r>
  <r>
    <x v="0"/>
  </r>
  <r>
    <x v="0"/>
  </r>
  <r>
    <x v="1"/>
  </r>
  <r>
    <x v="1"/>
  </r>
  <r>
    <x v="1"/>
  </r>
  <r>
    <x v="1"/>
  </r>
  <r>
    <x v="0"/>
  </r>
  <r>
    <x v="1"/>
  </r>
  <r>
    <x v="1"/>
  </r>
  <r>
    <x v="2"/>
  </r>
  <r>
    <x v="1"/>
  </r>
  <r>
    <x v="1"/>
  </r>
  <r>
    <x v="1"/>
  </r>
  <r>
    <x v="1"/>
  </r>
  <r>
    <x v="0"/>
  </r>
  <r>
    <x v="1"/>
  </r>
  <r>
    <x v="1"/>
  </r>
  <r>
    <x v="1"/>
  </r>
  <r>
    <x v="1"/>
  </r>
  <r>
    <x v="1"/>
  </r>
  <r>
    <x v="0"/>
  </r>
  <r>
    <x v="1"/>
  </r>
  <r>
    <x v="1"/>
  </r>
  <r>
    <x v="2"/>
  </r>
  <r>
    <x v="1"/>
  </r>
  <r>
    <x v="1"/>
  </r>
  <r>
    <x v="0"/>
  </r>
  <r>
    <x v="0"/>
  </r>
  <r>
    <x v="1"/>
  </r>
  <r>
    <x v="1"/>
  </r>
  <r>
    <x v="1"/>
  </r>
  <r>
    <x v="1"/>
  </r>
  <r>
    <x v="1"/>
  </r>
  <r>
    <x v="1"/>
  </r>
  <r>
    <x v="0"/>
  </r>
  <r>
    <x v="0"/>
  </r>
  <r>
    <x v="1"/>
  </r>
  <r>
    <x v="0"/>
  </r>
  <r>
    <x v="1"/>
  </r>
  <r>
    <x v="1"/>
  </r>
  <r>
    <x v="0"/>
  </r>
  <r>
    <x v="1"/>
  </r>
  <r>
    <x v="0"/>
  </r>
  <r>
    <x v="1"/>
  </r>
  <r>
    <x v="1"/>
  </r>
  <r>
    <x v="0"/>
  </r>
  <r>
    <x v="2"/>
  </r>
  <r>
    <x v="1"/>
  </r>
  <r>
    <x v="0"/>
  </r>
  <r>
    <x v="0"/>
  </r>
  <r>
    <x v="1"/>
  </r>
  <r>
    <x v="0"/>
  </r>
  <r>
    <x v="1"/>
  </r>
  <r>
    <x v="1"/>
  </r>
  <r>
    <x v="1"/>
  </r>
  <r>
    <x v="1"/>
  </r>
  <r>
    <x v="1"/>
  </r>
  <r>
    <x v="1"/>
  </r>
  <r>
    <x v="1"/>
  </r>
  <r>
    <x v="0"/>
  </r>
  <r>
    <x v="1"/>
  </r>
  <r>
    <x v="1"/>
  </r>
  <r>
    <x v="0"/>
  </r>
  <r>
    <x v="1"/>
  </r>
  <r>
    <x v="0"/>
  </r>
  <r>
    <x v="0"/>
  </r>
  <r>
    <x v="1"/>
  </r>
  <r>
    <x v="1"/>
  </r>
  <r>
    <x v="1"/>
  </r>
  <r>
    <x v="1"/>
  </r>
  <r>
    <x v="0"/>
  </r>
  <r>
    <x v="2"/>
  </r>
  <r>
    <x v="1"/>
  </r>
  <r>
    <x v="1"/>
  </r>
  <r>
    <x v="1"/>
  </r>
  <r>
    <x v="1"/>
  </r>
  <r>
    <x v="1"/>
  </r>
  <r>
    <x v="1"/>
  </r>
  <r>
    <x v="1"/>
  </r>
  <r>
    <x v="0"/>
  </r>
  <r>
    <x v="1"/>
  </r>
  <r>
    <x v="0"/>
  </r>
  <r>
    <x v="1"/>
  </r>
  <r>
    <x v="1"/>
  </r>
  <r>
    <x v="0"/>
  </r>
  <r>
    <x v="1"/>
  </r>
  <r>
    <x v="1"/>
  </r>
  <r>
    <x v="0"/>
  </r>
  <r>
    <x v="1"/>
  </r>
  <r>
    <x v="1"/>
  </r>
  <r>
    <x v="2"/>
  </r>
</pivotCacheRecords>
</file>

<file path=xl/pivotCache/pivotCacheRecords7.xml><?xml version="1.0" encoding="utf-8"?>
<pivotCacheRecords xmlns="http://schemas.openxmlformats.org/spreadsheetml/2006/main" xmlns:r="http://schemas.openxmlformats.org/officeDocument/2006/relationships" count="822">
  <r>
    <x v="0"/>
  </r>
  <r>
    <x v="0"/>
  </r>
  <r>
    <x v="1"/>
  </r>
  <r>
    <x v="2"/>
  </r>
  <r>
    <x v="1"/>
  </r>
  <r>
    <x v="3"/>
  </r>
  <r>
    <x v="0"/>
  </r>
  <r>
    <x v="1"/>
  </r>
  <r>
    <x v="4"/>
  </r>
  <r>
    <x v="5"/>
  </r>
  <r>
    <x v="6"/>
  </r>
  <r>
    <x v="4"/>
  </r>
  <r>
    <x v="2"/>
  </r>
  <r>
    <x v="1"/>
  </r>
  <r>
    <x v="4"/>
  </r>
  <r>
    <x v="1"/>
  </r>
  <r>
    <x v="1"/>
  </r>
  <r>
    <x v="0"/>
  </r>
  <r>
    <x v="1"/>
  </r>
  <r>
    <x v="1"/>
  </r>
  <r>
    <x v="0"/>
  </r>
  <r>
    <x v="7"/>
  </r>
  <r>
    <x v="5"/>
  </r>
  <r>
    <x v="1"/>
  </r>
  <r>
    <x v="1"/>
  </r>
  <r>
    <x v="3"/>
  </r>
  <r>
    <x v="0"/>
  </r>
  <r>
    <x v="8"/>
  </r>
  <r>
    <x v="0"/>
  </r>
  <r>
    <x v="0"/>
  </r>
  <r>
    <x v="0"/>
  </r>
  <r>
    <x v="7"/>
  </r>
  <r>
    <x v="0"/>
  </r>
  <r>
    <x v="2"/>
  </r>
  <r>
    <x v="1"/>
  </r>
  <r>
    <x v="7"/>
  </r>
  <r>
    <x v="1"/>
  </r>
  <r>
    <x v="8"/>
  </r>
  <r>
    <x v="7"/>
  </r>
  <r>
    <x v="8"/>
  </r>
  <r>
    <x v="0"/>
  </r>
  <r>
    <x v="7"/>
  </r>
  <r>
    <x v="3"/>
  </r>
  <r>
    <x v="7"/>
  </r>
  <r>
    <x v="7"/>
  </r>
  <r>
    <x v="5"/>
  </r>
  <r>
    <x v="0"/>
  </r>
  <r>
    <x v="0"/>
  </r>
  <r>
    <x v="8"/>
  </r>
  <r>
    <x v="1"/>
  </r>
  <r>
    <x v="8"/>
  </r>
  <r>
    <x v="1"/>
  </r>
  <r>
    <x v="1"/>
  </r>
  <r>
    <x v="0"/>
  </r>
  <r>
    <x v="0"/>
  </r>
  <r>
    <x v="9"/>
  </r>
  <r>
    <x v="1"/>
  </r>
  <r>
    <x v="5"/>
  </r>
  <r>
    <x v="7"/>
  </r>
  <r>
    <x v="1"/>
  </r>
  <r>
    <x v="5"/>
  </r>
  <r>
    <x v="4"/>
  </r>
  <r>
    <x v="1"/>
  </r>
  <r>
    <x v="0"/>
  </r>
  <r>
    <x v="1"/>
  </r>
  <r>
    <x v="1"/>
  </r>
  <r>
    <x v="1"/>
  </r>
  <r>
    <x v="9"/>
  </r>
  <r>
    <x v="1"/>
  </r>
  <r>
    <x v="2"/>
  </r>
  <r>
    <x v="0"/>
  </r>
  <r>
    <x v="2"/>
  </r>
  <r>
    <x v="0"/>
  </r>
  <r>
    <x v="9"/>
  </r>
  <r>
    <x v="0"/>
  </r>
  <r>
    <x v="9"/>
  </r>
  <r>
    <x v="0"/>
  </r>
  <r>
    <x v="7"/>
  </r>
  <r>
    <x v="8"/>
  </r>
  <r>
    <x v="9"/>
  </r>
  <r>
    <x v="6"/>
  </r>
  <r>
    <x v="8"/>
  </r>
  <r>
    <x v="7"/>
  </r>
  <r>
    <x v="3"/>
  </r>
  <r>
    <x v="0"/>
  </r>
  <r>
    <x v="0"/>
  </r>
  <r>
    <x v="0"/>
  </r>
  <r>
    <x v="9"/>
  </r>
  <r>
    <x v="5"/>
  </r>
  <r>
    <x v="0"/>
  </r>
  <r>
    <x v="3"/>
  </r>
  <r>
    <x v="0"/>
  </r>
  <r>
    <x v="0"/>
  </r>
  <r>
    <x v="3"/>
  </r>
  <r>
    <x v="7"/>
  </r>
  <r>
    <x v="7"/>
  </r>
  <r>
    <x v="0"/>
  </r>
  <r>
    <x v="0"/>
  </r>
  <r>
    <x v="1"/>
  </r>
  <r>
    <x v="4"/>
  </r>
  <r>
    <x v="2"/>
  </r>
  <r>
    <x v="7"/>
  </r>
  <r>
    <x v="7"/>
  </r>
  <r>
    <x v="7"/>
  </r>
  <r>
    <x v="1"/>
  </r>
  <r>
    <x v="0"/>
  </r>
  <r>
    <x v="5"/>
  </r>
  <r>
    <x v="0"/>
  </r>
  <r>
    <x v="4"/>
  </r>
  <r>
    <x v="1"/>
  </r>
  <r>
    <x v="1"/>
  </r>
  <r>
    <x v="9"/>
  </r>
  <r>
    <x v="0"/>
  </r>
  <r>
    <x v="0"/>
  </r>
  <r>
    <x v="3"/>
  </r>
  <r>
    <x v="0"/>
  </r>
  <r>
    <x v="0"/>
  </r>
  <r>
    <x v="0"/>
  </r>
  <r>
    <x v="5"/>
  </r>
  <r>
    <x v="4"/>
  </r>
  <r>
    <x v="9"/>
  </r>
  <r>
    <x v="4"/>
  </r>
  <r>
    <x v="1"/>
  </r>
  <r>
    <x v="10"/>
  </r>
  <r>
    <x v="2"/>
  </r>
  <r>
    <x v="1"/>
  </r>
  <r>
    <x v="7"/>
  </r>
  <r>
    <x v="7"/>
  </r>
  <r>
    <x v="0"/>
  </r>
  <r>
    <x v="0"/>
  </r>
  <r>
    <x v="7"/>
  </r>
  <r>
    <x v="1"/>
  </r>
  <r>
    <x v="3"/>
  </r>
  <r>
    <x v="1"/>
  </r>
  <r>
    <x v="5"/>
  </r>
  <r>
    <x v="0"/>
  </r>
  <r>
    <x v="0"/>
  </r>
  <r>
    <x v="0"/>
  </r>
  <r>
    <x v="3"/>
  </r>
  <r>
    <x v="0"/>
  </r>
  <r>
    <x v="7"/>
  </r>
  <r>
    <x v="0"/>
  </r>
  <r>
    <x v="1"/>
  </r>
  <r>
    <x v="1"/>
  </r>
  <r>
    <x v="0"/>
  </r>
  <r>
    <x v="1"/>
  </r>
  <r>
    <x v="1"/>
  </r>
  <r>
    <x v="9"/>
  </r>
  <r>
    <x v="1"/>
  </r>
  <r>
    <x v="9"/>
  </r>
  <r>
    <x v="6"/>
  </r>
  <r>
    <x v="1"/>
  </r>
  <r>
    <x v="2"/>
  </r>
  <r>
    <x v="2"/>
  </r>
  <r>
    <x v="6"/>
  </r>
  <r>
    <x v="8"/>
  </r>
  <r>
    <x v="9"/>
  </r>
  <r>
    <x v="8"/>
  </r>
  <r>
    <x v="8"/>
  </r>
  <r>
    <x v="1"/>
  </r>
  <r>
    <x v="3"/>
  </r>
  <r>
    <x v="0"/>
  </r>
  <r>
    <x v="2"/>
  </r>
  <r>
    <x v="6"/>
  </r>
  <r>
    <x v="3"/>
  </r>
  <r>
    <x v="9"/>
  </r>
  <r>
    <x v="5"/>
  </r>
  <r>
    <x v="2"/>
  </r>
  <r>
    <x v="6"/>
  </r>
  <r>
    <x v="0"/>
  </r>
  <r>
    <x v="5"/>
  </r>
  <r>
    <x v="5"/>
  </r>
  <r>
    <x v="10"/>
  </r>
  <r>
    <x v="0"/>
  </r>
  <r>
    <x v="4"/>
  </r>
  <r>
    <x v="9"/>
  </r>
  <r>
    <x v="9"/>
  </r>
  <r>
    <x v="9"/>
  </r>
  <r>
    <x v="3"/>
  </r>
  <r>
    <x v="2"/>
  </r>
  <r>
    <x v="9"/>
  </r>
  <r>
    <x v="4"/>
  </r>
  <r>
    <x v="7"/>
  </r>
  <r>
    <x v="1"/>
  </r>
  <r>
    <x v="3"/>
  </r>
  <r>
    <x v="4"/>
  </r>
  <r>
    <x v="6"/>
  </r>
  <r>
    <x v="9"/>
  </r>
  <r>
    <x v="9"/>
  </r>
  <r>
    <x v="3"/>
  </r>
  <r>
    <x v="0"/>
  </r>
  <r>
    <x v="0"/>
  </r>
  <r>
    <x v="5"/>
  </r>
  <r>
    <x v="4"/>
  </r>
  <r>
    <x v="1"/>
  </r>
  <r>
    <x v="5"/>
  </r>
  <r>
    <x v="5"/>
  </r>
  <r>
    <x v="4"/>
  </r>
  <r>
    <x v="5"/>
  </r>
  <r>
    <x v="1"/>
  </r>
  <r>
    <x v="7"/>
  </r>
  <r>
    <x v="0"/>
  </r>
  <r>
    <x v="5"/>
  </r>
  <r>
    <x v="1"/>
  </r>
  <r>
    <x v="8"/>
  </r>
  <r>
    <x v="2"/>
  </r>
  <r>
    <x v="7"/>
  </r>
  <r>
    <x v="0"/>
  </r>
  <r>
    <x v="1"/>
  </r>
  <r>
    <x v="5"/>
  </r>
  <r>
    <x v="7"/>
  </r>
  <r>
    <x v="1"/>
  </r>
  <r>
    <x v="1"/>
  </r>
  <r>
    <x v="0"/>
  </r>
  <r>
    <x v="10"/>
  </r>
  <r>
    <x v="7"/>
  </r>
  <r>
    <x v="7"/>
  </r>
  <r>
    <x v="0"/>
  </r>
  <r>
    <x v="7"/>
  </r>
  <r>
    <x v="1"/>
  </r>
  <r>
    <x v="0"/>
  </r>
  <r>
    <x v="7"/>
  </r>
  <r>
    <x v="2"/>
  </r>
  <r>
    <x v="7"/>
  </r>
  <r>
    <x v="2"/>
  </r>
  <r>
    <x v="0"/>
  </r>
  <r>
    <x v="9"/>
  </r>
  <r>
    <x v="5"/>
  </r>
  <r>
    <x v="0"/>
  </r>
  <r>
    <x v="0"/>
  </r>
  <r>
    <x v="1"/>
  </r>
  <r>
    <x v="0"/>
  </r>
  <r>
    <x v="2"/>
  </r>
  <r>
    <x v="5"/>
  </r>
  <r>
    <x v="1"/>
  </r>
  <r>
    <x v="8"/>
  </r>
  <r>
    <x v="7"/>
  </r>
  <r>
    <x v="1"/>
  </r>
  <r>
    <x v="7"/>
  </r>
  <r>
    <x v="1"/>
  </r>
  <r>
    <x v="1"/>
  </r>
  <r>
    <x v="0"/>
  </r>
  <r>
    <x v="7"/>
  </r>
  <r>
    <x v="1"/>
  </r>
  <r>
    <x v="1"/>
  </r>
  <r>
    <x v="1"/>
  </r>
  <r>
    <x v="7"/>
  </r>
  <r>
    <x v="9"/>
  </r>
  <r>
    <x v="4"/>
  </r>
  <r>
    <x v="5"/>
  </r>
  <r>
    <x v="9"/>
  </r>
  <r>
    <x v="1"/>
  </r>
  <r>
    <x v="1"/>
  </r>
  <r>
    <x v="7"/>
  </r>
  <r>
    <x v="4"/>
  </r>
  <r>
    <x v="5"/>
  </r>
  <r>
    <x v="5"/>
  </r>
  <r>
    <x v="8"/>
  </r>
  <r>
    <x v="9"/>
  </r>
  <r>
    <x v="3"/>
  </r>
  <r>
    <x v="1"/>
  </r>
  <r>
    <x v="0"/>
  </r>
  <r>
    <x v="2"/>
  </r>
  <r>
    <x v="8"/>
  </r>
  <r>
    <x v="11"/>
  </r>
  <r>
    <x v="1"/>
  </r>
  <r>
    <x v="0"/>
  </r>
  <r>
    <x v="2"/>
  </r>
  <r>
    <x v="4"/>
  </r>
  <r>
    <x v="9"/>
  </r>
  <r>
    <x v="1"/>
  </r>
  <r>
    <x v="6"/>
  </r>
  <r>
    <x v="1"/>
  </r>
  <r>
    <x v="0"/>
  </r>
  <r>
    <x v="2"/>
  </r>
  <r>
    <x v="7"/>
  </r>
  <r>
    <x v="1"/>
  </r>
  <r>
    <x v="0"/>
  </r>
  <r>
    <x v="4"/>
  </r>
  <r>
    <x v="1"/>
  </r>
  <r>
    <x v="7"/>
  </r>
  <r>
    <x v="7"/>
  </r>
  <r>
    <x v="9"/>
  </r>
  <r>
    <x v="9"/>
  </r>
  <r>
    <x v="4"/>
  </r>
  <r>
    <x v="10"/>
  </r>
  <r>
    <x v="2"/>
  </r>
  <r>
    <x v="1"/>
  </r>
  <r>
    <x v="9"/>
  </r>
  <r>
    <x v="1"/>
  </r>
  <r>
    <x v="1"/>
  </r>
  <r>
    <x v="0"/>
  </r>
  <r>
    <x v="0"/>
  </r>
  <r>
    <x v="1"/>
  </r>
  <r>
    <x v="0"/>
  </r>
  <r>
    <x v="7"/>
  </r>
  <r>
    <x v="3"/>
  </r>
  <r>
    <x v="1"/>
  </r>
  <r>
    <x v="8"/>
  </r>
  <r>
    <x v="0"/>
  </r>
  <r>
    <x v="7"/>
  </r>
  <r>
    <x v="5"/>
  </r>
  <r>
    <x v="0"/>
  </r>
  <r>
    <x v="7"/>
  </r>
  <r>
    <x v="5"/>
  </r>
  <r>
    <x v="3"/>
  </r>
  <r>
    <x v="8"/>
  </r>
  <r>
    <x v="1"/>
  </r>
  <r>
    <x v="7"/>
  </r>
  <r>
    <x v="7"/>
  </r>
  <r>
    <x v="1"/>
  </r>
  <r>
    <x v="2"/>
  </r>
  <r>
    <x v="2"/>
  </r>
  <r>
    <x v="1"/>
  </r>
  <r>
    <x v="2"/>
  </r>
  <r>
    <x v="1"/>
  </r>
  <r>
    <x v="1"/>
  </r>
  <r>
    <x v="3"/>
  </r>
  <r>
    <x v="5"/>
  </r>
  <r>
    <x v="1"/>
  </r>
  <r>
    <x v="9"/>
  </r>
  <r>
    <x v="1"/>
  </r>
  <r>
    <x v="9"/>
  </r>
  <r>
    <x v="1"/>
  </r>
  <r>
    <x v="8"/>
  </r>
  <r>
    <x v="5"/>
  </r>
  <r>
    <x v="2"/>
  </r>
  <r>
    <x v="1"/>
  </r>
  <r>
    <x v="0"/>
  </r>
  <r>
    <x v="10"/>
  </r>
  <r>
    <x v="1"/>
  </r>
  <r>
    <x v="1"/>
  </r>
  <r>
    <x v="8"/>
  </r>
  <r>
    <x v="7"/>
  </r>
  <r>
    <x v="7"/>
  </r>
  <r>
    <x v="8"/>
  </r>
  <r>
    <x v="10"/>
  </r>
  <r>
    <x v="7"/>
  </r>
  <r>
    <x v="1"/>
  </r>
  <r>
    <x v="0"/>
  </r>
  <r>
    <x v="9"/>
  </r>
  <r>
    <x v="1"/>
  </r>
  <r>
    <x v="0"/>
  </r>
  <r>
    <x v="3"/>
  </r>
  <r>
    <x v="1"/>
  </r>
  <r>
    <x v="3"/>
  </r>
  <r>
    <x v="0"/>
  </r>
  <r>
    <x v="2"/>
  </r>
  <r>
    <x v="0"/>
  </r>
  <r>
    <x v="7"/>
  </r>
  <r>
    <x v="0"/>
  </r>
  <r>
    <x v="1"/>
  </r>
  <r>
    <x v="0"/>
  </r>
  <r>
    <x v="0"/>
  </r>
  <r>
    <x v="9"/>
  </r>
  <r>
    <x v="0"/>
  </r>
  <r>
    <x v="4"/>
  </r>
  <r>
    <x v="0"/>
  </r>
  <r>
    <x v="0"/>
  </r>
  <r>
    <x v="1"/>
  </r>
  <r>
    <x v="5"/>
  </r>
  <r>
    <x v="0"/>
  </r>
  <r>
    <x v="0"/>
  </r>
  <r>
    <x v="6"/>
  </r>
  <r>
    <x v="5"/>
  </r>
  <r>
    <x v="9"/>
  </r>
  <r>
    <x v="8"/>
  </r>
  <r>
    <x v="8"/>
  </r>
  <r>
    <x v="7"/>
  </r>
  <r>
    <x v="0"/>
  </r>
  <r>
    <x v="9"/>
  </r>
  <r>
    <x v="2"/>
  </r>
  <r>
    <x v="0"/>
  </r>
  <r>
    <x v="1"/>
  </r>
  <r>
    <x v="3"/>
  </r>
  <r>
    <x v="5"/>
  </r>
  <r>
    <x v="5"/>
  </r>
  <r>
    <x v="5"/>
  </r>
  <r>
    <x v="7"/>
  </r>
  <r>
    <x v="9"/>
  </r>
  <r>
    <x v="7"/>
  </r>
  <r>
    <x v="9"/>
  </r>
  <r>
    <x v="0"/>
  </r>
  <r>
    <x v="0"/>
  </r>
  <r>
    <x v="2"/>
  </r>
  <r>
    <x v="1"/>
  </r>
  <r>
    <x v="7"/>
  </r>
  <r>
    <x v="7"/>
  </r>
  <r>
    <x v="5"/>
  </r>
  <r>
    <x v="5"/>
  </r>
  <r>
    <x v="5"/>
  </r>
  <r>
    <x v="4"/>
  </r>
  <r>
    <x v="0"/>
  </r>
  <r>
    <x v="5"/>
  </r>
  <r>
    <x v="0"/>
  </r>
  <r>
    <x v="0"/>
  </r>
  <r>
    <x v="7"/>
  </r>
  <r>
    <x v="1"/>
  </r>
  <r>
    <x v="3"/>
  </r>
  <r>
    <x v="0"/>
  </r>
  <r>
    <x v="0"/>
  </r>
  <r>
    <x v="0"/>
  </r>
  <r>
    <x v="0"/>
  </r>
  <r>
    <x v="5"/>
  </r>
  <r>
    <x v="7"/>
  </r>
  <r>
    <x v="10"/>
  </r>
  <r>
    <x v="0"/>
  </r>
  <r>
    <x v="1"/>
  </r>
  <r>
    <x v="9"/>
  </r>
  <r>
    <x v="2"/>
  </r>
  <r>
    <x v="9"/>
  </r>
  <r>
    <x v="1"/>
  </r>
  <r>
    <x v="3"/>
  </r>
  <r>
    <x v="1"/>
  </r>
  <r>
    <x v="3"/>
  </r>
  <r>
    <x v="9"/>
  </r>
  <r>
    <x v="1"/>
  </r>
  <r>
    <x v="3"/>
  </r>
  <r>
    <x v="0"/>
  </r>
  <r>
    <x v="3"/>
  </r>
  <r>
    <x v="1"/>
  </r>
  <r>
    <x v="1"/>
  </r>
  <r>
    <x v="1"/>
  </r>
  <r>
    <x v="4"/>
  </r>
  <r>
    <x v="7"/>
  </r>
  <r>
    <x v="9"/>
  </r>
  <r>
    <x v="5"/>
  </r>
  <r>
    <x v="1"/>
  </r>
  <r>
    <x v="1"/>
  </r>
  <r>
    <x v="1"/>
  </r>
  <r>
    <x v="3"/>
  </r>
  <r>
    <x v="1"/>
  </r>
  <r>
    <x v="9"/>
  </r>
  <r>
    <x v="5"/>
  </r>
  <r>
    <x v="9"/>
  </r>
  <r>
    <x v="7"/>
  </r>
  <r>
    <x v="5"/>
  </r>
  <r>
    <x v="4"/>
  </r>
  <r>
    <x v="8"/>
  </r>
  <r>
    <x v="0"/>
  </r>
  <r>
    <x v="1"/>
  </r>
  <r>
    <x v="4"/>
  </r>
  <r>
    <x v="0"/>
  </r>
  <r>
    <x v="0"/>
  </r>
  <r>
    <x v="1"/>
  </r>
  <r>
    <x v="1"/>
  </r>
  <r>
    <x v="1"/>
  </r>
  <r>
    <x v="4"/>
  </r>
  <r>
    <x v="1"/>
  </r>
  <r>
    <x v="2"/>
  </r>
  <r>
    <x v="1"/>
  </r>
  <r>
    <x v="8"/>
  </r>
  <r>
    <x v="3"/>
  </r>
  <r>
    <x v="1"/>
  </r>
  <r>
    <x v="0"/>
  </r>
  <r>
    <x v="9"/>
  </r>
  <r>
    <x v="8"/>
  </r>
  <r>
    <x v="0"/>
  </r>
  <r>
    <x v="0"/>
  </r>
  <r>
    <x v="2"/>
  </r>
  <r>
    <x v="7"/>
  </r>
  <r>
    <x v="7"/>
  </r>
  <r>
    <x v="7"/>
  </r>
  <r>
    <x v="3"/>
  </r>
  <r>
    <x v="2"/>
  </r>
  <r>
    <x v="0"/>
  </r>
  <r>
    <x v="3"/>
  </r>
  <r>
    <x v="1"/>
  </r>
  <r>
    <x v="1"/>
  </r>
  <r>
    <x v="8"/>
  </r>
  <r>
    <x v="5"/>
  </r>
  <r>
    <x v="0"/>
  </r>
  <r>
    <x v="1"/>
  </r>
  <r>
    <x v="7"/>
  </r>
  <r>
    <x v="1"/>
  </r>
  <r>
    <x v="1"/>
  </r>
  <r>
    <x v="7"/>
  </r>
  <r>
    <x v="5"/>
  </r>
  <r>
    <x v="7"/>
  </r>
  <r>
    <x v="9"/>
  </r>
  <r>
    <x v="1"/>
  </r>
  <r>
    <x v="3"/>
  </r>
  <r>
    <x v="0"/>
  </r>
  <r>
    <x v="1"/>
  </r>
  <r>
    <x v="1"/>
  </r>
  <r>
    <x v="5"/>
  </r>
  <r>
    <x v="3"/>
  </r>
  <r>
    <x v="1"/>
  </r>
  <r>
    <x v="1"/>
  </r>
  <r>
    <x v="5"/>
  </r>
  <r>
    <x v="1"/>
  </r>
  <r>
    <x v="1"/>
  </r>
  <r>
    <x v="1"/>
  </r>
  <r>
    <x v="0"/>
  </r>
  <r>
    <x v="0"/>
  </r>
  <r>
    <x v="5"/>
  </r>
  <r>
    <x v="7"/>
  </r>
  <r>
    <x v="2"/>
  </r>
  <r>
    <x v="7"/>
  </r>
  <r>
    <x v="9"/>
  </r>
  <r>
    <x v="4"/>
  </r>
  <r>
    <x v="1"/>
  </r>
  <r>
    <x v="0"/>
  </r>
  <r>
    <x v="1"/>
  </r>
  <r>
    <x v="2"/>
  </r>
  <r>
    <x v="5"/>
  </r>
  <r>
    <x v="8"/>
  </r>
  <r>
    <x v="5"/>
  </r>
  <r>
    <x v="0"/>
  </r>
  <r>
    <x v="7"/>
  </r>
  <r>
    <x v="2"/>
  </r>
  <r>
    <x v="1"/>
  </r>
  <r>
    <x v="0"/>
  </r>
  <r>
    <x v="6"/>
  </r>
  <r>
    <x v="1"/>
  </r>
  <r>
    <x v="0"/>
  </r>
  <r>
    <x v="1"/>
  </r>
  <r>
    <x v="4"/>
  </r>
  <r>
    <x v="0"/>
  </r>
  <r>
    <x v="0"/>
  </r>
  <r>
    <x v="7"/>
  </r>
  <r>
    <x v="0"/>
  </r>
  <r>
    <x v="1"/>
  </r>
  <r>
    <x v="0"/>
  </r>
  <r>
    <x v="1"/>
  </r>
  <r>
    <x v="1"/>
  </r>
  <r>
    <x v="1"/>
  </r>
  <r>
    <x v="1"/>
  </r>
  <r>
    <x v="1"/>
  </r>
  <r>
    <x v="1"/>
  </r>
  <r>
    <x v="1"/>
  </r>
  <r>
    <x v="0"/>
  </r>
  <r>
    <x v="0"/>
  </r>
  <r>
    <x v="2"/>
  </r>
  <r>
    <x v="0"/>
  </r>
  <r>
    <x v="0"/>
  </r>
  <r>
    <x v="5"/>
  </r>
  <r>
    <x v="0"/>
  </r>
  <r>
    <x v="9"/>
  </r>
  <r>
    <x v="7"/>
  </r>
  <r>
    <x v="5"/>
  </r>
  <r>
    <x v="3"/>
  </r>
  <r>
    <x v="1"/>
  </r>
  <r>
    <x v="8"/>
  </r>
  <r>
    <x v="7"/>
  </r>
  <r>
    <x v="0"/>
  </r>
  <r>
    <x v="1"/>
  </r>
  <r>
    <x v="3"/>
  </r>
  <r>
    <x v="1"/>
  </r>
  <r>
    <x v="7"/>
  </r>
  <r>
    <x v="2"/>
  </r>
  <r>
    <x v="3"/>
  </r>
  <r>
    <x v="0"/>
  </r>
  <r>
    <x v="1"/>
  </r>
  <r>
    <x v="1"/>
  </r>
  <r>
    <x v="1"/>
  </r>
  <r>
    <x v="0"/>
  </r>
  <r>
    <x v="8"/>
  </r>
  <r>
    <x v="1"/>
  </r>
  <r>
    <x v="1"/>
  </r>
  <r>
    <x v="0"/>
  </r>
  <r>
    <x v="0"/>
  </r>
  <r>
    <x v="3"/>
  </r>
  <r>
    <x v="3"/>
  </r>
  <r>
    <x v="7"/>
  </r>
  <r>
    <x v="7"/>
  </r>
  <r>
    <x v="0"/>
  </r>
  <r>
    <x v="1"/>
  </r>
  <r>
    <x v="5"/>
  </r>
  <r>
    <x v="4"/>
  </r>
  <r>
    <x v="3"/>
  </r>
  <r>
    <x v="3"/>
  </r>
  <r>
    <x v="0"/>
  </r>
  <r>
    <x v="3"/>
  </r>
  <r>
    <x v="7"/>
  </r>
  <r>
    <x v="4"/>
  </r>
  <r>
    <x v="9"/>
  </r>
  <r>
    <x v="2"/>
  </r>
  <r>
    <x v="1"/>
  </r>
  <r>
    <x v="0"/>
  </r>
  <r>
    <x v="1"/>
  </r>
  <r>
    <x v="1"/>
  </r>
  <r>
    <x v="0"/>
  </r>
  <r>
    <x v="1"/>
  </r>
  <r>
    <x v="7"/>
  </r>
  <r>
    <x v="8"/>
  </r>
  <r>
    <x v="7"/>
  </r>
  <r>
    <x v="1"/>
  </r>
  <r>
    <x v="4"/>
  </r>
  <r>
    <x v="1"/>
  </r>
  <r>
    <x v="4"/>
  </r>
  <r>
    <x v="7"/>
  </r>
  <r>
    <x v="0"/>
  </r>
  <r>
    <x v="2"/>
  </r>
  <r>
    <x v="0"/>
  </r>
  <r>
    <x v="0"/>
  </r>
  <r>
    <x v="1"/>
  </r>
  <r>
    <x v="0"/>
  </r>
  <r>
    <x v="0"/>
  </r>
  <r>
    <x v="1"/>
  </r>
  <r>
    <x v="1"/>
  </r>
  <r>
    <x v="9"/>
  </r>
  <r>
    <x v="1"/>
  </r>
  <r>
    <x v="2"/>
  </r>
  <r>
    <x v="1"/>
  </r>
  <r>
    <x v="1"/>
  </r>
  <r>
    <x v="1"/>
  </r>
  <r>
    <x v="4"/>
  </r>
  <r>
    <x v="4"/>
  </r>
  <r>
    <x v="1"/>
  </r>
  <r>
    <x v="1"/>
  </r>
  <r>
    <x v="1"/>
  </r>
  <r>
    <x v="7"/>
  </r>
  <r>
    <x v="9"/>
  </r>
  <r>
    <x v="0"/>
  </r>
  <r>
    <x v="7"/>
  </r>
  <r>
    <x v="0"/>
  </r>
  <r>
    <x v="7"/>
  </r>
  <r>
    <x v="0"/>
  </r>
  <r>
    <x v="2"/>
  </r>
  <r>
    <x v="1"/>
  </r>
  <r>
    <x v="7"/>
  </r>
  <r>
    <x v="1"/>
  </r>
  <r>
    <x v="0"/>
  </r>
  <r>
    <x v="0"/>
  </r>
  <r>
    <x v="3"/>
  </r>
  <r>
    <x v="9"/>
  </r>
  <r>
    <x v="1"/>
  </r>
  <r>
    <x v="1"/>
  </r>
  <r>
    <x v="0"/>
  </r>
  <r>
    <x v="1"/>
  </r>
  <r>
    <x v="3"/>
  </r>
  <r>
    <x v="1"/>
  </r>
  <r>
    <x v="0"/>
  </r>
  <r>
    <x v="1"/>
  </r>
  <r>
    <x v="7"/>
  </r>
  <r>
    <x v="1"/>
  </r>
  <r>
    <x v="2"/>
  </r>
  <r>
    <x v="6"/>
  </r>
  <r>
    <x v="0"/>
  </r>
  <r>
    <x v="3"/>
  </r>
  <r>
    <x v="2"/>
  </r>
  <r>
    <x v="4"/>
  </r>
  <r>
    <x v="0"/>
  </r>
  <r>
    <x v="0"/>
  </r>
  <r>
    <x v="1"/>
  </r>
  <r>
    <x v="7"/>
  </r>
  <r>
    <x v="7"/>
  </r>
  <r>
    <x v="7"/>
  </r>
  <r>
    <x v="7"/>
  </r>
  <r>
    <x v="1"/>
  </r>
  <r>
    <x v="7"/>
  </r>
  <r>
    <x v="1"/>
  </r>
  <r>
    <x v="0"/>
  </r>
  <r>
    <x v="0"/>
  </r>
  <r>
    <x v="0"/>
  </r>
  <r>
    <x v="9"/>
  </r>
  <r>
    <x v="7"/>
  </r>
  <r>
    <x v="1"/>
  </r>
  <r>
    <x v="3"/>
  </r>
  <r>
    <x v="1"/>
  </r>
  <r>
    <x v="1"/>
  </r>
  <r>
    <x v="5"/>
  </r>
  <r>
    <x v="1"/>
  </r>
  <r>
    <x v="5"/>
  </r>
  <r>
    <x v="10"/>
  </r>
  <r>
    <x v="8"/>
  </r>
  <r>
    <x v="3"/>
  </r>
  <r>
    <x v="1"/>
  </r>
  <r>
    <x v="9"/>
  </r>
  <r>
    <x v="8"/>
  </r>
  <r>
    <x v="3"/>
  </r>
  <r>
    <x v="1"/>
  </r>
  <r>
    <x v="0"/>
  </r>
  <r>
    <x v="7"/>
  </r>
  <r>
    <x v="6"/>
  </r>
  <r>
    <x v="9"/>
  </r>
  <r>
    <x v="0"/>
  </r>
  <r>
    <x v="2"/>
  </r>
  <r>
    <x v="1"/>
  </r>
  <r>
    <x v="8"/>
  </r>
  <r>
    <x v="7"/>
  </r>
  <r>
    <x v="5"/>
  </r>
  <r>
    <x v="8"/>
  </r>
  <r>
    <x v="5"/>
  </r>
  <r>
    <x v="0"/>
  </r>
  <r>
    <x v="0"/>
  </r>
  <r>
    <x v="5"/>
  </r>
  <r>
    <x v="1"/>
  </r>
  <r>
    <x v="0"/>
  </r>
  <r>
    <x v="4"/>
  </r>
  <r>
    <x v="2"/>
  </r>
  <r>
    <x v="8"/>
  </r>
  <r>
    <x v="3"/>
  </r>
  <r>
    <x v="5"/>
  </r>
  <r>
    <x v="1"/>
  </r>
  <r>
    <x v="9"/>
  </r>
  <r>
    <x v="7"/>
  </r>
  <r>
    <x v="3"/>
  </r>
  <r>
    <x v="1"/>
  </r>
  <r>
    <x v="8"/>
  </r>
  <r>
    <x v="5"/>
  </r>
  <r>
    <x v="0"/>
  </r>
  <r>
    <x v="7"/>
  </r>
  <r>
    <x v="3"/>
  </r>
  <r>
    <x v="1"/>
  </r>
  <r>
    <x v="1"/>
  </r>
  <r>
    <x v="3"/>
  </r>
  <r>
    <x v="10"/>
  </r>
  <r>
    <x v="7"/>
  </r>
  <r>
    <x v="0"/>
  </r>
  <r>
    <x v="1"/>
  </r>
  <r>
    <x v="1"/>
  </r>
  <r>
    <x v="0"/>
  </r>
  <r>
    <x v="0"/>
  </r>
  <r>
    <x v="2"/>
  </r>
  <r>
    <x v="7"/>
  </r>
  <r>
    <x v="1"/>
  </r>
  <r>
    <x v="3"/>
  </r>
  <r>
    <x v="9"/>
  </r>
  <r>
    <x v="4"/>
  </r>
  <r>
    <x v="8"/>
  </r>
  <r>
    <x v="7"/>
  </r>
  <r>
    <x v="4"/>
  </r>
  <r>
    <x v="5"/>
  </r>
  <r>
    <x v="9"/>
  </r>
  <r>
    <x v="0"/>
  </r>
  <r>
    <x v="7"/>
  </r>
  <r>
    <x v="0"/>
  </r>
  <r>
    <x v="0"/>
  </r>
  <r>
    <x v="5"/>
  </r>
  <r>
    <x v="0"/>
  </r>
  <r>
    <x v="1"/>
  </r>
  <r>
    <x v="1"/>
  </r>
  <r>
    <x v="1"/>
  </r>
  <r>
    <x v="1"/>
  </r>
  <r>
    <x v="0"/>
  </r>
  <r>
    <x v="0"/>
  </r>
  <r>
    <x v="1"/>
  </r>
  <r>
    <x v="0"/>
  </r>
  <r>
    <x v="1"/>
  </r>
  <r>
    <x v="1"/>
  </r>
  <r>
    <x v="7"/>
  </r>
  <r>
    <x v="1"/>
  </r>
  <r>
    <x v="3"/>
  </r>
  <r>
    <x v="0"/>
  </r>
  <r>
    <x v="0"/>
  </r>
  <r>
    <x v="3"/>
  </r>
  <r>
    <x v="1"/>
  </r>
  <r>
    <x v="7"/>
  </r>
  <r>
    <x v="1"/>
  </r>
  <r>
    <x v="1"/>
  </r>
  <r>
    <x v="5"/>
  </r>
  <r>
    <x v="4"/>
  </r>
  <r>
    <x v="1"/>
  </r>
  <r>
    <x v="3"/>
  </r>
  <r>
    <x v="0"/>
  </r>
  <r>
    <x v="0"/>
  </r>
  <r>
    <x v="0"/>
  </r>
  <r>
    <x v="7"/>
  </r>
  <r>
    <x v="7"/>
  </r>
  <r>
    <x v="7"/>
  </r>
  <r>
    <x v="3"/>
  </r>
  <r>
    <x v="0"/>
  </r>
  <r>
    <x v="7"/>
  </r>
  <r>
    <x v="7"/>
  </r>
  <r>
    <x v="9"/>
  </r>
  <r>
    <x v="1"/>
  </r>
  <r>
    <x v="0"/>
  </r>
  <r>
    <x v="5"/>
  </r>
  <r>
    <x v="1"/>
  </r>
  <r>
    <x v="2"/>
  </r>
  <r>
    <x v="1"/>
  </r>
  <r>
    <x v="1"/>
  </r>
  <r>
    <x v="3"/>
  </r>
  <r>
    <x v="1"/>
  </r>
  <r>
    <x v="4"/>
  </r>
  <r>
    <x v="0"/>
  </r>
  <r>
    <x v="1"/>
  </r>
  <r>
    <x v="1"/>
  </r>
  <r>
    <x v="1"/>
  </r>
  <r>
    <x v="1"/>
  </r>
  <r>
    <x v="1"/>
  </r>
  <r>
    <x v="1"/>
  </r>
  <r>
    <x v="8"/>
  </r>
  <r>
    <x v="1"/>
  </r>
  <r>
    <x v="3"/>
  </r>
  <r>
    <x v="0"/>
  </r>
  <r>
    <x v="3"/>
  </r>
  <r>
    <x v="7"/>
  </r>
  <r>
    <x v="2"/>
  </r>
  <r>
    <x v="5"/>
  </r>
  <r>
    <x v="1"/>
  </r>
  <r>
    <x v="1"/>
  </r>
  <r>
    <x v="2"/>
  </r>
  <r>
    <x v="0"/>
  </r>
  <r>
    <x v="0"/>
  </r>
  <r>
    <x v="2"/>
  </r>
  <r>
    <x v="2"/>
  </r>
  <r>
    <x v="7"/>
  </r>
  <r>
    <x v="8"/>
  </r>
  <r>
    <x v="0"/>
  </r>
  <r>
    <x v="10"/>
  </r>
  <r>
    <x v="5"/>
  </r>
  <r>
    <x v="9"/>
  </r>
  <r>
    <x v="1"/>
  </r>
  <r>
    <x v="3"/>
  </r>
  <r>
    <x v="2"/>
  </r>
  <r>
    <x v="9"/>
  </r>
  <r>
    <x v="7"/>
  </r>
  <r>
    <x v="1"/>
  </r>
  <r>
    <x v="3"/>
  </r>
  <r>
    <x v="1"/>
  </r>
  <r>
    <x v="0"/>
  </r>
  <r>
    <x v="1"/>
  </r>
  <r>
    <x v="8"/>
  </r>
  <r>
    <x v="8"/>
  </r>
  <r>
    <x v="0"/>
  </r>
  <r>
    <x v="7"/>
  </r>
  <r>
    <x v="4"/>
  </r>
  <r>
    <x v="3"/>
  </r>
  <r>
    <x v="10"/>
  </r>
</pivotCacheRecords>
</file>

<file path=xl/pivotCache/pivotCacheRecords8.xml><?xml version="1.0" encoding="utf-8"?>
<pivotCacheRecords xmlns="http://schemas.openxmlformats.org/spreadsheetml/2006/main" xmlns:r="http://schemas.openxmlformats.org/officeDocument/2006/relationships" count="551">
  <r>
    <x v="0"/>
  </r>
  <r>
    <x v="1"/>
  </r>
  <r>
    <x v="1"/>
  </r>
  <r>
    <x v="1"/>
  </r>
  <r>
    <x v="1"/>
  </r>
  <r>
    <x v="1"/>
  </r>
  <r>
    <x v="1"/>
  </r>
  <r>
    <x v="1"/>
  </r>
  <r>
    <x v="1"/>
  </r>
  <r>
    <x v="1"/>
  </r>
  <r>
    <x v="0"/>
  </r>
  <r>
    <x v="1"/>
  </r>
  <r>
    <x v="1"/>
  </r>
  <r>
    <x v="1"/>
  </r>
  <r>
    <x v="1"/>
  </r>
  <r>
    <x v="1"/>
  </r>
  <r>
    <x v="1"/>
  </r>
  <r>
    <x v="1"/>
  </r>
  <r>
    <x v="1"/>
  </r>
  <r>
    <x v="1"/>
  </r>
  <r>
    <x v="1"/>
  </r>
  <r>
    <x v="1"/>
  </r>
  <r>
    <x v="1"/>
  </r>
  <r>
    <x v="1"/>
  </r>
  <r>
    <x v="1"/>
  </r>
  <r>
    <x v="1"/>
  </r>
  <r>
    <x v="0"/>
  </r>
  <r>
    <x v="2"/>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0"/>
  </r>
  <r>
    <x v="1"/>
  </r>
  <r>
    <x v="0"/>
  </r>
  <r>
    <x v="0"/>
  </r>
  <r>
    <x v="0"/>
  </r>
  <r>
    <x v="0"/>
  </r>
  <r>
    <x v="1"/>
  </r>
  <r>
    <x v="2"/>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1"/>
  </r>
  <r>
    <x v="1"/>
  </r>
  <r>
    <x v="1"/>
  </r>
  <r>
    <x v="1"/>
  </r>
  <r>
    <x v="1"/>
  </r>
  <r>
    <x v="0"/>
  </r>
  <r>
    <x v="0"/>
  </r>
  <r>
    <x v="1"/>
  </r>
  <r>
    <x v="1"/>
  </r>
  <r>
    <x v="1"/>
  </r>
  <r>
    <x v="1"/>
  </r>
  <r>
    <x v="1"/>
  </r>
  <r>
    <x v="1"/>
  </r>
  <r>
    <x v="1"/>
  </r>
  <r>
    <x v="1"/>
  </r>
  <r>
    <x v="1"/>
  </r>
  <r>
    <x v="0"/>
  </r>
  <r>
    <x v="1"/>
  </r>
  <r>
    <x v="1"/>
  </r>
  <r>
    <x v="1"/>
  </r>
  <r>
    <x v="1"/>
  </r>
  <r>
    <x v="1"/>
  </r>
  <r>
    <x v="1"/>
  </r>
  <r>
    <x v="1"/>
  </r>
  <r>
    <x v="1"/>
  </r>
  <r>
    <x v="1"/>
  </r>
  <r>
    <x v="1"/>
  </r>
  <r>
    <x v="1"/>
  </r>
  <r>
    <x v="1"/>
  </r>
  <r>
    <x v="1"/>
  </r>
  <r>
    <x v="1"/>
  </r>
  <r>
    <x v="1"/>
  </r>
  <r>
    <x v="1"/>
  </r>
  <r>
    <x v="1"/>
  </r>
  <r>
    <x v="1"/>
  </r>
  <r>
    <x v="0"/>
  </r>
  <r>
    <x v="0"/>
  </r>
  <r>
    <x v="1"/>
  </r>
  <r>
    <x v="0"/>
  </r>
  <r>
    <x v="0"/>
  </r>
  <r>
    <x v="0"/>
  </r>
  <r>
    <x v="0"/>
  </r>
  <r>
    <x v="1"/>
  </r>
  <r>
    <x v="0"/>
  </r>
  <r>
    <x v="0"/>
  </r>
  <r>
    <x v="1"/>
  </r>
  <r>
    <x v="1"/>
  </r>
  <r>
    <x v="0"/>
  </r>
  <r>
    <x v="1"/>
  </r>
  <r>
    <x v="0"/>
  </r>
  <r>
    <x v="1"/>
  </r>
  <r>
    <x v="2"/>
  </r>
  <r>
    <x v="1"/>
  </r>
  <r>
    <x v="0"/>
  </r>
  <r>
    <x v="0"/>
  </r>
  <r>
    <x v="1"/>
  </r>
  <r>
    <x v="1"/>
  </r>
  <r>
    <x v="0"/>
  </r>
  <r>
    <x v="0"/>
  </r>
  <r>
    <x v="0"/>
  </r>
  <r>
    <x v="0"/>
  </r>
  <r>
    <x v="0"/>
  </r>
  <r>
    <x v="1"/>
  </r>
  <r>
    <x v="1"/>
  </r>
  <r>
    <x v="2"/>
  </r>
  <r>
    <x v="1"/>
  </r>
  <r>
    <x v="0"/>
  </r>
  <r>
    <x v="0"/>
  </r>
  <r>
    <x v="1"/>
  </r>
  <r>
    <x v="1"/>
  </r>
  <r>
    <x v="0"/>
  </r>
  <r>
    <x v="1"/>
  </r>
  <r>
    <x v="0"/>
  </r>
  <r>
    <x v="0"/>
  </r>
  <r>
    <x v="1"/>
  </r>
  <r>
    <x v="2"/>
  </r>
  <r>
    <x v="0"/>
  </r>
  <r>
    <x v="0"/>
  </r>
  <r>
    <x v="1"/>
  </r>
  <r>
    <x v="0"/>
  </r>
  <r>
    <x v="1"/>
  </r>
  <r>
    <x v="1"/>
  </r>
  <r>
    <x v="1"/>
  </r>
  <r>
    <x v="1"/>
  </r>
  <r>
    <x v="1"/>
  </r>
  <r>
    <x v="1"/>
  </r>
  <r>
    <x v="0"/>
  </r>
  <r>
    <x v="1"/>
  </r>
  <r>
    <x v="1"/>
  </r>
  <r>
    <x v="1"/>
  </r>
  <r>
    <x v="0"/>
  </r>
  <r>
    <x v="1"/>
  </r>
  <r>
    <x v="0"/>
  </r>
  <r>
    <x v="1"/>
  </r>
  <r>
    <x v="1"/>
  </r>
  <r>
    <x v="0"/>
  </r>
  <r>
    <x v="1"/>
  </r>
  <r>
    <x v="1"/>
  </r>
  <r>
    <x v="1"/>
  </r>
  <r>
    <x v="1"/>
  </r>
  <r>
    <x v="1"/>
  </r>
  <r>
    <x v="0"/>
  </r>
  <r>
    <x v="1"/>
  </r>
  <r>
    <x v="1"/>
  </r>
  <r>
    <x v="1"/>
  </r>
  <r>
    <x v="1"/>
  </r>
  <r>
    <x v="1"/>
  </r>
  <r>
    <x v="1"/>
  </r>
  <r>
    <x v="0"/>
  </r>
  <r>
    <x v="1"/>
  </r>
  <r>
    <x v="1"/>
  </r>
  <r>
    <x v="1"/>
  </r>
  <r>
    <x v="1"/>
  </r>
  <r>
    <x v="0"/>
  </r>
  <r>
    <x v="1"/>
  </r>
  <r>
    <x v="1"/>
  </r>
  <r>
    <x v="1"/>
  </r>
  <r>
    <x v="1"/>
  </r>
  <r>
    <x v="0"/>
  </r>
  <r>
    <x v="1"/>
  </r>
  <r>
    <x v="1"/>
  </r>
  <r>
    <x v="1"/>
  </r>
  <r>
    <x v="1"/>
  </r>
  <r>
    <x v="1"/>
  </r>
  <r>
    <x v="0"/>
  </r>
  <r>
    <x v="1"/>
  </r>
  <r>
    <x v="1"/>
  </r>
  <r>
    <x v="1"/>
  </r>
  <r>
    <x v="1"/>
  </r>
  <r>
    <x v="1"/>
  </r>
  <r>
    <x v="1"/>
  </r>
  <r>
    <x v="1"/>
  </r>
  <r>
    <x v="1"/>
  </r>
  <r>
    <x v="1"/>
  </r>
  <r>
    <x v="1"/>
  </r>
  <r>
    <x v="2"/>
  </r>
  <r>
    <x v="1"/>
  </r>
  <r>
    <x v="1"/>
  </r>
  <r>
    <x v="1"/>
  </r>
  <r>
    <x v="1"/>
  </r>
  <r>
    <x v="1"/>
  </r>
  <r>
    <x v="1"/>
  </r>
  <r>
    <x v="1"/>
  </r>
  <r>
    <x v="1"/>
  </r>
  <r>
    <x v="0"/>
  </r>
  <r>
    <x v="1"/>
  </r>
  <r>
    <x v="1"/>
  </r>
  <r>
    <x v="1"/>
  </r>
  <r>
    <x v="1"/>
  </r>
  <r>
    <x v="1"/>
  </r>
  <r>
    <x v="2"/>
  </r>
  <r>
    <x v="1"/>
  </r>
  <r>
    <x v="1"/>
  </r>
  <r>
    <x v="1"/>
  </r>
  <r>
    <x v="1"/>
  </r>
  <r>
    <x v="1"/>
  </r>
  <r>
    <x v="1"/>
  </r>
  <r>
    <x v="0"/>
  </r>
  <r>
    <x v="1"/>
  </r>
  <r>
    <x v="1"/>
  </r>
  <r>
    <x v="1"/>
  </r>
  <r>
    <x v="0"/>
  </r>
  <r>
    <x v="1"/>
  </r>
  <r>
    <x v="1"/>
  </r>
  <r>
    <x v="1"/>
  </r>
  <r>
    <x v="1"/>
  </r>
  <r>
    <x v="1"/>
  </r>
  <r>
    <x v="1"/>
  </r>
  <r>
    <x v="0"/>
  </r>
  <r>
    <x v="1"/>
  </r>
  <r>
    <x v="1"/>
  </r>
  <r>
    <x v="1"/>
  </r>
  <r>
    <x v="1"/>
  </r>
  <r>
    <x v="1"/>
  </r>
  <r>
    <x v="1"/>
  </r>
  <r>
    <x v="1"/>
  </r>
  <r>
    <x v="1"/>
  </r>
  <r>
    <x v="1"/>
  </r>
  <r>
    <x v="1"/>
  </r>
  <r>
    <x v="1"/>
  </r>
  <r>
    <x v="1"/>
  </r>
  <r>
    <x v="1"/>
  </r>
  <r>
    <x v="1"/>
  </r>
  <r>
    <x v="1"/>
  </r>
  <r>
    <x v="1"/>
  </r>
  <r>
    <x v="1"/>
  </r>
  <r>
    <x v="1"/>
  </r>
  <r>
    <x v="1"/>
  </r>
  <r>
    <x v="1"/>
  </r>
  <r>
    <x v="1"/>
  </r>
  <r>
    <x v="1"/>
  </r>
  <r>
    <x v="0"/>
  </r>
  <r>
    <x v="0"/>
  </r>
  <r>
    <x v="1"/>
  </r>
  <r>
    <x v="1"/>
  </r>
  <r>
    <x v="1"/>
  </r>
  <r>
    <x v="1"/>
  </r>
  <r>
    <x v="1"/>
  </r>
  <r>
    <x v="1"/>
  </r>
  <r>
    <x v="1"/>
  </r>
  <r>
    <x v="1"/>
  </r>
  <r>
    <x v="1"/>
  </r>
  <r>
    <x v="1"/>
  </r>
  <r>
    <x v="1"/>
  </r>
  <r>
    <x v="1"/>
  </r>
  <r>
    <x v="1"/>
  </r>
  <r>
    <x v="1"/>
  </r>
  <r>
    <x v="1"/>
  </r>
  <r>
    <x v="1"/>
  </r>
  <r>
    <x v="1"/>
  </r>
  <r>
    <x v="1"/>
  </r>
  <r>
    <x v="1"/>
  </r>
  <r>
    <x v="1"/>
  </r>
  <r>
    <x v="1"/>
  </r>
  <r>
    <x v="1"/>
  </r>
  <r>
    <x v="3"/>
  </r>
  <r>
    <x v="1"/>
  </r>
  <r>
    <x v="1"/>
  </r>
  <r>
    <x v="1"/>
  </r>
  <r>
    <x v="1"/>
  </r>
  <r>
    <x v="1"/>
  </r>
  <r>
    <x v="1"/>
  </r>
  <r>
    <x v="3"/>
  </r>
  <r>
    <x v="1"/>
  </r>
  <r>
    <x v="1"/>
  </r>
  <r>
    <x v="1"/>
  </r>
  <r>
    <x v="1"/>
  </r>
  <r>
    <x v="1"/>
  </r>
  <r>
    <x v="1"/>
  </r>
  <r>
    <x v="1"/>
  </r>
  <r>
    <x v="1"/>
  </r>
  <r>
    <x v="1"/>
  </r>
  <r>
    <x v="1"/>
  </r>
  <r>
    <x v="1"/>
  </r>
  <r>
    <x v="1"/>
  </r>
  <r>
    <x v="1"/>
  </r>
  <r>
    <x v="1"/>
  </r>
  <r>
    <x v="1"/>
  </r>
  <r>
    <x v="1"/>
  </r>
  <r>
    <x v="1"/>
  </r>
  <r>
    <x v="1"/>
  </r>
  <r>
    <x v="1"/>
  </r>
  <r>
    <x v="1"/>
  </r>
  <r>
    <x v="1"/>
  </r>
  <r>
    <x v="1"/>
  </r>
  <r>
    <x v="1"/>
  </r>
  <r>
    <x v="1"/>
  </r>
  <r>
    <x v="1"/>
  </r>
  <r>
    <x v="1"/>
  </r>
  <r>
    <x v="0"/>
  </r>
  <r>
    <x v="1"/>
  </r>
  <r>
    <x v="3"/>
  </r>
  <r>
    <x v="1"/>
  </r>
  <r>
    <x v="1"/>
  </r>
  <r>
    <x v="1"/>
  </r>
  <r>
    <x v="1"/>
  </r>
  <r>
    <x v="1"/>
  </r>
  <r>
    <x v="1"/>
  </r>
  <r>
    <x v="1"/>
  </r>
  <r>
    <x v="1"/>
  </r>
  <r>
    <x v="1"/>
  </r>
  <r>
    <x v="1"/>
  </r>
  <r>
    <x v="1"/>
  </r>
  <r>
    <x v="1"/>
  </r>
  <r>
    <x v="1"/>
  </r>
  <r>
    <x v="1"/>
  </r>
  <r>
    <x v="1"/>
  </r>
  <r>
    <x v="1"/>
  </r>
  <r>
    <x v="0"/>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3"/>
  </r>
  <r>
    <x v="1"/>
  </r>
  <r>
    <x v="1"/>
  </r>
  <r>
    <x v="1"/>
  </r>
  <r>
    <x v="1"/>
  </r>
  <r>
    <x v="1"/>
  </r>
  <r>
    <x v="1"/>
  </r>
  <r>
    <x v="1"/>
  </r>
  <r>
    <x v="1"/>
  </r>
  <r>
    <x v="1"/>
  </r>
  <r>
    <x v="1"/>
  </r>
  <r>
    <x v="1"/>
  </r>
  <r>
    <x v="1"/>
  </r>
  <r>
    <x v="1"/>
  </r>
  <r>
    <x v="1"/>
  </r>
  <r>
    <x v="1"/>
  </r>
  <r>
    <x v="1"/>
  </r>
  <r>
    <x v="2"/>
  </r>
  <r>
    <x v="1"/>
  </r>
  <r>
    <x v="1"/>
  </r>
  <r>
    <x v="1"/>
  </r>
  <r>
    <x v="1"/>
  </r>
  <r>
    <x v="1"/>
  </r>
  <r>
    <x v="1"/>
  </r>
  <r>
    <x v="0"/>
  </r>
  <r>
    <x v="1"/>
  </r>
  <r>
    <x v="1"/>
  </r>
  <r>
    <x v="1"/>
  </r>
  <r>
    <x v="1"/>
  </r>
  <r>
    <x v="0"/>
  </r>
  <r>
    <x v="1"/>
  </r>
  <r>
    <x v="1"/>
  </r>
  <r>
    <x v="1"/>
  </r>
  <r>
    <x v="1"/>
  </r>
  <r>
    <x v="1"/>
  </r>
  <r>
    <x v="1"/>
  </r>
  <r>
    <x v="1"/>
  </r>
  <r>
    <x v="1"/>
  </r>
  <r>
    <x v="1"/>
  </r>
  <r>
    <x v="1"/>
  </r>
  <r>
    <x v="1"/>
  </r>
  <r>
    <x v="1"/>
  </r>
  <r>
    <x v="1"/>
  </r>
  <r>
    <x v="1"/>
  </r>
  <r>
    <x v="1"/>
  </r>
  <r>
    <x v="1"/>
  </r>
  <r>
    <x v="1"/>
  </r>
  <r>
    <x v="1"/>
  </r>
  <r>
    <x v="1"/>
  </r>
  <r>
    <x v="2"/>
  </r>
  <r>
    <x v="1"/>
  </r>
  <r>
    <x v="1"/>
  </r>
  <r>
    <x v="1"/>
  </r>
  <r>
    <x v="1"/>
  </r>
  <r>
    <x v="1"/>
  </r>
  <r>
    <x v="1"/>
  </r>
  <r>
    <x v="1"/>
  </r>
  <r>
    <x v="1"/>
  </r>
  <r>
    <x v="1"/>
  </r>
  <r>
    <x v="1"/>
  </r>
  <r>
    <x v="1"/>
  </r>
  <r>
    <x v="1"/>
  </r>
  <r>
    <x v="1"/>
  </r>
  <r>
    <x v="1"/>
  </r>
  <r>
    <x v="1"/>
  </r>
  <r>
    <x v="1"/>
  </r>
  <r>
    <x v="3"/>
  </r>
  <r>
    <x v="0"/>
  </r>
  <r>
    <x v="3"/>
  </r>
  <r>
    <x v="1"/>
  </r>
  <r>
    <x v="3"/>
  </r>
  <r>
    <x v="1"/>
  </r>
  <r>
    <x v="3"/>
  </r>
  <r>
    <x v="1"/>
  </r>
  <r>
    <x v="3"/>
  </r>
  <r>
    <x v="2"/>
  </r>
  <r>
    <x v="3"/>
  </r>
  <r>
    <x v="1"/>
  </r>
  <r>
    <x v="3"/>
  </r>
  <r>
    <x v="2"/>
  </r>
  <r>
    <x v="1"/>
  </r>
  <r>
    <x v="3"/>
  </r>
  <r>
    <x v="1"/>
  </r>
  <r>
    <x v="3"/>
  </r>
  <r>
    <x v="1"/>
  </r>
  <r>
    <x v="3"/>
  </r>
  <r>
    <x v="0"/>
  </r>
  <r>
    <x v="3"/>
  </r>
  <r>
    <x v="1"/>
  </r>
  <r>
    <x v="1"/>
  </r>
  <r>
    <x v="3"/>
  </r>
  <r>
    <x v="1"/>
  </r>
  <r>
    <x v="3"/>
  </r>
  <r>
    <x v="1"/>
  </r>
  <r>
    <x v="1"/>
  </r>
  <r>
    <x v="3"/>
  </r>
  <r>
    <x v="1"/>
  </r>
  <r>
    <x v="1"/>
  </r>
  <r>
    <x v="3"/>
  </r>
  <r>
    <x v="1"/>
  </r>
  <r>
    <x v="3"/>
  </r>
  <r>
    <x v="1"/>
  </r>
  <r>
    <x v="3"/>
  </r>
  <r>
    <x v="1"/>
  </r>
  <r>
    <x v="1"/>
  </r>
  <r>
    <x v="3"/>
  </r>
  <r>
    <x v="0"/>
  </r>
  <r>
    <x v="3"/>
  </r>
  <r>
    <x v="1"/>
  </r>
  <r>
    <x v="3"/>
  </r>
  <r>
    <x v="2"/>
  </r>
  <r>
    <x v="3"/>
  </r>
  <r>
    <x v="1"/>
  </r>
  <r>
    <x v="1"/>
  </r>
  <r>
    <x v="3"/>
  </r>
  <r>
    <x v="2"/>
  </r>
  <r>
    <x v="3"/>
  </r>
  <r>
    <x v="2"/>
  </r>
  <r>
    <x v="3"/>
  </r>
  <r>
    <x v="2"/>
  </r>
  <r>
    <x v="3"/>
  </r>
</pivotCacheRecords>
</file>

<file path=xl/pivotCache/pivotCacheRecords9.xml><?xml version="1.0" encoding="utf-8"?>
<pivotCacheRecords xmlns="http://schemas.openxmlformats.org/spreadsheetml/2006/main" xmlns:r="http://schemas.openxmlformats.org/officeDocument/2006/relationships" count="553">
  <r>
    <x v="0"/>
  </r>
  <r>
    <x v="1"/>
  </r>
  <r>
    <x v="1"/>
  </r>
  <r>
    <x v="1"/>
  </r>
  <r>
    <x v="1"/>
  </r>
  <r>
    <x v="1"/>
  </r>
  <r>
    <x v="1"/>
  </r>
  <r>
    <x v="1"/>
  </r>
  <r>
    <x v="1"/>
  </r>
  <r>
    <x v="1"/>
  </r>
  <r>
    <x v="0"/>
  </r>
  <r>
    <x v="1"/>
  </r>
  <r>
    <x v="1"/>
  </r>
  <r>
    <x v="1"/>
  </r>
  <r>
    <x v="1"/>
  </r>
  <r>
    <x v="1"/>
  </r>
  <r>
    <x v="1"/>
  </r>
  <r>
    <x v="1"/>
  </r>
  <r>
    <x v="1"/>
  </r>
  <r>
    <x v="1"/>
  </r>
  <r>
    <x v="1"/>
  </r>
  <r>
    <x v="1"/>
  </r>
  <r>
    <x v="1"/>
  </r>
  <r>
    <x v="1"/>
  </r>
  <r>
    <x v="1"/>
  </r>
  <r>
    <x v="1"/>
  </r>
  <r>
    <x v="0"/>
  </r>
  <r>
    <x v="0"/>
  </r>
  <r>
    <x v="1"/>
  </r>
  <r>
    <x v="1"/>
  </r>
  <r>
    <x v="1"/>
  </r>
  <r>
    <x v="1"/>
  </r>
  <r>
    <x v="1"/>
  </r>
  <r>
    <x v="2"/>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0"/>
  </r>
  <r>
    <x v="1"/>
  </r>
  <r>
    <x v="0"/>
  </r>
  <r>
    <x v="0"/>
  </r>
  <r>
    <x v="0"/>
  </r>
  <r>
    <x v="0"/>
  </r>
  <r>
    <x v="2"/>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1"/>
  </r>
  <r>
    <x v="1"/>
  </r>
  <r>
    <x v="1"/>
  </r>
  <r>
    <x v="1"/>
  </r>
  <r>
    <x v="1"/>
  </r>
  <r>
    <x v="1"/>
  </r>
  <r>
    <x v="1"/>
  </r>
  <r>
    <x v="1"/>
  </r>
  <r>
    <x v="1"/>
  </r>
  <r>
    <x v="0"/>
  </r>
  <r>
    <x v="1"/>
  </r>
  <r>
    <x v="1"/>
  </r>
  <r>
    <x v="1"/>
  </r>
  <r>
    <x v="1"/>
  </r>
  <r>
    <x v="1"/>
  </r>
  <r>
    <x v="1"/>
  </r>
  <r>
    <x v="1"/>
  </r>
  <r>
    <x v="1"/>
  </r>
  <r>
    <x v="1"/>
  </r>
  <r>
    <x v="1"/>
  </r>
  <r>
    <x v="1"/>
  </r>
  <r>
    <x v="1"/>
  </r>
  <r>
    <x v="1"/>
  </r>
  <r>
    <x v="1"/>
  </r>
  <r>
    <x v="1"/>
  </r>
  <r>
    <x v="1"/>
  </r>
  <r>
    <x v="1"/>
  </r>
  <r>
    <x v="1"/>
  </r>
  <r>
    <x v="0"/>
  </r>
  <r>
    <x v="0"/>
  </r>
  <r>
    <x v="1"/>
  </r>
  <r>
    <x v="0"/>
  </r>
  <r>
    <x v="0"/>
  </r>
  <r>
    <x v="0"/>
  </r>
  <r>
    <x v="0"/>
  </r>
  <r>
    <x v="1"/>
  </r>
  <r>
    <x v="0"/>
  </r>
  <r>
    <x v="0"/>
  </r>
  <r>
    <x v="1"/>
  </r>
  <r>
    <x v="1"/>
  </r>
  <r>
    <x v="0"/>
  </r>
  <r>
    <x v="1"/>
  </r>
  <r>
    <x v="0"/>
  </r>
  <r>
    <x v="1"/>
  </r>
  <r>
    <x v="0"/>
  </r>
  <r>
    <x v="1"/>
  </r>
  <r>
    <x v="0"/>
  </r>
  <r>
    <x v="0"/>
  </r>
  <r>
    <x v="1"/>
  </r>
  <r>
    <x v="1"/>
  </r>
  <r>
    <x v="0"/>
  </r>
  <r>
    <x v="0"/>
  </r>
  <r>
    <x v="0"/>
  </r>
  <r>
    <x v="0"/>
  </r>
  <r>
    <x v="0"/>
  </r>
  <r>
    <x v="2"/>
  </r>
  <r>
    <x v="1"/>
  </r>
  <r>
    <x v="0"/>
  </r>
  <r>
    <x v="1"/>
  </r>
  <r>
    <x v="0"/>
  </r>
  <r>
    <x v="0"/>
  </r>
  <r>
    <x v="1"/>
  </r>
  <r>
    <x v="1"/>
  </r>
  <r>
    <x v="0"/>
  </r>
  <r>
    <x v="1"/>
  </r>
  <r>
    <x v="0"/>
  </r>
  <r>
    <x v="0"/>
  </r>
  <r>
    <x v="1"/>
  </r>
  <r>
    <x v="0"/>
  </r>
  <r>
    <x v="0"/>
  </r>
  <r>
    <x v="0"/>
  </r>
  <r>
    <x v="1"/>
  </r>
  <r>
    <x v="0"/>
  </r>
  <r>
    <x v="1"/>
  </r>
  <r>
    <x v="1"/>
  </r>
  <r>
    <x v="1"/>
  </r>
  <r>
    <x v="1"/>
  </r>
  <r>
    <x v="1"/>
  </r>
  <r>
    <x v="1"/>
  </r>
  <r>
    <x v="0"/>
  </r>
  <r>
    <x v="1"/>
  </r>
  <r>
    <x v="1"/>
  </r>
  <r>
    <x v="1"/>
  </r>
  <r>
    <x v="0"/>
  </r>
  <r>
    <x v="1"/>
  </r>
  <r>
    <x v="0"/>
  </r>
  <r>
    <x v="1"/>
  </r>
  <r>
    <x v="1"/>
  </r>
  <r>
    <x v="0"/>
  </r>
  <r>
    <x v="1"/>
  </r>
  <r>
    <x v="1"/>
  </r>
  <r>
    <x v="1"/>
  </r>
  <r>
    <x v="1"/>
  </r>
  <r>
    <x v="1"/>
  </r>
  <r>
    <x v="0"/>
  </r>
  <r>
    <x v="1"/>
  </r>
  <r>
    <x v="1"/>
  </r>
  <r>
    <x v="1"/>
  </r>
  <r>
    <x v="1"/>
  </r>
  <r>
    <x v="1"/>
  </r>
  <r>
    <x v="1"/>
  </r>
  <r>
    <x v="0"/>
  </r>
  <r>
    <x v="1"/>
  </r>
  <r>
    <x v="1"/>
  </r>
  <r>
    <x v="1"/>
  </r>
  <r>
    <x v="1"/>
  </r>
  <r>
    <x v="0"/>
  </r>
  <r>
    <x v="1"/>
  </r>
  <r>
    <x v="1"/>
  </r>
  <r>
    <x v="1"/>
  </r>
  <r>
    <x v="1"/>
  </r>
  <r>
    <x v="0"/>
  </r>
  <r>
    <x v="1"/>
  </r>
  <r>
    <x v="1"/>
  </r>
  <r>
    <x v="1"/>
  </r>
  <r>
    <x v="1"/>
  </r>
  <r>
    <x v="1"/>
  </r>
  <r>
    <x v="0"/>
  </r>
  <r>
    <x v="1"/>
  </r>
  <r>
    <x v="1"/>
  </r>
  <r>
    <x v="2"/>
  </r>
  <r>
    <x v="1"/>
  </r>
  <r>
    <x v="1"/>
  </r>
  <r>
    <x v="1"/>
  </r>
  <r>
    <x v="1"/>
  </r>
  <r>
    <x v="1"/>
  </r>
  <r>
    <x v="1"/>
  </r>
  <r>
    <x v="1"/>
  </r>
  <r>
    <x v="1"/>
  </r>
  <r>
    <x v="1"/>
  </r>
  <r>
    <x v="1"/>
  </r>
  <r>
    <x v="1"/>
  </r>
  <r>
    <x v="1"/>
  </r>
  <r>
    <x v="1"/>
  </r>
  <r>
    <x v="1"/>
  </r>
  <r>
    <x v="1"/>
  </r>
  <r>
    <x v="1"/>
  </r>
  <r>
    <x v="0"/>
  </r>
  <r>
    <x v="1"/>
  </r>
  <r>
    <x v="1"/>
  </r>
  <r>
    <x v="1"/>
  </r>
  <r>
    <x v="1"/>
  </r>
  <r>
    <x v="1"/>
  </r>
  <r>
    <x v="1"/>
  </r>
  <r>
    <x v="1"/>
  </r>
  <r>
    <x v="1"/>
  </r>
  <r>
    <x v="1"/>
  </r>
  <r>
    <x v="1"/>
  </r>
  <r>
    <x v="1"/>
  </r>
  <r>
    <x v="1"/>
  </r>
  <r>
    <x v="0"/>
  </r>
  <r>
    <x v="1"/>
  </r>
  <r>
    <x v="1"/>
  </r>
  <r>
    <x v="1"/>
  </r>
  <r>
    <x v="0"/>
  </r>
  <r>
    <x v="1"/>
  </r>
  <r>
    <x v="1"/>
  </r>
  <r>
    <x v="1"/>
  </r>
  <r>
    <x v="1"/>
  </r>
  <r>
    <x v="1"/>
  </r>
  <r>
    <x v="1"/>
  </r>
  <r>
    <x v="0"/>
  </r>
  <r>
    <x v="1"/>
  </r>
  <r>
    <x v="1"/>
  </r>
  <r>
    <x v="1"/>
  </r>
  <r>
    <x v="1"/>
  </r>
  <r>
    <x v="1"/>
  </r>
  <r>
    <x v="1"/>
  </r>
  <r>
    <x v="1"/>
  </r>
  <r>
    <x v="1"/>
  </r>
  <r>
    <x v="1"/>
  </r>
  <r>
    <x v="1"/>
  </r>
  <r>
    <x v="1"/>
  </r>
  <r>
    <x v="1"/>
  </r>
  <r>
    <x v="1"/>
  </r>
  <r>
    <x v="1"/>
  </r>
  <r>
    <x v="1"/>
  </r>
  <r>
    <x v="1"/>
  </r>
  <r>
    <x v="1"/>
  </r>
  <r>
    <x v="1"/>
  </r>
  <r>
    <x v="1"/>
  </r>
  <r>
    <x v="1"/>
  </r>
  <r>
    <x v="1"/>
  </r>
  <r>
    <x v="1"/>
  </r>
  <r>
    <x v="0"/>
  </r>
  <r>
    <x v="0"/>
  </r>
  <r>
    <x v="1"/>
  </r>
  <r>
    <x v="1"/>
  </r>
  <r>
    <x v="1"/>
  </r>
  <r>
    <x v="1"/>
  </r>
  <r>
    <x v="1"/>
  </r>
  <r>
    <x v="1"/>
  </r>
  <r>
    <x v="1"/>
  </r>
  <r>
    <x v="1"/>
  </r>
  <r>
    <x v="1"/>
  </r>
  <r>
    <x v="1"/>
  </r>
  <r>
    <x v="1"/>
  </r>
  <r>
    <x v="1"/>
  </r>
  <r>
    <x v="1"/>
  </r>
  <r>
    <x v="1"/>
  </r>
  <r>
    <x v="1"/>
  </r>
  <r>
    <x v="1"/>
  </r>
  <r>
    <x v="1"/>
  </r>
  <r>
    <x v="1"/>
  </r>
  <r>
    <x v="1"/>
  </r>
  <r>
    <x v="1"/>
  </r>
  <r>
    <x v="1"/>
  </r>
  <r>
    <x v="1"/>
  </r>
  <r>
    <x v="3"/>
  </r>
  <r>
    <x v="1"/>
  </r>
  <r>
    <x v="1"/>
  </r>
  <r>
    <x v="1"/>
  </r>
  <r>
    <x v="1"/>
  </r>
  <r>
    <x v="1"/>
  </r>
  <r>
    <x v="1"/>
  </r>
  <r>
    <x v="3"/>
  </r>
  <r>
    <x v="1"/>
  </r>
  <r>
    <x v="1"/>
  </r>
  <r>
    <x v="1"/>
  </r>
  <r>
    <x v="1"/>
  </r>
  <r>
    <x v="1"/>
  </r>
  <r>
    <x v="1"/>
  </r>
  <r>
    <x v="1"/>
  </r>
  <r>
    <x v="1"/>
  </r>
  <r>
    <x v="1"/>
  </r>
  <r>
    <x v="1"/>
  </r>
  <r>
    <x v="1"/>
  </r>
  <r>
    <x v="1"/>
  </r>
  <r>
    <x v="1"/>
  </r>
  <r>
    <x v="1"/>
  </r>
  <r>
    <x v="1"/>
  </r>
  <r>
    <x v="1"/>
  </r>
  <r>
    <x v="1"/>
  </r>
  <r>
    <x v="1"/>
  </r>
  <r>
    <x v="1"/>
  </r>
  <r>
    <x v="1"/>
  </r>
  <r>
    <x v="1"/>
  </r>
  <r>
    <x v="1"/>
  </r>
  <r>
    <x v="1"/>
  </r>
  <r>
    <x v="1"/>
  </r>
  <r>
    <x v="1"/>
  </r>
  <r>
    <x v="1"/>
  </r>
  <r>
    <x v="0"/>
  </r>
  <r>
    <x v="2"/>
  </r>
  <r>
    <x v="3"/>
  </r>
  <r>
    <x v="1"/>
  </r>
  <r>
    <x v="1"/>
  </r>
  <r>
    <x v="1"/>
  </r>
  <r>
    <x v="1"/>
  </r>
  <r>
    <x v="1"/>
  </r>
  <r>
    <x v="1"/>
  </r>
  <r>
    <x v="1"/>
  </r>
  <r>
    <x v="1"/>
  </r>
  <r>
    <x v="1"/>
  </r>
  <r>
    <x v="1"/>
  </r>
  <r>
    <x v="1"/>
  </r>
  <r>
    <x v="1"/>
  </r>
  <r>
    <x v="1"/>
  </r>
  <r>
    <x v="1"/>
  </r>
  <r>
    <x v="1"/>
  </r>
  <r>
    <x v="1"/>
  </r>
  <r>
    <x v="0"/>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1"/>
  </r>
  <r>
    <x v="1"/>
  </r>
  <r>
    <x v="1"/>
  </r>
  <r>
    <x v="1"/>
  </r>
  <r>
    <x v="1"/>
  </r>
  <r>
    <x v="1"/>
  </r>
  <r>
    <x v="1"/>
  </r>
  <r>
    <x v="1"/>
  </r>
  <r>
    <x v="1"/>
  </r>
  <r>
    <x v="1"/>
  </r>
  <r>
    <x v="3"/>
  </r>
  <r>
    <x v="1"/>
  </r>
  <r>
    <x v="1"/>
  </r>
  <r>
    <x v="1"/>
  </r>
  <r>
    <x v="1"/>
  </r>
  <r>
    <x v="1"/>
  </r>
  <r>
    <x v="2"/>
  </r>
  <r>
    <x v="2"/>
  </r>
  <r>
    <x v="1"/>
  </r>
  <r>
    <x v="1"/>
  </r>
  <r>
    <x v="1"/>
  </r>
  <r>
    <x v="1"/>
  </r>
  <r>
    <x v="1"/>
  </r>
  <r>
    <x v="1"/>
  </r>
  <r>
    <x v="1"/>
  </r>
  <r>
    <x v="2"/>
  </r>
  <r>
    <x v="1"/>
  </r>
  <r>
    <x v="0"/>
  </r>
  <r>
    <x v="1"/>
  </r>
  <r>
    <x v="1"/>
  </r>
  <r>
    <x v="1"/>
  </r>
  <r>
    <x v="1"/>
  </r>
  <r>
    <x v="1"/>
  </r>
  <r>
    <x v="1"/>
  </r>
  <r>
    <x v="0"/>
  </r>
  <r>
    <x v="1"/>
  </r>
  <r>
    <x v="1"/>
  </r>
  <r>
    <x v="1"/>
  </r>
  <r>
    <x v="1"/>
  </r>
  <r>
    <x v="0"/>
  </r>
  <r>
    <x v="1"/>
  </r>
  <r>
    <x v="1"/>
  </r>
  <r>
    <x v="1"/>
  </r>
  <r>
    <x v="2"/>
  </r>
  <r>
    <x v="1"/>
  </r>
  <r>
    <x v="1"/>
  </r>
  <r>
    <x v="1"/>
  </r>
  <r>
    <x v="1"/>
  </r>
  <r>
    <x v="1"/>
  </r>
  <r>
    <x v="1"/>
  </r>
  <r>
    <x v="2"/>
  </r>
  <r>
    <x v="1"/>
  </r>
  <r>
    <x v="1"/>
  </r>
  <r>
    <x v="1"/>
  </r>
  <r>
    <x v="1"/>
  </r>
  <r>
    <x v="1"/>
  </r>
  <r>
    <x v="1"/>
  </r>
  <r>
    <x v="1"/>
  </r>
  <r>
    <x v="1"/>
  </r>
  <r>
    <x v="1"/>
  </r>
  <r>
    <x v="1"/>
  </r>
  <r>
    <x v="1"/>
  </r>
  <r>
    <x v="1"/>
  </r>
  <r>
    <x v="1"/>
  </r>
  <r>
    <x v="1"/>
  </r>
  <r>
    <x v="1"/>
  </r>
  <r>
    <x v="1"/>
  </r>
  <r>
    <x v="1"/>
  </r>
  <r>
    <x v="1"/>
  </r>
  <r>
    <x v="1"/>
  </r>
  <r>
    <x v="1"/>
  </r>
  <r>
    <x v="1"/>
  </r>
  <r>
    <x v="1"/>
  </r>
  <r>
    <x v="1"/>
  </r>
  <r>
    <x v="1"/>
  </r>
  <r>
    <x v="2"/>
  </r>
  <r>
    <x v="3"/>
  </r>
  <r>
    <x v="0"/>
  </r>
  <r>
    <x v="3"/>
  </r>
  <r>
    <x v="1"/>
  </r>
  <r>
    <x v="3"/>
  </r>
  <r>
    <x v="2"/>
  </r>
  <r>
    <x v="3"/>
  </r>
  <r>
    <x v="1"/>
  </r>
  <r>
    <x v="3"/>
  </r>
  <r>
    <x v="2"/>
  </r>
  <r>
    <x v="3"/>
  </r>
  <r>
    <x v="1"/>
  </r>
  <r>
    <x v="3"/>
  </r>
  <r>
    <x v="0"/>
  </r>
  <r>
    <x v="2"/>
  </r>
  <r>
    <x v="3"/>
  </r>
  <r>
    <x v="2"/>
  </r>
  <r>
    <x v="3"/>
  </r>
  <r>
    <x v="1"/>
  </r>
  <r>
    <x v="3"/>
  </r>
  <r>
    <x v="0"/>
  </r>
  <r>
    <x v="3"/>
  </r>
  <r>
    <x v="1"/>
  </r>
  <r>
    <x v="1"/>
  </r>
  <r>
    <x v="3"/>
  </r>
  <r>
    <x v="1"/>
  </r>
  <r>
    <x v="3"/>
  </r>
  <r>
    <x v="1"/>
  </r>
  <r>
    <x v="1"/>
  </r>
  <r>
    <x v="3"/>
  </r>
  <r>
    <x v="2"/>
  </r>
  <r>
    <x v="1"/>
  </r>
  <r>
    <x v="3"/>
  </r>
  <r>
    <x v="1"/>
  </r>
  <r>
    <x v="3"/>
  </r>
  <r>
    <x v="2"/>
  </r>
  <r>
    <x v="3"/>
  </r>
  <r>
    <x v="1"/>
  </r>
  <r>
    <x v="1"/>
  </r>
  <r>
    <x v="3"/>
  </r>
  <r>
    <x v="2"/>
  </r>
  <r>
    <x v="3"/>
  </r>
  <r>
    <x v="1"/>
  </r>
  <r>
    <x v="3"/>
  </r>
  <r>
    <x v="1"/>
  </r>
  <r>
    <x v="3"/>
  </r>
  <r>
    <x v="1"/>
  </r>
  <r>
    <x v="1"/>
  </r>
  <r>
    <x v="3"/>
  </r>
  <r>
    <x v="2"/>
  </r>
  <r>
    <x v="3"/>
  </r>
  <r>
    <x v="2"/>
  </r>
  <r>
    <x v="3"/>
  </r>
  <r>
    <x v="2"/>
  </r>
  <r>
    <x v="3"/>
  </r>
  <r>
    <x v="2"/>
  </r>
  <r>
    <x v="3"/>
  </r>
</pivotCacheRecords>
</file>

<file path=xl/pivotCache/pivotCacheRecords10.xml><?xml version="1.0" encoding="utf-8"?>
<pivotCacheRecords xmlns="http://schemas.openxmlformats.org/spreadsheetml/2006/main" xmlns:r="http://schemas.openxmlformats.org/officeDocument/2006/relationships" count="549">
  <r>
    <x v="0"/>
  </r>
  <r>
    <x v="1"/>
  </r>
  <r>
    <x v="1"/>
  </r>
  <r>
    <x v="1"/>
  </r>
  <r>
    <x v="1"/>
  </r>
  <r>
    <x v="1"/>
  </r>
  <r>
    <x v="1"/>
  </r>
  <r>
    <x v="1"/>
  </r>
  <r>
    <x v="1"/>
  </r>
  <r>
    <x v="1"/>
  </r>
  <r>
    <x v="2"/>
  </r>
  <r>
    <x v="1"/>
  </r>
  <r>
    <x v="1"/>
  </r>
  <r>
    <x v="1"/>
  </r>
  <r>
    <x v="1"/>
  </r>
  <r>
    <x v="1"/>
  </r>
  <r>
    <x v="1"/>
  </r>
  <r>
    <x v="1"/>
  </r>
  <r>
    <x v="1"/>
  </r>
  <r>
    <x v="1"/>
  </r>
  <r>
    <x v="1"/>
  </r>
  <r>
    <x v="1"/>
  </r>
  <r>
    <x v="1"/>
  </r>
  <r>
    <x v="1"/>
  </r>
  <r>
    <x v="1"/>
  </r>
  <r>
    <x v="1"/>
  </r>
  <r>
    <x v="2"/>
  </r>
  <r>
    <x v="2"/>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1"/>
  </r>
  <r>
    <x v="0"/>
  </r>
  <r>
    <x v="1"/>
  </r>
  <r>
    <x v="2"/>
  </r>
  <r>
    <x v="2"/>
  </r>
  <r>
    <x v="2"/>
  </r>
  <r>
    <x v="2"/>
  </r>
  <r>
    <x v="1"/>
  </r>
  <r>
    <x v="1"/>
  </r>
  <r>
    <x v="0"/>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2"/>
  </r>
  <r>
    <x v="2"/>
  </r>
  <r>
    <x v="1"/>
  </r>
  <r>
    <x v="1"/>
  </r>
  <r>
    <x v="1"/>
  </r>
  <r>
    <x v="1"/>
  </r>
  <r>
    <x v="0"/>
  </r>
  <r>
    <x v="1"/>
  </r>
  <r>
    <x v="1"/>
  </r>
  <r>
    <x v="1"/>
  </r>
  <r>
    <x v="1"/>
  </r>
  <r>
    <x v="2"/>
  </r>
  <r>
    <x v="1"/>
  </r>
  <r>
    <x v="1"/>
  </r>
  <r>
    <x v="1"/>
  </r>
  <r>
    <x v="1"/>
  </r>
  <r>
    <x v="1"/>
  </r>
  <r>
    <x v="1"/>
  </r>
  <r>
    <x v="1"/>
  </r>
  <r>
    <x v="1"/>
  </r>
  <r>
    <x v="1"/>
  </r>
  <r>
    <x v="1"/>
  </r>
  <r>
    <x v="1"/>
  </r>
  <r>
    <x v="1"/>
  </r>
  <r>
    <x v="1"/>
  </r>
  <r>
    <x v="1"/>
  </r>
  <r>
    <x v="1"/>
  </r>
  <r>
    <x v="1"/>
  </r>
  <r>
    <x v="1"/>
  </r>
  <r>
    <x v="1"/>
  </r>
  <r>
    <x v="2"/>
  </r>
  <r>
    <x v="2"/>
  </r>
  <r>
    <x v="1"/>
  </r>
  <r>
    <x v="0"/>
  </r>
  <r>
    <x v="0"/>
  </r>
  <r>
    <x v="2"/>
  </r>
  <r>
    <x v="2"/>
  </r>
  <r>
    <x v="1"/>
  </r>
  <r>
    <x v="2"/>
  </r>
  <r>
    <x v="2"/>
  </r>
  <r>
    <x v="1"/>
  </r>
  <r>
    <x v="1"/>
  </r>
  <r>
    <x v="2"/>
  </r>
  <r>
    <x v="1"/>
  </r>
  <r>
    <x v="2"/>
  </r>
  <r>
    <x v="1"/>
  </r>
  <r>
    <x v="2"/>
  </r>
  <r>
    <x v="1"/>
  </r>
  <r>
    <x v="2"/>
  </r>
  <r>
    <x v="2"/>
  </r>
  <r>
    <x v="1"/>
  </r>
  <r>
    <x v="1"/>
  </r>
  <r>
    <x v="2"/>
  </r>
  <r>
    <x v="2"/>
  </r>
  <r>
    <x v="2"/>
  </r>
  <r>
    <x v="0"/>
  </r>
  <r>
    <x v="2"/>
  </r>
  <r>
    <x v="1"/>
  </r>
  <r>
    <x v="1"/>
  </r>
  <r>
    <x v="2"/>
  </r>
  <r>
    <x v="1"/>
  </r>
  <r>
    <x v="2"/>
  </r>
  <r>
    <x v="2"/>
  </r>
  <r>
    <x v="1"/>
  </r>
  <r>
    <x v="1"/>
  </r>
  <r>
    <x v="2"/>
  </r>
  <r>
    <x v="1"/>
  </r>
  <r>
    <x v="2"/>
  </r>
  <r>
    <x v="2"/>
  </r>
  <r>
    <x v="1"/>
  </r>
  <r>
    <x v="2"/>
  </r>
  <r>
    <x v="2"/>
  </r>
  <r>
    <x v="2"/>
  </r>
  <r>
    <x v="1"/>
  </r>
  <r>
    <x v="2"/>
  </r>
  <r>
    <x v="1"/>
  </r>
  <r>
    <x v="1"/>
  </r>
  <r>
    <x v="1"/>
  </r>
  <r>
    <x v="1"/>
  </r>
  <r>
    <x v="1"/>
  </r>
  <r>
    <x v="1"/>
  </r>
  <r>
    <x v="2"/>
  </r>
  <r>
    <x v="1"/>
  </r>
  <r>
    <x v="1"/>
  </r>
  <r>
    <x v="1"/>
  </r>
  <r>
    <x v="2"/>
  </r>
  <r>
    <x v="1"/>
  </r>
  <r>
    <x v="2"/>
  </r>
  <r>
    <x v="1"/>
  </r>
  <r>
    <x v="1"/>
  </r>
  <r>
    <x v="2"/>
  </r>
  <r>
    <x v="1"/>
  </r>
  <r>
    <x v="1"/>
  </r>
  <r>
    <x v="1"/>
  </r>
  <r>
    <x v="1"/>
  </r>
  <r>
    <x v="1"/>
  </r>
  <r>
    <x v="2"/>
  </r>
  <r>
    <x v="1"/>
  </r>
  <r>
    <x v="0"/>
  </r>
  <r>
    <x v="1"/>
  </r>
  <r>
    <x v="1"/>
  </r>
  <r>
    <x v="1"/>
  </r>
  <r>
    <x v="1"/>
  </r>
  <r>
    <x v="2"/>
  </r>
  <r>
    <x v="1"/>
  </r>
  <r>
    <x v="1"/>
  </r>
  <r>
    <x v="1"/>
  </r>
  <r>
    <x v="1"/>
  </r>
  <r>
    <x v="2"/>
  </r>
  <r>
    <x v="1"/>
  </r>
  <r>
    <x v="1"/>
  </r>
  <r>
    <x v="1"/>
  </r>
  <r>
    <x v="1"/>
  </r>
  <r>
    <x v="2"/>
  </r>
  <r>
    <x v="1"/>
  </r>
  <r>
    <x v="1"/>
  </r>
  <r>
    <x v="1"/>
  </r>
  <r>
    <x v="1"/>
  </r>
  <r>
    <x v="1"/>
  </r>
  <r>
    <x v="2"/>
  </r>
  <r>
    <x v="1"/>
  </r>
  <r>
    <x v="1"/>
  </r>
  <r>
    <x v="1"/>
  </r>
  <r>
    <x v="1"/>
  </r>
  <r>
    <x v="1"/>
  </r>
  <r>
    <x v="1"/>
  </r>
  <r>
    <x v="1"/>
  </r>
  <r>
    <x v="0"/>
  </r>
  <r>
    <x v="1"/>
  </r>
  <r>
    <x v="1"/>
  </r>
  <r>
    <x v="1"/>
  </r>
  <r>
    <x v="1"/>
  </r>
  <r>
    <x v="0"/>
  </r>
  <r>
    <x v="1"/>
  </r>
  <r>
    <x v="1"/>
  </r>
  <r>
    <x v="1"/>
  </r>
  <r>
    <x v="1"/>
  </r>
  <r>
    <x v="1"/>
  </r>
  <r>
    <x v="1"/>
  </r>
  <r>
    <x v="2"/>
  </r>
  <r>
    <x v="1"/>
  </r>
  <r>
    <x v="1"/>
  </r>
  <r>
    <x v="1"/>
  </r>
  <r>
    <x v="1"/>
  </r>
  <r>
    <x v="1"/>
  </r>
  <r>
    <x v="1"/>
  </r>
  <r>
    <x v="1"/>
  </r>
  <r>
    <x v="1"/>
  </r>
  <r>
    <x v="1"/>
  </r>
  <r>
    <x v="1"/>
  </r>
  <r>
    <x v="1"/>
  </r>
  <r>
    <x v="1"/>
  </r>
  <r>
    <x v="2"/>
  </r>
  <r>
    <x v="1"/>
  </r>
  <r>
    <x v="1"/>
  </r>
  <r>
    <x v="1"/>
  </r>
  <r>
    <x v="0"/>
  </r>
  <r>
    <x v="1"/>
  </r>
  <r>
    <x v="1"/>
  </r>
  <r>
    <x v="1"/>
  </r>
  <r>
    <x v="1"/>
  </r>
  <r>
    <x v="1"/>
  </r>
  <r>
    <x v="1"/>
  </r>
  <r>
    <x v="2"/>
  </r>
  <r>
    <x v="1"/>
  </r>
  <r>
    <x v="1"/>
  </r>
  <r>
    <x v="1"/>
  </r>
  <r>
    <x v="1"/>
  </r>
  <r>
    <x v="1"/>
  </r>
  <r>
    <x v="1"/>
  </r>
  <r>
    <x v="1"/>
  </r>
  <r>
    <x v="1"/>
  </r>
  <r>
    <x v="1"/>
  </r>
  <r>
    <x v="1"/>
  </r>
  <r>
    <x v="1"/>
  </r>
  <r>
    <x v="1"/>
  </r>
  <r>
    <x v="1"/>
  </r>
  <r>
    <x v="1"/>
  </r>
  <r>
    <x v="1"/>
  </r>
  <r>
    <x v="1"/>
  </r>
  <r>
    <x v="1"/>
  </r>
  <r>
    <x v="1"/>
  </r>
  <r>
    <x v="1"/>
  </r>
  <r>
    <x v="1"/>
  </r>
  <r>
    <x v="1"/>
  </r>
  <r>
    <x v="1"/>
  </r>
  <r>
    <x v="2"/>
  </r>
  <r>
    <x v="2"/>
  </r>
  <r>
    <x v="1"/>
  </r>
  <r>
    <x v="1"/>
  </r>
  <r>
    <x v="1"/>
  </r>
  <r>
    <x v="1"/>
  </r>
  <r>
    <x v="1"/>
  </r>
  <r>
    <x v="1"/>
  </r>
  <r>
    <x v="1"/>
  </r>
  <r>
    <x v="1"/>
  </r>
  <r>
    <x v="1"/>
  </r>
  <r>
    <x v="1"/>
  </r>
  <r>
    <x v="1"/>
  </r>
  <r>
    <x v="1"/>
  </r>
  <r>
    <x v="1"/>
  </r>
  <r>
    <x v="1"/>
  </r>
  <r>
    <x v="1"/>
  </r>
  <r>
    <x v="1"/>
  </r>
  <r>
    <x v="1"/>
  </r>
  <r>
    <x v="1"/>
  </r>
  <r>
    <x v="1"/>
  </r>
  <r>
    <x v="0"/>
  </r>
  <r>
    <x v="1"/>
  </r>
  <r>
    <x v="1"/>
  </r>
  <r>
    <x v="3"/>
  </r>
  <r>
    <x v="1"/>
  </r>
  <r>
    <x v="1"/>
  </r>
  <r>
    <x v="1"/>
  </r>
  <r>
    <x v="1"/>
  </r>
  <r>
    <x v="1"/>
  </r>
  <r>
    <x v="1"/>
  </r>
  <r>
    <x v="3"/>
  </r>
  <r>
    <x v="0"/>
  </r>
  <r>
    <x v="1"/>
  </r>
  <r>
    <x v="1"/>
  </r>
  <r>
    <x v="1"/>
  </r>
  <r>
    <x v="1"/>
  </r>
  <r>
    <x v="1"/>
  </r>
  <r>
    <x v="0"/>
  </r>
  <r>
    <x v="1"/>
  </r>
  <r>
    <x v="1"/>
  </r>
  <r>
    <x v="1"/>
  </r>
  <r>
    <x v="0"/>
  </r>
  <r>
    <x v="1"/>
  </r>
  <r>
    <x v="1"/>
  </r>
  <r>
    <x v="1"/>
  </r>
  <r>
    <x v="1"/>
  </r>
  <r>
    <x v="1"/>
  </r>
  <r>
    <x v="1"/>
  </r>
  <r>
    <x v="1"/>
  </r>
  <r>
    <x v="1"/>
  </r>
  <r>
    <x v="1"/>
  </r>
  <r>
    <x v="1"/>
  </r>
  <r>
    <x v="1"/>
  </r>
  <r>
    <x v="1"/>
  </r>
  <r>
    <x v="1"/>
  </r>
  <r>
    <x v="1"/>
  </r>
  <r>
    <x v="1"/>
  </r>
  <r>
    <x v="2"/>
  </r>
  <r>
    <x v="1"/>
  </r>
  <r>
    <x v="3"/>
  </r>
  <r>
    <x v="1"/>
  </r>
  <r>
    <x v="1"/>
  </r>
  <r>
    <x v="1"/>
  </r>
  <r>
    <x v="1"/>
  </r>
  <r>
    <x v="1"/>
  </r>
  <r>
    <x v="1"/>
  </r>
  <r>
    <x v="1"/>
  </r>
  <r>
    <x v="1"/>
  </r>
  <r>
    <x v="1"/>
  </r>
  <r>
    <x v="1"/>
  </r>
  <r>
    <x v="1"/>
  </r>
  <r>
    <x v="1"/>
  </r>
  <r>
    <x v="0"/>
  </r>
  <r>
    <x v="1"/>
  </r>
  <r>
    <x v="1"/>
  </r>
  <r>
    <x v="1"/>
  </r>
  <r>
    <x v="2"/>
  </r>
  <r>
    <x v="1"/>
  </r>
  <r>
    <x v="2"/>
  </r>
  <r>
    <x v="1"/>
  </r>
  <r>
    <x v="1"/>
  </r>
  <r>
    <x v="1"/>
  </r>
  <r>
    <x v="1"/>
  </r>
  <r>
    <x v="1"/>
  </r>
  <r>
    <x v="1"/>
  </r>
  <r>
    <x v="1"/>
  </r>
  <r>
    <x v="1"/>
  </r>
  <r>
    <x v="1"/>
  </r>
  <r>
    <x v="1"/>
  </r>
  <r>
    <x v="1"/>
  </r>
  <r>
    <x v="1"/>
  </r>
  <r>
    <x v="1"/>
  </r>
  <r>
    <x v="1"/>
  </r>
  <r>
    <x v="1"/>
  </r>
  <r>
    <x v="1"/>
  </r>
  <r>
    <x v="1"/>
  </r>
  <r>
    <x v="1"/>
  </r>
  <r>
    <x v="1"/>
  </r>
  <r>
    <x v="1"/>
  </r>
  <r>
    <x v="1"/>
  </r>
  <r>
    <x v="1"/>
  </r>
  <r>
    <x v="1"/>
  </r>
  <r>
    <x v="1"/>
  </r>
  <r>
    <x v="1"/>
  </r>
  <r>
    <x v="1"/>
  </r>
  <r>
    <x v="0"/>
  </r>
  <r>
    <x v="1"/>
  </r>
  <r>
    <x v="0"/>
  </r>
  <r>
    <x v="1"/>
  </r>
  <r>
    <x v="1"/>
  </r>
  <r>
    <x v="1"/>
  </r>
  <r>
    <x v="1"/>
  </r>
  <r>
    <x v="1"/>
  </r>
  <r>
    <x v="1"/>
  </r>
  <r>
    <x v="1"/>
  </r>
  <r>
    <x v="1"/>
  </r>
  <r>
    <x v="1"/>
  </r>
  <r>
    <x v="1"/>
  </r>
  <r>
    <x v="1"/>
  </r>
  <r>
    <x v="1"/>
  </r>
  <r>
    <x v="1"/>
  </r>
  <r>
    <x v="1"/>
  </r>
  <r>
    <x v="0"/>
  </r>
  <r>
    <x v="1"/>
  </r>
  <r>
    <x v="3"/>
  </r>
  <r>
    <x v="1"/>
  </r>
  <r>
    <x v="1"/>
  </r>
  <r>
    <x v="1"/>
  </r>
  <r>
    <x v="1"/>
  </r>
  <r>
    <x v="1"/>
  </r>
  <r>
    <x v="1"/>
  </r>
  <r>
    <x v="1"/>
  </r>
  <r>
    <x v="1"/>
  </r>
  <r>
    <x v="1"/>
  </r>
  <r>
    <x v="0"/>
  </r>
  <r>
    <x v="1"/>
  </r>
  <r>
    <x v="1"/>
  </r>
  <r>
    <x v="1"/>
  </r>
  <r>
    <x v="1"/>
  </r>
  <r>
    <x v="1"/>
  </r>
  <r>
    <x v="1"/>
  </r>
  <r>
    <x v="2"/>
  </r>
  <r>
    <x v="1"/>
  </r>
  <r>
    <x v="1"/>
  </r>
  <r>
    <x v="1"/>
  </r>
  <r>
    <x v="1"/>
  </r>
  <r>
    <x v="1"/>
  </r>
  <r>
    <x v="1"/>
  </r>
  <r>
    <x v="2"/>
  </r>
  <r>
    <x v="1"/>
  </r>
  <r>
    <x v="1"/>
  </r>
  <r>
    <x v="1"/>
  </r>
  <r>
    <x v="1"/>
  </r>
  <r>
    <x v="2"/>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3"/>
  </r>
  <r>
    <x v="2"/>
  </r>
  <r>
    <x v="3"/>
  </r>
  <r>
    <x v="1"/>
  </r>
  <r>
    <x v="3"/>
  </r>
  <r>
    <x v="1"/>
  </r>
  <r>
    <x v="3"/>
  </r>
  <r>
    <x v="1"/>
  </r>
  <r>
    <x v="3"/>
  </r>
  <r>
    <x v="0"/>
  </r>
  <r>
    <x v="3"/>
  </r>
  <r>
    <x v="1"/>
  </r>
  <r>
    <x v="3"/>
  </r>
  <r>
    <x v="2"/>
  </r>
  <r>
    <x v="0"/>
  </r>
  <r>
    <x v="3"/>
  </r>
  <r>
    <x v="1"/>
  </r>
  <r>
    <x v="3"/>
  </r>
  <r>
    <x v="1"/>
  </r>
  <r>
    <x v="3"/>
  </r>
  <r>
    <x v="2"/>
  </r>
  <r>
    <x v="3"/>
  </r>
  <r>
    <x v="0"/>
  </r>
  <r>
    <x v="0"/>
  </r>
  <r>
    <x v="3"/>
  </r>
  <r>
    <x v="1"/>
  </r>
  <r>
    <x v="3"/>
  </r>
  <r>
    <x v="0"/>
  </r>
  <r>
    <x v="1"/>
  </r>
  <r>
    <x v="3"/>
  </r>
  <r>
    <x v="1"/>
  </r>
  <r>
    <x v="1"/>
  </r>
  <r>
    <x v="3"/>
  </r>
  <r>
    <x v="0"/>
  </r>
  <r>
    <x v="3"/>
  </r>
  <r>
    <x v="1"/>
  </r>
  <r>
    <x v="3"/>
  </r>
  <r>
    <x v="0"/>
  </r>
  <r>
    <x v="1"/>
  </r>
  <r>
    <x v="3"/>
  </r>
  <r>
    <x v="2"/>
  </r>
  <r>
    <x v="3"/>
  </r>
  <r>
    <x v="0"/>
  </r>
  <r>
    <x v="3"/>
  </r>
  <r>
    <x v="1"/>
  </r>
  <r>
    <x v="3"/>
  </r>
  <r>
    <x v="1"/>
  </r>
  <r>
    <x v="1"/>
  </r>
  <r>
    <x v="3"/>
  </r>
  <r>
    <x v="0"/>
  </r>
  <r>
    <x v="3"/>
  </r>
  <r>
    <x v="0"/>
  </r>
  <r>
    <x v="3"/>
  </r>
</pivotCacheRecords>
</file>

<file path=xl/pivotCache/pivotCacheRecords11.xml><?xml version="1.0" encoding="utf-8"?>
<pivotCacheRecords xmlns="http://schemas.openxmlformats.org/spreadsheetml/2006/main" xmlns:r="http://schemas.openxmlformats.org/officeDocument/2006/relationships" count="547">
  <r>
    <x v="0"/>
  </r>
  <r>
    <x v="1"/>
  </r>
  <r>
    <x v="1"/>
  </r>
  <r>
    <x v="1"/>
  </r>
  <r>
    <x v="1"/>
  </r>
  <r>
    <x v="1"/>
  </r>
  <r>
    <x v="1"/>
  </r>
  <r>
    <x v="1"/>
  </r>
  <r>
    <x v="1"/>
  </r>
  <r>
    <x v="1"/>
  </r>
  <r>
    <x v="0"/>
  </r>
  <r>
    <x v="1"/>
  </r>
  <r>
    <x v="1"/>
  </r>
  <r>
    <x v="1"/>
  </r>
  <r>
    <x v="1"/>
  </r>
  <r>
    <x v="1"/>
  </r>
  <r>
    <x v="1"/>
  </r>
  <r>
    <x v="1"/>
  </r>
  <r>
    <x v="1"/>
  </r>
  <r>
    <x v="1"/>
  </r>
  <r>
    <x v="1"/>
  </r>
  <r>
    <x v="1"/>
  </r>
  <r>
    <x v="1"/>
  </r>
  <r>
    <x v="1"/>
  </r>
  <r>
    <x v="1"/>
  </r>
  <r>
    <x v="1"/>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0"/>
  </r>
  <r>
    <x v="1"/>
  </r>
  <r>
    <x v="0"/>
  </r>
  <r>
    <x v="0"/>
  </r>
  <r>
    <x v="0"/>
  </r>
  <r>
    <x v="0"/>
  </r>
  <r>
    <x v="1"/>
  </r>
  <r>
    <x v="1"/>
  </r>
  <r>
    <x v="1"/>
  </r>
  <r>
    <x v="1"/>
  </r>
  <r>
    <x v="1"/>
  </r>
  <r>
    <x v="1"/>
  </r>
  <r>
    <x v="1"/>
  </r>
  <r>
    <x v="1"/>
  </r>
  <r>
    <x v="1"/>
  </r>
  <r>
    <x v="1"/>
  </r>
  <r>
    <x v="1"/>
  </r>
  <r>
    <x v="1"/>
  </r>
  <r>
    <x v="1"/>
  </r>
  <r>
    <x v="1"/>
  </r>
  <r>
    <x v="1"/>
  </r>
  <r>
    <x v="1"/>
  </r>
  <r>
    <x v="1"/>
  </r>
  <r>
    <x v="1"/>
  </r>
  <r>
    <x v="1"/>
  </r>
  <r>
    <x v="1"/>
  </r>
  <r>
    <x v="1"/>
  </r>
  <r>
    <x v="1"/>
  </r>
  <r>
    <x v="1"/>
  </r>
  <r>
    <x v="1"/>
  </r>
  <r>
    <x v="1"/>
  </r>
  <r>
    <x v="2"/>
  </r>
  <r>
    <x v="1"/>
  </r>
  <r>
    <x v="1"/>
  </r>
  <r>
    <x v="1"/>
  </r>
  <r>
    <x v="1"/>
  </r>
  <r>
    <x v="1"/>
  </r>
  <r>
    <x v="1"/>
  </r>
  <r>
    <x v="1"/>
  </r>
  <r>
    <x v="1"/>
  </r>
  <r>
    <x v="1"/>
  </r>
  <r>
    <x v="1"/>
  </r>
  <r>
    <x v="1"/>
  </r>
  <r>
    <x v="1"/>
  </r>
  <r>
    <x v="0"/>
  </r>
  <r>
    <x v="0"/>
  </r>
  <r>
    <x v="1"/>
  </r>
  <r>
    <x v="1"/>
  </r>
  <r>
    <x v="1"/>
  </r>
  <r>
    <x v="1"/>
  </r>
  <r>
    <x v="1"/>
  </r>
  <r>
    <x v="1"/>
  </r>
  <r>
    <x v="1"/>
  </r>
  <r>
    <x v="1"/>
  </r>
  <r>
    <x v="1"/>
  </r>
  <r>
    <x v="0"/>
  </r>
  <r>
    <x v="1"/>
  </r>
  <r>
    <x v="1"/>
  </r>
  <r>
    <x v="1"/>
  </r>
  <r>
    <x v="1"/>
  </r>
  <r>
    <x v="1"/>
  </r>
  <r>
    <x v="1"/>
  </r>
  <r>
    <x v="1"/>
  </r>
  <r>
    <x v="1"/>
  </r>
  <r>
    <x v="1"/>
  </r>
  <r>
    <x v="1"/>
  </r>
  <r>
    <x v="1"/>
  </r>
  <r>
    <x v="1"/>
  </r>
  <r>
    <x v="1"/>
  </r>
  <r>
    <x v="1"/>
  </r>
  <r>
    <x v="1"/>
  </r>
  <r>
    <x v="1"/>
  </r>
  <r>
    <x v="1"/>
  </r>
  <r>
    <x v="1"/>
  </r>
  <r>
    <x v="0"/>
  </r>
  <r>
    <x v="0"/>
  </r>
  <r>
    <x v="1"/>
  </r>
  <r>
    <x v="0"/>
  </r>
  <r>
    <x v="0"/>
  </r>
  <r>
    <x v="0"/>
  </r>
  <r>
    <x v="0"/>
  </r>
  <r>
    <x v="1"/>
  </r>
  <r>
    <x v="0"/>
  </r>
  <r>
    <x v="0"/>
  </r>
  <r>
    <x v="1"/>
  </r>
  <r>
    <x v="1"/>
  </r>
  <r>
    <x v="0"/>
  </r>
  <r>
    <x v="1"/>
  </r>
  <r>
    <x v="0"/>
  </r>
  <r>
    <x v="1"/>
  </r>
  <r>
    <x v="0"/>
  </r>
  <r>
    <x v="1"/>
  </r>
  <r>
    <x v="0"/>
  </r>
  <r>
    <x v="0"/>
  </r>
  <r>
    <x v="1"/>
  </r>
  <r>
    <x v="1"/>
  </r>
  <r>
    <x v="0"/>
  </r>
  <r>
    <x v="0"/>
  </r>
  <r>
    <x v="0"/>
  </r>
  <r>
    <x v="0"/>
  </r>
  <r>
    <x v="0"/>
  </r>
  <r>
    <x v="1"/>
  </r>
  <r>
    <x v="1"/>
  </r>
  <r>
    <x v="0"/>
  </r>
  <r>
    <x v="1"/>
  </r>
  <r>
    <x v="0"/>
  </r>
  <r>
    <x v="2"/>
  </r>
  <r>
    <x v="1"/>
  </r>
  <r>
    <x v="2"/>
  </r>
  <r>
    <x v="0"/>
  </r>
  <r>
    <x v="1"/>
  </r>
  <r>
    <x v="0"/>
  </r>
  <r>
    <x v="0"/>
  </r>
  <r>
    <x v="1"/>
  </r>
  <r>
    <x v="0"/>
  </r>
  <r>
    <x v="0"/>
  </r>
  <r>
    <x v="0"/>
  </r>
  <r>
    <x v="1"/>
  </r>
  <r>
    <x v="0"/>
  </r>
  <r>
    <x v="1"/>
  </r>
  <r>
    <x v="1"/>
  </r>
  <r>
    <x v="1"/>
  </r>
  <r>
    <x v="1"/>
  </r>
  <r>
    <x v="1"/>
  </r>
  <r>
    <x v="1"/>
  </r>
  <r>
    <x v="0"/>
  </r>
  <r>
    <x v="1"/>
  </r>
  <r>
    <x v="1"/>
  </r>
  <r>
    <x v="1"/>
  </r>
  <r>
    <x v="0"/>
  </r>
  <r>
    <x v="1"/>
  </r>
  <r>
    <x v="0"/>
  </r>
  <r>
    <x v="1"/>
  </r>
  <r>
    <x v="1"/>
  </r>
  <r>
    <x v="0"/>
  </r>
  <r>
    <x v="1"/>
  </r>
  <r>
    <x v="1"/>
  </r>
  <r>
    <x v="1"/>
  </r>
  <r>
    <x v="1"/>
  </r>
  <r>
    <x v="1"/>
  </r>
  <r>
    <x v="0"/>
  </r>
  <r>
    <x v="1"/>
  </r>
  <r>
    <x v="1"/>
  </r>
  <r>
    <x v="1"/>
  </r>
  <r>
    <x v="1"/>
  </r>
  <r>
    <x v="1"/>
  </r>
  <r>
    <x v="1"/>
  </r>
  <r>
    <x v="0"/>
  </r>
  <r>
    <x v="1"/>
  </r>
  <r>
    <x v="1"/>
  </r>
  <r>
    <x v="1"/>
  </r>
  <r>
    <x v="1"/>
  </r>
  <r>
    <x v="0"/>
  </r>
  <r>
    <x v="1"/>
  </r>
  <r>
    <x v="1"/>
  </r>
  <r>
    <x v="1"/>
  </r>
  <r>
    <x v="1"/>
  </r>
  <r>
    <x v="0"/>
  </r>
  <r>
    <x v="1"/>
  </r>
  <r>
    <x v="1"/>
  </r>
  <r>
    <x v="1"/>
  </r>
  <r>
    <x v="1"/>
  </r>
  <r>
    <x v="1"/>
  </r>
  <r>
    <x v="0"/>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0"/>
  </r>
  <r>
    <x v="1"/>
  </r>
  <r>
    <x v="1"/>
  </r>
  <r>
    <x v="1"/>
  </r>
  <r>
    <x v="0"/>
  </r>
  <r>
    <x v="1"/>
  </r>
  <r>
    <x v="1"/>
  </r>
  <r>
    <x v="1"/>
  </r>
  <r>
    <x v="1"/>
  </r>
  <r>
    <x v="1"/>
  </r>
  <r>
    <x v="1"/>
  </r>
  <r>
    <x v="0"/>
  </r>
  <r>
    <x v="1"/>
  </r>
  <r>
    <x v="1"/>
  </r>
  <r>
    <x v="1"/>
  </r>
  <r>
    <x v="1"/>
  </r>
  <r>
    <x v="1"/>
  </r>
  <r>
    <x v="1"/>
  </r>
  <r>
    <x v="1"/>
  </r>
  <r>
    <x v="1"/>
  </r>
  <r>
    <x v="1"/>
  </r>
  <r>
    <x v="1"/>
  </r>
  <r>
    <x v="1"/>
  </r>
  <r>
    <x v="1"/>
  </r>
  <r>
    <x v="1"/>
  </r>
  <r>
    <x v="1"/>
  </r>
  <r>
    <x v="1"/>
  </r>
  <r>
    <x v="1"/>
  </r>
  <r>
    <x v="1"/>
  </r>
  <r>
    <x v="1"/>
  </r>
  <r>
    <x v="1"/>
  </r>
  <r>
    <x v="1"/>
  </r>
  <r>
    <x v="1"/>
  </r>
  <r>
    <x v="1"/>
  </r>
  <r>
    <x v="0"/>
  </r>
  <r>
    <x v="0"/>
  </r>
  <r>
    <x v="1"/>
  </r>
  <r>
    <x v="1"/>
  </r>
  <r>
    <x v="1"/>
  </r>
  <r>
    <x v="1"/>
  </r>
  <r>
    <x v="1"/>
  </r>
  <r>
    <x v="1"/>
  </r>
  <r>
    <x v="1"/>
  </r>
  <r>
    <x v="1"/>
  </r>
  <r>
    <x v="1"/>
  </r>
  <r>
    <x v="1"/>
  </r>
  <r>
    <x v="1"/>
  </r>
  <r>
    <x v="1"/>
  </r>
  <r>
    <x v="1"/>
  </r>
  <r>
    <x v="1"/>
  </r>
  <r>
    <x v="1"/>
  </r>
  <r>
    <x v="1"/>
  </r>
  <r>
    <x v="1"/>
  </r>
  <r>
    <x v="1"/>
  </r>
  <r>
    <x v="1"/>
  </r>
  <r>
    <x v="1"/>
  </r>
  <r>
    <x v="1"/>
  </r>
  <r>
    <x v="1"/>
  </r>
  <r>
    <x v="3"/>
  </r>
  <r>
    <x v="1"/>
  </r>
  <r>
    <x v="1"/>
  </r>
  <r>
    <x v="1"/>
  </r>
  <r>
    <x v="1"/>
  </r>
  <r>
    <x v="1"/>
  </r>
  <r>
    <x v="1"/>
  </r>
  <r>
    <x v="3"/>
  </r>
  <r>
    <x v="1"/>
  </r>
  <r>
    <x v="1"/>
  </r>
  <r>
    <x v="1"/>
  </r>
  <r>
    <x v="1"/>
  </r>
  <r>
    <x v="1"/>
  </r>
  <r>
    <x v="1"/>
  </r>
  <r>
    <x v="1"/>
  </r>
  <r>
    <x v="1"/>
  </r>
  <r>
    <x v="1"/>
  </r>
  <r>
    <x v="1"/>
  </r>
  <r>
    <x v="1"/>
  </r>
  <r>
    <x v="1"/>
  </r>
  <r>
    <x v="1"/>
  </r>
  <r>
    <x v="1"/>
  </r>
  <r>
    <x v="1"/>
  </r>
  <r>
    <x v="1"/>
  </r>
  <r>
    <x v="1"/>
  </r>
  <r>
    <x v="1"/>
  </r>
  <r>
    <x v="1"/>
  </r>
  <r>
    <x v="1"/>
  </r>
  <r>
    <x v="1"/>
  </r>
  <r>
    <x v="1"/>
  </r>
  <r>
    <x v="1"/>
  </r>
  <r>
    <x v="1"/>
  </r>
  <r>
    <x v="1"/>
  </r>
  <r>
    <x v="1"/>
  </r>
  <r>
    <x v="0"/>
  </r>
  <r>
    <x v="1"/>
  </r>
  <r>
    <x v="3"/>
  </r>
  <r>
    <x v="1"/>
  </r>
  <r>
    <x v="1"/>
  </r>
  <r>
    <x v="1"/>
  </r>
  <r>
    <x v="1"/>
  </r>
  <r>
    <x v="1"/>
  </r>
  <r>
    <x v="1"/>
  </r>
  <r>
    <x v="1"/>
  </r>
  <r>
    <x v="1"/>
  </r>
  <r>
    <x v="1"/>
  </r>
  <r>
    <x v="1"/>
  </r>
  <r>
    <x v="1"/>
  </r>
  <r>
    <x v="1"/>
  </r>
  <r>
    <x v="1"/>
  </r>
  <r>
    <x v="1"/>
  </r>
  <r>
    <x v="1"/>
  </r>
  <r>
    <x v="1"/>
  </r>
  <r>
    <x v="0"/>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3"/>
  </r>
  <r>
    <x v="1"/>
  </r>
  <r>
    <x v="1"/>
  </r>
  <r>
    <x v="1"/>
  </r>
  <r>
    <x v="1"/>
  </r>
  <r>
    <x v="1"/>
  </r>
  <r>
    <x v="1"/>
  </r>
  <r>
    <x v="1"/>
  </r>
  <r>
    <x v="1"/>
  </r>
  <r>
    <x v="1"/>
  </r>
  <r>
    <x v="1"/>
  </r>
  <r>
    <x v="1"/>
  </r>
  <r>
    <x v="1"/>
  </r>
  <r>
    <x v="1"/>
  </r>
  <r>
    <x v="1"/>
  </r>
  <r>
    <x v="1"/>
  </r>
  <r>
    <x v="1"/>
  </r>
  <r>
    <x v="0"/>
  </r>
  <r>
    <x v="1"/>
  </r>
  <r>
    <x v="1"/>
  </r>
  <r>
    <x v="1"/>
  </r>
  <r>
    <x v="1"/>
  </r>
  <r>
    <x v="1"/>
  </r>
  <r>
    <x v="1"/>
  </r>
  <r>
    <x v="0"/>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3"/>
  </r>
  <r>
    <x v="0"/>
  </r>
  <r>
    <x v="3"/>
  </r>
  <r>
    <x v="1"/>
  </r>
  <r>
    <x v="3"/>
  </r>
  <r>
    <x v="1"/>
  </r>
  <r>
    <x v="3"/>
  </r>
  <r>
    <x v="1"/>
  </r>
  <r>
    <x v="3"/>
  </r>
  <r>
    <x v="2"/>
  </r>
  <r>
    <x v="3"/>
  </r>
  <r>
    <x v="1"/>
  </r>
  <r>
    <x v="3"/>
  </r>
  <r>
    <x v="2"/>
  </r>
  <r>
    <x v="1"/>
  </r>
  <r>
    <x v="3"/>
  </r>
  <r>
    <x v="1"/>
  </r>
  <r>
    <x v="3"/>
  </r>
  <r>
    <x v="1"/>
  </r>
  <r>
    <x v="3"/>
  </r>
  <r>
    <x v="0"/>
  </r>
  <r>
    <x v="3"/>
  </r>
  <r>
    <x v="1"/>
  </r>
  <r>
    <x v="1"/>
  </r>
  <r>
    <x v="3"/>
  </r>
  <r>
    <x v="2"/>
  </r>
  <r>
    <x v="3"/>
  </r>
  <r>
    <x v="1"/>
  </r>
  <r>
    <x v="1"/>
  </r>
  <r>
    <x v="3"/>
  </r>
  <r>
    <x v="1"/>
  </r>
  <r>
    <x v="1"/>
  </r>
  <r>
    <x v="3"/>
  </r>
  <r>
    <x v="1"/>
  </r>
  <r>
    <x v="3"/>
  </r>
  <r>
    <x v="1"/>
  </r>
  <r>
    <x v="3"/>
  </r>
  <r>
    <x v="1"/>
  </r>
  <r>
    <x v="1"/>
  </r>
  <r>
    <x v="3"/>
  </r>
  <r>
    <x v="0"/>
  </r>
  <r>
    <x v="3"/>
  </r>
  <r>
    <x v="1"/>
  </r>
  <r>
    <x v="3"/>
  </r>
  <r>
    <x v="1"/>
  </r>
  <r>
    <x v="3"/>
  </r>
  <r>
    <x v="1"/>
  </r>
  <r>
    <x v="1"/>
  </r>
  <r>
    <x v="3"/>
  </r>
  <r>
    <x v="2"/>
  </r>
  <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name="PivotTable30"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11" firstHeaderRow="1" firstDataRow="1" firstDataCol="1"/>
  <pivotFields count="1">
    <pivotField axis="axisRow" dataField="1" compact="0" sortType="descending" multipleItemSelectionAllowed="1" showAll="0">
      <items count="9">
        <item x="0"/>
        <item x="4"/>
        <item x="6"/>
        <item x="1"/>
        <item x="2"/>
        <item x="3"/>
        <item x="5"/>
        <item h="1" x="7"/>
        <item t="default"/>
      </items>
      <autoSortScope>
        <pivotArea fieldPosition="0">
          <references count="1">
            <reference field="4294967294" count="1" selected="0">
              <x v="0"/>
            </reference>
          </references>
        </pivotArea>
      </autoSortScope>
    </pivotField>
  </pivotFields>
  <rowFields count="1">
    <field x="0"/>
  </rowFields>
  <rowItems count="8">
    <i>
      <x/>
    </i>
    <i>
      <x v="5"/>
    </i>
    <i>
      <x v="3"/>
    </i>
    <i>
      <x v="1"/>
    </i>
    <i>
      <x v="6"/>
    </i>
    <i>
      <x v="2"/>
    </i>
    <i>
      <x v="4"/>
    </i>
    <i t="grand">
      <x/>
    </i>
  </rowItems>
  <colItems count="1">
    <i/>
  </colItems>
  <dataFields count="1">
    <dataField name="Count of Peer support"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1" cacheId="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11" firstHeaderRow="1" firstDataRow="1" firstDataCol="1"/>
  <pivotFields count="1">
    <pivotField axis="axisRow" dataField="1" compact="0" sortType="descending" multipleItemSelectionAllowed="1" showAll="0">
      <items count="9">
        <item x="1"/>
        <item x="2"/>
        <item x="5"/>
        <item x="0"/>
        <item x="6"/>
        <item x="3"/>
        <item x="4"/>
        <item h="1" x="7"/>
        <item t="default"/>
      </items>
      <autoSortScope>
        <pivotArea fieldPosition="0">
          <references count="1">
            <reference field="4294967294" count="1" selected="0">
              <x v="0"/>
            </reference>
          </references>
        </pivotArea>
      </autoSortScope>
    </pivotField>
  </pivotFields>
  <rowFields count="1">
    <field x="0"/>
  </rowFields>
  <rowItems count="8">
    <i>
      <x/>
    </i>
    <i>
      <x v="5"/>
    </i>
    <i>
      <x v="3"/>
    </i>
    <i>
      <x v="1"/>
    </i>
    <i>
      <x v="6"/>
    </i>
    <i>
      <x v="2"/>
    </i>
    <i>
      <x v="4"/>
    </i>
    <i t="grand">
      <x/>
    </i>
  </rowItems>
  <colItems count="1">
    <i/>
  </colItems>
  <dataFields count="1">
    <dataField name="Count of Kept informe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2" cacheId="2"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11" firstHeaderRow="1" firstDataRow="1" firstDataCol="1"/>
  <pivotFields count="1">
    <pivotField axis="axisRow" dataField="1" compact="0" multipleItemSelectionAllowed="1" showAll="0">
      <items count="9">
        <item x="0"/>
        <item x="2"/>
        <item x="5"/>
        <item x="1"/>
        <item x="6"/>
        <item x="4"/>
        <item x="3"/>
        <item h="1" x="7"/>
        <item t="default"/>
      </items>
    </pivotField>
  </pivotFields>
  <rowFields count="1">
    <field x="0"/>
  </rowFields>
  <rowItems count="8">
    <i>
      <x/>
    </i>
    <i>
      <x v="1"/>
    </i>
    <i>
      <x v="2"/>
    </i>
    <i>
      <x v="3"/>
    </i>
    <i>
      <x v="4"/>
    </i>
    <i>
      <x v="5"/>
    </i>
    <i>
      <x v="6"/>
    </i>
    <i t="grand">
      <x/>
    </i>
  </rowItems>
  <colItems count="1">
    <i/>
  </colItems>
  <dataFields count="1">
    <dataField name="Count of Information"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3" cacheId="3"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11" firstHeaderRow="1" firstDataRow="1" firstDataCol="1"/>
  <pivotFields count="1">
    <pivotField axis="axisRow" dataField="1" compact="0" sortType="descending" multipleItemSelectionAllowed="1" showAll="0">
      <items count="9">
        <item x="0"/>
        <item x="1"/>
        <item x="5"/>
        <item x="4"/>
        <item x="6"/>
        <item x="2"/>
        <item x="3"/>
        <item h="1" x="7"/>
        <item t="default"/>
      </items>
      <autoSortScope>
        <pivotArea fieldPosition="0">
          <references count="1">
            <reference field="4294967294" count="1" selected="0">
              <x v="0"/>
            </reference>
          </references>
        </pivotArea>
      </autoSortScope>
    </pivotField>
  </pivotFields>
  <rowFields count="1">
    <field x="0"/>
  </rowFields>
  <rowItems count="8">
    <i>
      <x/>
    </i>
    <i>
      <x v="5"/>
    </i>
    <i>
      <x v="3"/>
    </i>
    <i>
      <x v="6"/>
    </i>
    <i>
      <x v="1"/>
    </i>
    <i>
      <x v="2"/>
    </i>
    <i>
      <x v="4"/>
    </i>
    <i t="grand">
      <x/>
    </i>
  </rowItems>
  <colItems count="1">
    <i/>
  </colItems>
  <dataFields count="1">
    <dataField name="Count of My say"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4" cacheId="4"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11" firstHeaderRow="1" firstDataRow="1" firstDataCol="1"/>
  <pivotFields count="1">
    <pivotField axis="axisRow" dataField="1" compact="0" sortType="descending" multipleItemSelectionAllowed="1" showAll="0">
      <items count="9">
        <item x="1"/>
        <item x="2"/>
        <item x="5"/>
        <item x="0"/>
        <item x="6"/>
        <item x="4"/>
        <item x="3"/>
        <item h="1" x="7"/>
        <item t="default"/>
      </items>
      <autoSortScope>
        <pivotArea fieldPosition="0">
          <references count="1">
            <reference field="4294967294" count="1" selected="0">
              <x v="0"/>
            </reference>
          </references>
        </pivotArea>
      </autoSortScope>
    </pivotField>
  </pivotFields>
  <rowFields count="1">
    <field x="0"/>
  </rowFields>
  <rowItems count="8">
    <i>
      <x/>
    </i>
    <i>
      <x v="5"/>
    </i>
    <i>
      <x v="3"/>
    </i>
    <i>
      <x v="1"/>
    </i>
    <i>
      <x v="6"/>
    </i>
    <i>
      <x v="2"/>
    </i>
    <i>
      <x v="4"/>
    </i>
    <i t="grand">
      <x/>
    </i>
  </rowItems>
  <colItems count="1">
    <i/>
  </colItems>
  <dataFields count="1">
    <dataField name="Count of Communication"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5"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6" firstHeaderRow="1" firstDataRow="1" firstDataCol="1"/>
  <pivotFields count="1">
    <pivotField axis="axisRow" dataField="1" compact="0" multipleItemSelectionAllowed="1" showAll="0">
      <items count="4">
        <item x="1"/>
        <item x="0"/>
        <item h="1" x="2"/>
        <item t="default"/>
      </items>
    </pivotField>
  </pivotFields>
  <rowFields count="1">
    <field x="0"/>
  </rowFields>
  <rowItems count="3">
    <i>
      <x/>
    </i>
    <i>
      <x v="1"/>
    </i>
    <i t="grand">
      <x/>
    </i>
  </rowItems>
  <colItems count="1">
    <i/>
  </colItems>
  <dataFields count="1">
    <dataField name="Count of Gender"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6"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15" firstHeaderRow="1" firstDataRow="1" firstDataCol="1"/>
  <pivotFields count="1">
    <pivotField axis="axisRow" dataField="1" compact="0" sortType="descending" multipleItemSelectionAllowed="1" showAll="0">
      <items count="13">
        <item x="11"/>
        <item x="8"/>
        <item x="9"/>
        <item x="4"/>
        <item x="2"/>
        <item x="3"/>
        <item x="5"/>
        <item x="7"/>
        <item x="0"/>
        <item x="1"/>
        <item x="6"/>
        <item h="1" x="10"/>
        <item t="default"/>
      </items>
      <autoSortScope>
        <pivotArea fieldPosition="0">
          <references count="1">
            <reference field="4294967294" count="1" selected="0">
              <x v="0"/>
            </reference>
          </references>
        </pivotArea>
      </autoSortScope>
    </pivotField>
  </pivotFields>
  <rowFields count="1">
    <field x="0"/>
  </rowFields>
  <rowItems count="12">
    <i>
      <x v="9"/>
    </i>
    <i>
      <x v="8"/>
    </i>
    <i>
      <x v="7"/>
    </i>
    <i>
      <x v="6"/>
    </i>
    <i>
      <x v="5"/>
    </i>
    <i>
      <x v="2"/>
    </i>
    <i>
      <x v="4"/>
    </i>
    <i>
      <x v="1"/>
    </i>
    <i>
      <x v="3"/>
    </i>
    <i>
      <x v="10"/>
    </i>
    <i>
      <x/>
    </i>
    <i t="grand">
      <x/>
    </i>
  </rowItems>
  <colItems count="1">
    <i/>
  </colItems>
  <dataFields count="1">
    <dataField name="Count of Age"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7"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7" firstHeaderRow="1" firstDataRow="1" firstDataCol="1"/>
  <pivotFields count="1">
    <pivotField axis="axisRow" dataField="1" compact="0" multipleItemSelectionAllowed="1" showAll="0">
      <items count="5">
        <item x="1"/>
        <item x="0"/>
        <item x="2"/>
        <item h="1" x="3"/>
        <item t="default"/>
      </items>
    </pivotField>
  </pivotFields>
  <rowFields count="1">
    <field x="0"/>
  </rowFields>
  <rowItems count="4">
    <i>
      <x/>
    </i>
    <i>
      <x v="1"/>
    </i>
    <i>
      <x v="2"/>
    </i>
    <i t="grand">
      <x/>
    </i>
  </rowItems>
  <colItems count="1">
    <i/>
  </colItems>
  <dataFields count="1">
    <dataField name="Count of Aboriginal"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8"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7" firstHeaderRow="1" firstDataRow="1" firstDataCol="1"/>
  <pivotFields count="1">
    <pivotField axis="axisRow" dataField="1" compact="0" multipleItemSelectionAllowed="1" showAll="0">
      <items count="5">
        <item x="1"/>
        <item x="0"/>
        <item x="2"/>
        <item h="1" x="3"/>
        <item t="default"/>
      </items>
    </pivotField>
  </pivotFields>
  <rowFields count="1">
    <field x="0"/>
  </rowFields>
  <rowItems count="4">
    <i>
      <x/>
    </i>
    <i>
      <x v="1"/>
    </i>
    <i>
      <x v="2"/>
    </i>
    <i t="grand">
      <x/>
    </i>
  </rowItems>
  <colItems count="1">
    <i/>
  </colItems>
  <dataFields count="1">
    <dataField name="Count of Disability"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9"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7" firstHeaderRow="1" firstDataRow="1" firstDataCol="1"/>
  <pivotFields count="1">
    <pivotField axis="axisRow" dataField="1" compact="0" multipleItemSelectionAllowed="1" showAll="0">
      <items count="5">
        <item x="1"/>
        <item x="2"/>
        <item x="0"/>
        <item h="1" x="3"/>
        <item t="default"/>
      </items>
    </pivotField>
  </pivotFields>
  <rowFields count="1">
    <field x="0"/>
  </rowFields>
  <rowItems count="4">
    <i>
      <x/>
    </i>
    <i>
      <x v="1"/>
    </i>
    <i>
      <x v="2"/>
    </i>
    <i t="grand">
      <x/>
    </i>
  </rowItems>
  <colItems count="1">
    <i/>
  </colItems>
  <dataFields count="1">
    <dataField name="Count of NESB"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6" cacheId="1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7" firstHeaderRow="1" firstDataRow="1" firstDataCol="1"/>
  <pivotFields count="1">
    <pivotField axis="axisRow" dataField="1" compact="0" multipleItemSelectionAllowed="1" showAll="0">
      <items count="5">
        <item x="1"/>
        <item x="0"/>
        <item x="2"/>
        <item h="1" x="3"/>
        <item t="default"/>
      </items>
    </pivotField>
  </pivotFields>
  <rowFields count="1">
    <field x="0"/>
  </rowFields>
  <rowItems count="4">
    <i>
      <x/>
    </i>
    <i>
      <x v="1"/>
    </i>
    <i>
      <x v="2"/>
    </i>
    <i t="grand">
      <x/>
    </i>
  </rowItems>
  <colItems count="1">
    <i/>
  </colItems>
  <dataFields count="1">
    <dataField name="Count of SouthNot StatedSea"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30"/>
  <sheetViews>
    <sheetView tabSelected="1" topLeftCell="D2" workbookViewId="0">
      <selection activeCell="B2" sqref="B2:M30"/>
    </sheetView>
  </sheetViews>
  <sheetFormatPr defaultColWidth="8.83333333333333" defaultRowHeight="13.8"/>
  <cols>
    <col min="1" max="1" width="2.66666666666667" customWidth="1"/>
    <col min="13" max="13" width="60.6666666666667" customWidth="1"/>
  </cols>
  <sheetData>
    <row r="2" spans="2:13">
      <c r="B2" s="29" t="s">
        <v>0</v>
      </c>
      <c r="C2" s="2"/>
      <c r="D2" s="2"/>
      <c r="E2" s="2"/>
      <c r="F2" s="2"/>
      <c r="G2" s="2"/>
      <c r="H2" s="2"/>
      <c r="I2" s="2"/>
      <c r="J2" s="2"/>
      <c r="K2" s="2"/>
      <c r="L2" s="2"/>
      <c r="M2" s="7"/>
    </row>
    <row r="3" spans="2:13">
      <c r="B3" s="3"/>
      <c r="C3" s="4"/>
      <c r="D3" s="4"/>
      <c r="E3" s="4"/>
      <c r="F3" s="4"/>
      <c r="G3" s="4"/>
      <c r="H3" s="4"/>
      <c r="I3" s="4"/>
      <c r="J3" s="4"/>
      <c r="K3" s="4"/>
      <c r="L3" s="4"/>
      <c r="M3" s="8"/>
    </row>
    <row r="4" spans="2:13">
      <c r="B4" s="3"/>
      <c r="C4" s="4"/>
      <c r="D4" s="4"/>
      <c r="E4" s="4"/>
      <c r="F4" s="4"/>
      <c r="G4" s="4"/>
      <c r="H4" s="4"/>
      <c r="I4" s="4"/>
      <c r="J4" s="4"/>
      <c r="K4" s="4"/>
      <c r="L4" s="4"/>
      <c r="M4" s="8"/>
    </row>
    <row r="5" spans="2:13">
      <c r="B5" s="3"/>
      <c r="C5" s="4"/>
      <c r="D5" s="4"/>
      <c r="E5" s="4"/>
      <c r="F5" s="4"/>
      <c r="G5" s="4"/>
      <c r="H5" s="4"/>
      <c r="I5" s="4"/>
      <c r="J5" s="4"/>
      <c r="K5" s="4"/>
      <c r="L5" s="4"/>
      <c r="M5" s="8"/>
    </row>
    <row r="6" spans="2:13">
      <c r="B6" s="3"/>
      <c r="C6" s="4"/>
      <c r="D6" s="4"/>
      <c r="E6" s="4"/>
      <c r="F6" s="4"/>
      <c r="G6" s="4"/>
      <c r="H6" s="4"/>
      <c r="I6" s="4"/>
      <c r="J6" s="4"/>
      <c r="K6" s="4"/>
      <c r="L6" s="4"/>
      <c r="M6" s="8"/>
    </row>
    <row r="7" spans="2:13">
      <c r="B7" s="3"/>
      <c r="C7" s="4"/>
      <c r="D7" s="4"/>
      <c r="E7" s="4"/>
      <c r="F7" s="4"/>
      <c r="G7" s="4"/>
      <c r="H7" s="4"/>
      <c r="I7" s="4"/>
      <c r="J7" s="4"/>
      <c r="K7" s="4"/>
      <c r="L7" s="4"/>
      <c r="M7" s="8"/>
    </row>
    <row r="8" spans="2:13">
      <c r="B8" s="3"/>
      <c r="C8" s="4"/>
      <c r="D8" s="4"/>
      <c r="E8" s="4"/>
      <c r="F8" s="4"/>
      <c r="G8" s="4"/>
      <c r="H8" s="4"/>
      <c r="I8" s="4"/>
      <c r="J8" s="4"/>
      <c r="K8" s="4"/>
      <c r="L8" s="4"/>
      <c r="M8" s="8"/>
    </row>
    <row r="9" spans="2:13">
      <c r="B9" s="3"/>
      <c r="C9" s="4"/>
      <c r="D9" s="4"/>
      <c r="E9" s="4"/>
      <c r="F9" s="4"/>
      <c r="G9" s="4"/>
      <c r="H9" s="4"/>
      <c r="I9" s="4"/>
      <c r="J9" s="4"/>
      <c r="K9" s="4"/>
      <c r="L9" s="4"/>
      <c r="M9" s="8"/>
    </row>
    <row r="10" spans="2:13">
      <c r="B10" s="3"/>
      <c r="C10" s="4"/>
      <c r="D10" s="4"/>
      <c r="E10" s="4"/>
      <c r="F10" s="4"/>
      <c r="G10" s="4"/>
      <c r="H10" s="4"/>
      <c r="I10" s="4"/>
      <c r="J10" s="4"/>
      <c r="K10" s="4"/>
      <c r="L10" s="4"/>
      <c r="M10" s="8"/>
    </row>
    <row r="11" spans="2:13">
      <c r="B11" s="3"/>
      <c r="C11" s="4"/>
      <c r="D11" s="4"/>
      <c r="E11" s="4"/>
      <c r="F11" s="4"/>
      <c r="G11" s="4"/>
      <c r="H11" s="4"/>
      <c r="I11" s="4"/>
      <c r="J11" s="4"/>
      <c r="K11" s="4"/>
      <c r="L11" s="4"/>
      <c r="M11" s="8"/>
    </row>
    <row r="12" spans="2:13">
      <c r="B12" s="3"/>
      <c r="C12" s="4"/>
      <c r="D12" s="4"/>
      <c r="E12" s="4"/>
      <c r="F12" s="4"/>
      <c r="G12" s="4"/>
      <c r="H12" s="4"/>
      <c r="I12" s="4"/>
      <c r="J12" s="4"/>
      <c r="K12" s="4"/>
      <c r="L12" s="4"/>
      <c r="M12" s="8"/>
    </row>
    <row r="13" spans="2:13">
      <c r="B13" s="3"/>
      <c r="C13" s="4"/>
      <c r="D13" s="4"/>
      <c r="E13" s="4"/>
      <c r="F13" s="4"/>
      <c r="G13" s="4"/>
      <c r="H13" s="4"/>
      <c r="I13" s="4"/>
      <c r="J13" s="4"/>
      <c r="K13" s="4"/>
      <c r="L13" s="4"/>
      <c r="M13" s="8"/>
    </row>
    <row r="14" spans="2:13">
      <c r="B14" s="3"/>
      <c r="C14" s="4"/>
      <c r="D14" s="4"/>
      <c r="E14" s="4"/>
      <c r="F14" s="4"/>
      <c r="G14" s="4"/>
      <c r="H14" s="4"/>
      <c r="I14" s="4"/>
      <c r="J14" s="4"/>
      <c r="K14" s="4"/>
      <c r="L14" s="4"/>
      <c r="M14" s="8"/>
    </row>
    <row r="15" spans="2:13">
      <c r="B15" s="3"/>
      <c r="C15" s="4"/>
      <c r="D15" s="4"/>
      <c r="E15" s="4"/>
      <c r="F15" s="4"/>
      <c r="G15" s="4"/>
      <c r="H15" s="4"/>
      <c r="I15" s="4"/>
      <c r="J15" s="4"/>
      <c r="K15" s="4"/>
      <c r="L15" s="4"/>
      <c r="M15" s="8"/>
    </row>
    <row r="16" spans="2:13">
      <c r="B16" s="3"/>
      <c r="C16" s="4"/>
      <c r="D16" s="4"/>
      <c r="E16" s="4"/>
      <c r="F16" s="4"/>
      <c r="G16" s="4"/>
      <c r="H16" s="4"/>
      <c r="I16" s="4"/>
      <c r="J16" s="4"/>
      <c r="K16" s="4"/>
      <c r="L16" s="4"/>
      <c r="M16" s="8"/>
    </row>
    <row r="17" spans="2:13">
      <c r="B17" s="3"/>
      <c r="C17" s="4"/>
      <c r="D17" s="4"/>
      <c r="E17" s="4"/>
      <c r="F17" s="4"/>
      <c r="G17" s="4"/>
      <c r="H17" s="4"/>
      <c r="I17" s="4"/>
      <c r="J17" s="4"/>
      <c r="K17" s="4"/>
      <c r="L17" s="4"/>
      <c r="M17" s="8"/>
    </row>
    <row r="18" spans="2:13">
      <c r="B18" s="3"/>
      <c r="C18" s="4"/>
      <c r="D18" s="4"/>
      <c r="E18" s="4"/>
      <c r="F18" s="4"/>
      <c r="G18" s="4"/>
      <c r="H18" s="4"/>
      <c r="I18" s="4"/>
      <c r="J18" s="4"/>
      <c r="K18" s="4"/>
      <c r="L18" s="4"/>
      <c r="M18" s="8"/>
    </row>
    <row r="19" spans="2:13">
      <c r="B19" s="3"/>
      <c r="C19" s="4"/>
      <c r="D19" s="4"/>
      <c r="E19" s="4"/>
      <c r="F19" s="4"/>
      <c r="G19" s="4"/>
      <c r="H19" s="4"/>
      <c r="I19" s="4"/>
      <c r="J19" s="4"/>
      <c r="K19" s="4"/>
      <c r="L19" s="4"/>
      <c r="M19" s="8"/>
    </row>
    <row r="20" spans="2:13">
      <c r="B20" s="3"/>
      <c r="C20" s="4"/>
      <c r="D20" s="4"/>
      <c r="E20" s="4"/>
      <c r="F20" s="4"/>
      <c r="G20" s="4"/>
      <c r="H20" s="4"/>
      <c r="I20" s="4"/>
      <c r="J20" s="4"/>
      <c r="K20" s="4"/>
      <c r="L20" s="4"/>
      <c r="M20" s="8"/>
    </row>
    <row r="21" spans="2:13">
      <c r="B21" s="3"/>
      <c r="C21" s="4"/>
      <c r="D21" s="4"/>
      <c r="E21" s="4"/>
      <c r="F21" s="4"/>
      <c r="G21" s="4"/>
      <c r="H21" s="4"/>
      <c r="I21" s="4"/>
      <c r="J21" s="4"/>
      <c r="K21" s="4"/>
      <c r="L21" s="4"/>
      <c r="M21" s="8"/>
    </row>
    <row r="22" spans="2:13">
      <c r="B22" s="3"/>
      <c r="C22" s="4"/>
      <c r="D22" s="4"/>
      <c r="E22" s="4"/>
      <c r="F22" s="4"/>
      <c r="G22" s="4"/>
      <c r="H22" s="4"/>
      <c r="I22" s="4"/>
      <c r="J22" s="4"/>
      <c r="K22" s="4"/>
      <c r="L22" s="4"/>
      <c r="M22" s="8"/>
    </row>
    <row r="23" spans="2:13">
      <c r="B23" s="3"/>
      <c r="C23" s="4"/>
      <c r="D23" s="4"/>
      <c r="E23" s="4"/>
      <c r="F23" s="4"/>
      <c r="G23" s="4"/>
      <c r="H23" s="4"/>
      <c r="I23" s="4"/>
      <c r="J23" s="4"/>
      <c r="K23" s="4"/>
      <c r="L23" s="4"/>
      <c r="M23" s="8"/>
    </row>
    <row r="24" spans="2:13">
      <c r="B24" s="3"/>
      <c r="C24" s="4"/>
      <c r="D24" s="4"/>
      <c r="E24" s="4"/>
      <c r="F24" s="4"/>
      <c r="G24" s="4"/>
      <c r="H24" s="4"/>
      <c r="I24" s="4"/>
      <c r="J24" s="4"/>
      <c r="K24" s="4"/>
      <c r="L24" s="4"/>
      <c r="M24" s="8"/>
    </row>
    <row r="25" spans="2:13">
      <c r="B25" s="3"/>
      <c r="C25" s="4"/>
      <c r="D25" s="4"/>
      <c r="E25" s="4"/>
      <c r="F25" s="4"/>
      <c r="G25" s="4"/>
      <c r="H25" s="4"/>
      <c r="I25" s="4"/>
      <c r="J25" s="4"/>
      <c r="K25" s="4"/>
      <c r="L25" s="4"/>
      <c r="M25" s="8"/>
    </row>
    <row r="26" spans="2:13">
      <c r="B26" s="3"/>
      <c r="C26" s="4"/>
      <c r="D26" s="4"/>
      <c r="E26" s="4"/>
      <c r="F26" s="4"/>
      <c r="G26" s="4"/>
      <c r="H26" s="4"/>
      <c r="I26" s="4"/>
      <c r="J26" s="4"/>
      <c r="K26" s="4"/>
      <c r="L26" s="4"/>
      <c r="M26" s="8"/>
    </row>
    <row r="27" spans="2:13">
      <c r="B27" s="3"/>
      <c r="C27" s="4"/>
      <c r="D27" s="4"/>
      <c r="E27" s="4"/>
      <c r="F27" s="4"/>
      <c r="G27" s="4"/>
      <c r="H27" s="4"/>
      <c r="I27" s="4"/>
      <c r="J27" s="4"/>
      <c r="K27" s="4"/>
      <c r="L27" s="4"/>
      <c r="M27" s="8"/>
    </row>
    <row r="28" spans="2:13">
      <c r="B28" s="3"/>
      <c r="C28" s="4"/>
      <c r="D28" s="4"/>
      <c r="E28" s="4"/>
      <c r="F28" s="4"/>
      <c r="G28" s="4"/>
      <c r="H28" s="4"/>
      <c r="I28" s="4"/>
      <c r="J28" s="4"/>
      <c r="K28" s="4"/>
      <c r="L28" s="4"/>
      <c r="M28" s="8"/>
    </row>
    <row r="29" spans="2:13">
      <c r="B29" s="3"/>
      <c r="C29" s="4"/>
      <c r="D29" s="4"/>
      <c r="E29" s="4"/>
      <c r="F29" s="4"/>
      <c r="G29" s="4"/>
      <c r="H29" s="4"/>
      <c r="I29" s="4"/>
      <c r="J29" s="4"/>
      <c r="K29" s="4"/>
      <c r="L29" s="4"/>
      <c r="M29" s="8"/>
    </row>
    <row r="30" ht="14.55" spans="2:13">
      <c r="B30" s="5"/>
      <c r="C30" s="6"/>
      <c r="D30" s="6"/>
      <c r="E30" s="6"/>
      <c r="F30" s="6"/>
      <c r="G30" s="6"/>
      <c r="H30" s="6"/>
      <c r="I30" s="6"/>
      <c r="J30" s="6"/>
      <c r="K30" s="6"/>
      <c r="L30" s="6"/>
      <c r="M30" s="9"/>
    </row>
  </sheetData>
  <mergeCells count="1">
    <mergeCell ref="B2:M3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65"/>
  <sheetViews>
    <sheetView workbookViewId="0">
      <selection activeCell="B54" sqref="B54"/>
    </sheetView>
  </sheetViews>
  <sheetFormatPr defaultColWidth="8.83333333333333" defaultRowHeight="13.8" outlineLevelCol="3"/>
  <cols>
    <col min="3" max="3" width="100.8" customWidth="1"/>
  </cols>
  <sheetData>
    <row r="2" ht="17.4" spans="2:2">
      <c r="B2" s="27" t="s">
        <v>1</v>
      </c>
    </row>
    <row r="4" ht="15.6" spans="2:2">
      <c r="B4" s="28" t="s">
        <v>2</v>
      </c>
    </row>
    <row r="5" spans="2:3">
      <c r="B5" s="25"/>
      <c r="C5" s="25" t="s">
        <v>3</v>
      </c>
    </row>
    <row r="6" spans="3:3">
      <c r="C6" s="25" t="s">
        <v>4</v>
      </c>
    </row>
    <row r="7" spans="3:3">
      <c r="C7" s="25" t="s">
        <v>5</v>
      </c>
    </row>
    <row r="8" spans="3:3">
      <c r="C8" s="25" t="s">
        <v>6</v>
      </c>
    </row>
    <row r="9" spans="3:3">
      <c r="C9" s="25" t="s">
        <v>7</v>
      </c>
    </row>
    <row r="10" spans="3:3">
      <c r="C10" s="25" t="s">
        <v>8</v>
      </c>
    </row>
    <row r="11" spans="3:3">
      <c r="C11" s="25" t="s">
        <v>9</v>
      </c>
    </row>
    <row r="12" spans="3:3">
      <c r="C12" s="25" t="s">
        <v>10</v>
      </c>
    </row>
    <row r="13" spans="3:3">
      <c r="C13" s="25" t="s">
        <v>11</v>
      </c>
    </row>
    <row r="14" spans="3:3">
      <c r="C14" s="25" t="s">
        <v>12</v>
      </c>
    </row>
    <row r="15" spans="4:4">
      <c r="D15" s="25" t="s">
        <v>13</v>
      </c>
    </row>
    <row r="16" spans="2:4">
      <c r="B16" s="25"/>
      <c r="D16" s="25" t="s">
        <v>14</v>
      </c>
    </row>
    <row r="17" spans="4:4">
      <c r="D17" s="25" t="s">
        <v>15</v>
      </c>
    </row>
    <row r="18" spans="4:4">
      <c r="D18" s="25" t="s">
        <v>16</v>
      </c>
    </row>
    <row r="19" spans="4:4">
      <c r="D19" s="25" t="s">
        <v>17</v>
      </c>
    </row>
    <row r="20" spans="4:4">
      <c r="D20" s="25" t="s">
        <v>18</v>
      </c>
    </row>
    <row r="21" spans="4:4">
      <c r="D21" s="25" t="s">
        <v>19</v>
      </c>
    </row>
    <row r="22" spans="4:4">
      <c r="D22" s="25" t="s">
        <v>20</v>
      </c>
    </row>
    <row r="23" spans="4:4">
      <c r="D23" s="25" t="s">
        <v>21</v>
      </c>
    </row>
    <row r="24" spans="4:4">
      <c r="D24" s="25" t="s">
        <v>22</v>
      </c>
    </row>
    <row r="25" spans="4:4">
      <c r="D25" s="25" t="s">
        <v>23</v>
      </c>
    </row>
    <row r="26" spans="4:4">
      <c r="D26" s="25" t="s">
        <v>24</v>
      </c>
    </row>
    <row r="27" spans="4:4">
      <c r="D27" s="25" t="s">
        <v>25</v>
      </c>
    </row>
    <row r="28" spans="4:4">
      <c r="D28" s="25" t="s">
        <v>26</v>
      </c>
    </row>
    <row r="29" spans="4:4">
      <c r="D29" s="25" t="s">
        <v>27</v>
      </c>
    </row>
    <row r="30" spans="4:4">
      <c r="D30" s="25" t="s">
        <v>28</v>
      </c>
    </row>
    <row r="31" spans="4:4">
      <c r="D31" s="25" t="s">
        <v>29</v>
      </c>
    </row>
    <row r="32" spans="4:4">
      <c r="D32" s="25" t="s">
        <v>30</v>
      </c>
    </row>
    <row r="33" ht="15.6" spans="2:2">
      <c r="B33" s="28" t="s">
        <v>31</v>
      </c>
    </row>
    <row r="34" spans="2:2">
      <c r="B34" t="s">
        <v>32</v>
      </c>
    </row>
    <row r="35" spans="3:3">
      <c r="C35" s="25" t="s">
        <v>33</v>
      </c>
    </row>
    <row r="36" spans="2:3">
      <c r="B36" s="25"/>
      <c r="C36" s="25" t="s">
        <v>34</v>
      </c>
    </row>
    <row r="37" spans="3:3">
      <c r="C37" s="25" t="s">
        <v>35</v>
      </c>
    </row>
    <row r="38" spans="3:3">
      <c r="C38" s="25" t="s">
        <v>36</v>
      </c>
    </row>
    <row r="39" spans="3:3">
      <c r="C39" s="25" t="s">
        <v>37</v>
      </c>
    </row>
    <row r="40" spans="3:3">
      <c r="C40" s="25" t="s">
        <v>38</v>
      </c>
    </row>
    <row r="41" spans="3:3">
      <c r="C41" s="25" t="s">
        <v>39</v>
      </c>
    </row>
    <row r="42" spans="3:3">
      <c r="C42" s="25" t="s">
        <v>40</v>
      </c>
    </row>
    <row r="43" spans="3:3">
      <c r="C43" s="25" t="s">
        <v>41</v>
      </c>
    </row>
    <row r="44" spans="3:3">
      <c r="C44" s="25" t="s">
        <v>42</v>
      </c>
    </row>
    <row r="45" spans="3:3">
      <c r="C45" s="25" t="s">
        <v>43</v>
      </c>
    </row>
    <row r="46" spans="3:3">
      <c r="C46" s="25" t="s">
        <v>44</v>
      </c>
    </row>
    <row r="47" spans="3:3">
      <c r="C47" s="25" t="s">
        <v>45</v>
      </c>
    </row>
    <row r="48" spans="3:3">
      <c r="C48" s="25" t="s">
        <v>46</v>
      </c>
    </row>
    <row r="49" spans="3:3">
      <c r="C49" s="25" t="s">
        <v>47</v>
      </c>
    </row>
    <row r="50" spans="3:3">
      <c r="C50" s="25" t="s">
        <v>48</v>
      </c>
    </row>
    <row r="51" spans="3:3">
      <c r="C51" s="25" t="s">
        <v>49</v>
      </c>
    </row>
    <row r="52" spans="3:3">
      <c r="C52" s="25" t="s">
        <v>50</v>
      </c>
    </row>
    <row r="53" spans="3:3">
      <c r="C53" s="25" t="s">
        <v>51</v>
      </c>
    </row>
    <row r="54" spans="3:3">
      <c r="C54" s="25" t="s">
        <v>52</v>
      </c>
    </row>
    <row r="55" spans="3:3">
      <c r="C55" s="25" t="s">
        <v>53</v>
      </c>
    </row>
    <row r="56" ht="15.6" spans="2:2">
      <c r="B56" s="28" t="s">
        <v>54</v>
      </c>
    </row>
    <row r="57" spans="2:3">
      <c r="B57" s="25"/>
      <c r="C57" s="25" t="s">
        <v>55</v>
      </c>
    </row>
    <row r="58" spans="3:3">
      <c r="C58" s="25" t="s">
        <v>56</v>
      </c>
    </row>
    <row r="59" spans="3:3">
      <c r="C59" s="25" t="s">
        <v>57</v>
      </c>
    </row>
    <row r="60" spans="3:3">
      <c r="C60" s="25" t="s">
        <v>58</v>
      </c>
    </row>
    <row r="61" spans="3:3">
      <c r="C61" s="25" t="s">
        <v>59</v>
      </c>
    </row>
    <row r="62" spans="3:3">
      <c r="C62" s="25" t="s">
        <v>60</v>
      </c>
    </row>
    <row r="63" spans="3:3">
      <c r="C63" s="25" t="s">
        <v>61</v>
      </c>
    </row>
    <row r="64" ht="15.6" spans="2:2">
      <c r="B64" s="28" t="s">
        <v>62</v>
      </c>
    </row>
    <row r="65" spans="2:3">
      <c r="B65" s="25"/>
      <c r="C65" s="25" t="s">
        <v>63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71"/>
  <sheetViews>
    <sheetView topLeftCell="A26" workbookViewId="0">
      <selection activeCell="C40" sqref="C40"/>
    </sheetView>
  </sheetViews>
  <sheetFormatPr defaultColWidth="8.83333333333333" defaultRowHeight="13.8" outlineLevelCol="3"/>
  <cols>
    <col min="2" max="2" width="34.3333333333333" customWidth="1"/>
    <col min="3" max="3" width="18.3333333333333" customWidth="1"/>
    <col min="4" max="4" width="67.6666666666667" customWidth="1"/>
  </cols>
  <sheetData>
    <row r="1" ht="14.55"/>
    <row r="2" ht="14.55" spans="2:4">
      <c r="B2" s="12" t="s">
        <v>64</v>
      </c>
      <c r="C2" s="13"/>
      <c r="D2" s="14"/>
    </row>
    <row r="3" ht="14.55"/>
    <row r="4" ht="14.55" spans="2:4">
      <c r="B4" s="15" t="s">
        <v>65</v>
      </c>
      <c r="C4" s="16" t="s">
        <v>66</v>
      </c>
      <c r="D4" s="17" t="s">
        <v>67</v>
      </c>
    </row>
    <row r="5" spans="2:4">
      <c r="B5" s="18" t="s">
        <v>68</v>
      </c>
      <c r="C5" s="19" t="s">
        <v>69</v>
      </c>
      <c r="D5" s="20" t="s">
        <v>70</v>
      </c>
    </row>
    <row r="6" spans="2:4">
      <c r="B6" s="18" t="s">
        <v>71</v>
      </c>
      <c r="C6" s="19" t="s">
        <v>72</v>
      </c>
      <c r="D6" s="20" t="s">
        <v>73</v>
      </c>
    </row>
    <row r="7" spans="2:4">
      <c r="B7" s="18" t="s">
        <v>74</v>
      </c>
      <c r="C7" s="19" t="s">
        <v>72</v>
      </c>
      <c r="D7" s="20" t="s">
        <v>75</v>
      </c>
    </row>
    <row r="8" spans="2:4">
      <c r="B8" s="18" t="s">
        <v>76</v>
      </c>
      <c r="C8" s="19" t="s">
        <v>72</v>
      </c>
      <c r="D8" s="20" t="s">
        <v>77</v>
      </c>
    </row>
    <row r="9" spans="2:4">
      <c r="B9" s="18" t="s">
        <v>78</v>
      </c>
      <c r="C9" s="19" t="s">
        <v>72</v>
      </c>
      <c r="D9" s="20" t="s">
        <v>79</v>
      </c>
    </row>
    <row r="10" spans="2:4">
      <c r="B10" s="18" t="s">
        <v>80</v>
      </c>
      <c r="C10" s="19" t="s">
        <v>72</v>
      </c>
      <c r="D10" s="20" t="s">
        <v>81</v>
      </c>
    </row>
    <row r="11" spans="2:4">
      <c r="B11" s="18" t="s">
        <v>82</v>
      </c>
      <c r="C11" s="19" t="s">
        <v>72</v>
      </c>
      <c r="D11" s="20" t="s">
        <v>83</v>
      </c>
    </row>
    <row r="12" spans="2:4">
      <c r="B12" s="18" t="s">
        <v>84</v>
      </c>
      <c r="C12" s="19" t="s">
        <v>72</v>
      </c>
      <c r="D12" s="20" t="s">
        <v>85</v>
      </c>
    </row>
    <row r="13" spans="2:4">
      <c r="B13" s="18" t="s">
        <v>86</v>
      </c>
      <c r="C13" s="19" t="s">
        <v>72</v>
      </c>
      <c r="D13" s="20" t="s">
        <v>87</v>
      </c>
    </row>
    <row r="14" spans="2:4">
      <c r="B14" s="18" t="s">
        <v>88</v>
      </c>
      <c r="C14" s="19" t="s">
        <v>72</v>
      </c>
      <c r="D14" s="20" t="s">
        <v>89</v>
      </c>
    </row>
    <row r="15" spans="2:4">
      <c r="B15" s="18" t="s">
        <v>13</v>
      </c>
      <c r="C15" s="19" t="s">
        <v>90</v>
      </c>
      <c r="D15" s="20" t="s">
        <v>91</v>
      </c>
    </row>
    <row r="16" spans="2:4">
      <c r="B16" s="18" t="s">
        <v>14</v>
      </c>
      <c r="C16" s="19" t="s">
        <v>90</v>
      </c>
      <c r="D16" s="20" t="s">
        <v>92</v>
      </c>
    </row>
    <row r="17" spans="2:4">
      <c r="B17" s="18" t="s">
        <v>15</v>
      </c>
      <c r="C17" s="19" t="s">
        <v>90</v>
      </c>
      <c r="D17" s="20" t="s">
        <v>93</v>
      </c>
    </row>
    <row r="18" spans="2:4">
      <c r="B18" s="18" t="s">
        <v>16</v>
      </c>
      <c r="C18" s="19" t="s">
        <v>90</v>
      </c>
      <c r="D18" s="20" t="s">
        <v>94</v>
      </c>
    </row>
    <row r="19" spans="2:4">
      <c r="B19" s="18" t="s">
        <v>17</v>
      </c>
      <c r="C19" s="19" t="s">
        <v>90</v>
      </c>
      <c r="D19" s="20" t="s">
        <v>95</v>
      </c>
    </row>
    <row r="20" spans="2:4">
      <c r="B20" s="18" t="s">
        <v>18</v>
      </c>
      <c r="C20" s="19" t="s">
        <v>90</v>
      </c>
      <c r="D20" s="20" t="s">
        <v>96</v>
      </c>
    </row>
    <row r="21" spans="2:4">
      <c r="B21" s="18" t="s">
        <v>19</v>
      </c>
      <c r="C21" s="19" t="s">
        <v>90</v>
      </c>
      <c r="D21" s="20" t="s">
        <v>97</v>
      </c>
    </row>
    <row r="22" spans="2:4">
      <c r="B22" s="18" t="s">
        <v>20</v>
      </c>
      <c r="C22" s="19" t="s">
        <v>90</v>
      </c>
      <c r="D22" s="20" t="s">
        <v>98</v>
      </c>
    </row>
    <row r="23" spans="2:4">
      <c r="B23" s="18" t="s">
        <v>21</v>
      </c>
      <c r="C23" s="19" t="s">
        <v>90</v>
      </c>
      <c r="D23" s="20" t="s">
        <v>99</v>
      </c>
    </row>
    <row r="24" spans="2:4">
      <c r="B24" s="18" t="s">
        <v>22</v>
      </c>
      <c r="C24" s="19" t="s">
        <v>90</v>
      </c>
      <c r="D24" s="20" t="s">
        <v>100</v>
      </c>
    </row>
    <row r="25" spans="2:4">
      <c r="B25" s="18" t="s">
        <v>101</v>
      </c>
      <c r="C25" s="19" t="s">
        <v>90</v>
      </c>
      <c r="D25" s="20" t="s">
        <v>102</v>
      </c>
    </row>
    <row r="26" spans="2:4">
      <c r="B26" s="18" t="s">
        <v>24</v>
      </c>
      <c r="C26" s="19" t="s">
        <v>90</v>
      </c>
      <c r="D26" s="20" t="s">
        <v>103</v>
      </c>
    </row>
    <row r="27" spans="2:4">
      <c r="B27" s="18" t="s">
        <v>25</v>
      </c>
      <c r="C27" s="19" t="s">
        <v>90</v>
      </c>
      <c r="D27" s="20" t="s">
        <v>104</v>
      </c>
    </row>
    <row r="28" spans="2:4">
      <c r="B28" s="18" t="s">
        <v>26</v>
      </c>
      <c r="C28" s="19" t="s">
        <v>90</v>
      </c>
      <c r="D28" s="20" t="s">
        <v>105</v>
      </c>
    </row>
    <row r="29" spans="2:4">
      <c r="B29" s="18" t="s">
        <v>27</v>
      </c>
      <c r="C29" s="19" t="s">
        <v>90</v>
      </c>
      <c r="D29" s="20" t="s">
        <v>106</v>
      </c>
    </row>
    <row r="30" spans="2:4">
      <c r="B30" s="18" t="s">
        <v>107</v>
      </c>
      <c r="C30" s="19" t="s">
        <v>90</v>
      </c>
      <c r="D30" s="20" t="s">
        <v>108</v>
      </c>
    </row>
    <row r="31" spans="2:4">
      <c r="B31" s="18" t="s">
        <v>29</v>
      </c>
      <c r="C31" s="19" t="s">
        <v>90</v>
      </c>
      <c r="D31" s="20" t="s">
        <v>109</v>
      </c>
    </row>
    <row r="32" spans="2:4">
      <c r="B32" s="18" t="s">
        <v>110</v>
      </c>
      <c r="C32" s="19" t="s">
        <v>90</v>
      </c>
      <c r="D32" s="20" t="s">
        <v>111</v>
      </c>
    </row>
    <row r="33" spans="2:4">
      <c r="B33" s="18" t="s">
        <v>112</v>
      </c>
      <c r="C33" s="19" t="s">
        <v>72</v>
      </c>
      <c r="D33" s="20" t="s">
        <v>113</v>
      </c>
    </row>
    <row r="34" spans="2:4">
      <c r="B34" s="18" t="s">
        <v>114</v>
      </c>
      <c r="C34" s="19" t="s">
        <v>72</v>
      </c>
      <c r="D34" s="20" t="s">
        <v>115</v>
      </c>
    </row>
    <row r="35" spans="2:4">
      <c r="B35" s="18" t="s">
        <v>116</v>
      </c>
      <c r="C35" s="19" t="s">
        <v>72</v>
      </c>
      <c r="D35" s="20" t="s">
        <v>117</v>
      </c>
    </row>
    <row r="36" spans="2:4">
      <c r="B36" s="18" t="s">
        <v>118</v>
      </c>
      <c r="C36" s="19" t="s">
        <v>72</v>
      </c>
      <c r="D36" s="20" t="s">
        <v>119</v>
      </c>
    </row>
    <row r="37" spans="2:4">
      <c r="B37" s="18" t="s">
        <v>120</v>
      </c>
      <c r="C37" s="19" t="s">
        <v>72</v>
      </c>
      <c r="D37" s="20" t="s">
        <v>121</v>
      </c>
    </row>
    <row r="38" spans="2:4">
      <c r="B38" s="18" t="s">
        <v>122</v>
      </c>
      <c r="C38" s="19" t="s">
        <v>72</v>
      </c>
      <c r="D38" s="20" t="s">
        <v>123</v>
      </c>
    </row>
    <row r="39" spans="2:4">
      <c r="B39" s="18" t="s">
        <v>124</v>
      </c>
      <c r="C39" s="19" t="s">
        <v>72</v>
      </c>
      <c r="D39" s="20" t="s">
        <v>125</v>
      </c>
    </row>
    <row r="40" spans="2:4">
      <c r="B40" s="18" t="s">
        <v>126</v>
      </c>
      <c r="C40" s="19" t="s">
        <v>72</v>
      </c>
      <c r="D40" s="20" t="s">
        <v>127</v>
      </c>
    </row>
    <row r="41" spans="2:4">
      <c r="B41" s="18" t="s">
        <v>128</v>
      </c>
      <c r="C41" s="19" t="s">
        <v>72</v>
      </c>
      <c r="D41" s="20" t="s">
        <v>129</v>
      </c>
    </row>
    <row r="42" spans="2:4">
      <c r="B42" s="18" t="s">
        <v>130</v>
      </c>
      <c r="C42" s="19" t="s">
        <v>72</v>
      </c>
      <c r="D42" s="20" t="s">
        <v>131</v>
      </c>
    </row>
    <row r="43" spans="2:4">
      <c r="B43" s="18" t="s">
        <v>132</v>
      </c>
      <c r="C43" s="19" t="s">
        <v>72</v>
      </c>
      <c r="D43" s="20" t="s">
        <v>133</v>
      </c>
    </row>
    <row r="44" spans="2:4">
      <c r="B44" s="18" t="s">
        <v>134</v>
      </c>
      <c r="C44" s="19" t="s">
        <v>72</v>
      </c>
      <c r="D44" s="20" t="s">
        <v>135</v>
      </c>
    </row>
    <row r="45" spans="2:4">
      <c r="B45" s="18" t="s">
        <v>136</v>
      </c>
      <c r="C45" s="19" t="s">
        <v>72</v>
      </c>
      <c r="D45" s="20" t="s">
        <v>137</v>
      </c>
    </row>
    <row r="46" spans="2:4">
      <c r="B46" s="18" t="s">
        <v>138</v>
      </c>
      <c r="C46" s="19" t="s">
        <v>72</v>
      </c>
      <c r="D46" s="20" t="s">
        <v>139</v>
      </c>
    </row>
    <row r="47" spans="2:4">
      <c r="B47" s="18" t="s">
        <v>140</v>
      </c>
      <c r="C47" s="19" t="s">
        <v>72</v>
      </c>
      <c r="D47" s="20" t="s">
        <v>141</v>
      </c>
    </row>
    <row r="48" spans="2:4">
      <c r="B48" s="18" t="s">
        <v>142</v>
      </c>
      <c r="C48" s="19" t="s">
        <v>72</v>
      </c>
      <c r="D48" s="20" t="s">
        <v>143</v>
      </c>
    </row>
    <row r="49" spans="2:4">
      <c r="B49" s="18" t="s">
        <v>144</v>
      </c>
      <c r="C49" s="19" t="s">
        <v>72</v>
      </c>
      <c r="D49" s="20" t="s">
        <v>145</v>
      </c>
    </row>
    <row r="50" spans="2:4">
      <c r="B50" s="18" t="s">
        <v>146</v>
      </c>
      <c r="C50" s="19" t="s">
        <v>72</v>
      </c>
      <c r="D50" s="20" t="s">
        <v>147</v>
      </c>
    </row>
    <row r="51" spans="2:4">
      <c r="B51" s="18" t="s">
        <v>148</v>
      </c>
      <c r="C51" s="19" t="s">
        <v>72</v>
      </c>
      <c r="D51" s="20" t="s">
        <v>149</v>
      </c>
    </row>
    <row r="52" spans="2:4">
      <c r="B52" s="18" t="s">
        <v>150</v>
      </c>
      <c r="C52" s="19" t="s">
        <v>72</v>
      </c>
      <c r="D52" s="20" t="s">
        <v>151</v>
      </c>
    </row>
    <row r="53" spans="2:4">
      <c r="B53" s="18" t="s">
        <v>152</v>
      </c>
      <c r="C53" s="19" t="s">
        <v>72</v>
      </c>
      <c r="D53" s="20" t="s">
        <v>153</v>
      </c>
    </row>
    <row r="54" spans="2:4">
      <c r="B54" s="18" t="s">
        <v>154</v>
      </c>
      <c r="C54" s="19" t="s">
        <v>72</v>
      </c>
      <c r="D54" s="20" t="s">
        <v>155</v>
      </c>
    </row>
    <row r="55" spans="2:4">
      <c r="B55" s="18" t="s">
        <v>156</v>
      </c>
      <c r="C55" s="19" t="s">
        <v>72</v>
      </c>
      <c r="D55" s="20" t="s">
        <v>157</v>
      </c>
    </row>
    <row r="56" spans="2:4">
      <c r="B56" s="18" t="s">
        <v>158</v>
      </c>
      <c r="C56" s="19" t="s">
        <v>72</v>
      </c>
      <c r="D56" s="20" t="s">
        <v>159</v>
      </c>
    </row>
    <row r="57" spans="2:4">
      <c r="B57" s="18" t="s">
        <v>160</v>
      </c>
      <c r="C57" s="19" t="s">
        <v>72</v>
      </c>
      <c r="D57" s="20" t="s">
        <v>161</v>
      </c>
    </row>
    <row r="58" spans="2:4">
      <c r="B58" s="18" t="s">
        <v>162</v>
      </c>
      <c r="C58" s="19" t="s">
        <v>72</v>
      </c>
      <c r="D58" s="20" t="s">
        <v>163</v>
      </c>
    </row>
    <row r="59" spans="2:4">
      <c r="B59" s="18" t="s">
        <v>164</v>
      </c>
      <c r="C59" s="19" t="s">
        <v>72</v>
      </c>
      <c r="D59" s="20" t="s">
        <v>165</v>
      </c>
    </row>
    <row r="60" ht="14.55" spans="2:4">
      <c r="B60" s="21" t="s">
        <v>166</v>
      </c>
      <c r="C60" s="22" t="s">
        <v>72</v>
      </c>
      <c r="D60" s="23" t="s">
        <v>167</v>
      </c>
    </row>
    <row r="62" spans="2:2">
      <c r="B62" s="24" t="s">
        <v>168</v>
      </c>
    </row>
    <row r="63" spans="2:2">
      <c r="B63" s="25" t="s">
        <v>169</v>
      </c>
    </row>
    <row r="64" spans="2:2">
      <c r="B64" s="25" t="s">
        <v>170</v>
      </c>
    </row>
    <row r="65" spans="2:3">
      <c r="B65" s="26" t="s">
        <v>171</v>
      </c>
      <c r="C65" t="s">
        <v>172</v>
      </c>
    </row>
    <row r="66" spans="2:3">
      <c r="B66" s="26" t="s">
        <v>173</v>
      </c>
      <c r="C66" t="s">
        <v>174</v>
      </c>
    </row>
    <row r="67" spans="2:3">
      <c r="B67" s="26" t="s">
        <v>175</v>
      </c>
      <c r="C67" t="s">
        <v>176</v>
      </c>
    </row>
    <row r="68" spans="2:3">
      <c r="B68" s="26" t="s">
        <v>177</v>
      </c>
      <c r="C68" t="s">
        <v>178</v>
      </c>
    </row>
    <row r="69" spans="2:3">
      <c r="B69" s="26" t="s">
        <v>179</v>
      </c>
      <c r="C69" t="s">
        <v>180</v>
      </c>
    </row>
    <row r="70" spans="2:3">
      <c r="B70" s="26" t="s">
        <v>181</v>
      </c>
      <c r="C70" t="s">
        <v>182</v>
      </c>
    </row>
    <row r="71" spans="2:3">
      <c r="B71" s="26" t="s">
        <v>183</v>
      </c>
      <c r="C71" t="s">
        <v>184</v>
      </c>
    </row>
  </sheetData>
  <mergeCells count="1">
    <mergeCell ref="B2:D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1"/>
  <sheetViews>
    <sheetView workbookViewId="0">
      <selection activeCell="K7" sqref="K7"/>
    </sheetView>
  </sheetViews>
  <sheetFormatPr defaultColWidth="8.8" defaultRowHeight="13.8" outlineLevelCol="1"/>
  <cols>
    <col min="1" max="1" width="15.2"/>
    <col min="2" max="2" width="22"/>
  </cols>
  <sheetData>
    <row r="3" spans="1:2">
      <c r="A3" t="s">
        <v>128</v>
      </c>
      <c r="B3" t="s">
        <v>185</v>
      </c>
    </row>
    <row r="4" spans="1:2">
      <c r="A4" t="s">
        <v>173</v>
      </c>
      <c r="B4">
        <v>401</v>
      </c>
    </row>
    <row r="5" spans="1:2">
      <c r="A5" t="s">
        <v>171</v>
      </c>
      <c r="B5">
        <v>243</v>
      </c>
    </row>
    <row r="6" spans="1:2">
      <c r="A6" t="s">
        <v>175</v>
      </c>
      <c r="B6">
        <v>95</v>
      </c>
    </row>
    <row r="7" spans="1:2">
      <c r="A7" t="s">
        <v>177</v>
      </c>
      <c r="B7">
        <v>37</v>
      </c>
    </row>
    <row r="8" spans="1:2">
      <c r="A8" t="s">
        <v>179</v>
      </c>
      <c r="B8">
        <v>25</v>
      </c>
    </row>
    <row r="9" spans="1:2">
      <c r="A9" t="s">
        <v>181</v>
      </c>
      <c r="B9">
        <v>11</v>
      </c>
    </row>
    <row r="10" spans="1:2">
      <c r="A10" t="s">
        <v>183</v>
      </c>
      <c r="B10">
        <v>7</v>
      </c>
    </row>
    <row r="11" spans="1:2">
      <c r="A11" t="s">
        <v>186</v>
      </c>
      <c r="B11">
        <v>819</v>
      </c>
    </row>
  </sheetData>
  <pageMargins left="0.75" right="0.75" top="1" bottom="1" header="0.5" footer="0.5"/>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1"/>
  <sheetViews>
    <sheetView workbookViewId="0">
      <selection activeCell="I6" sqref="I6"/>
    </sheetView>
  </sheetViews>
  <sheetFormatPr defaultColWidth="8.8" defaultRowHeight="13.8" outlineLevelCol="1"/>
  <cols>
    <col min="1" max="1" width="16.5"/>
    <col min="2" max="2" width="23.3"/>
  </cols>
  <sheetData>
    <row r="3" spans="1:2">
      <c r="A3" t="s">
        <v>148</v>
      </c>
      <c r="B3" t="s">
        <v>187</v>
      </c>
    </row>
    <row r="4" spans="1:2">
      <c r="A4" t="s">
        <v>173</v>
      </c>
      <c r="B4">
        <v>401</v>
      </c>
    </row>
    <row r="5" spans="1:2">
      <c r="A5" t="s">
        <v>171</v>
      </c>
      <c r="B5">
        <v>162</v>
      </c>
    </row>
    <row r="6" spans="1:2">
      <c r="A6" t="s">
        <v>175</v>
      </c>
      <c r="B6">
        <v>130</v>
      </c>
    </row>
    <row r="7" spans="1:2">
      <c r="A7" t="s">
        <v>177</v>
      </c>
      <c r="B7">
        <v>60</v>
      </c>
    </row>
    <row r="8" spans="1:2">
      <c r="A8" t="s">
        <v>179</v>
      </c>
      <c r="B8">
        <v>50</v>
      </c>
    </row>
    <row r="9" spans="1:2">
      <c r="A9" t="s">
        <v>181</v>
      </c>
      <c r="B9">
        <v>10</v>
      </c>
    </row>
    <row r="10" spans="1:2">
      <c r="A10" t="s">
        <v>183</v>
      </c>
      <c r="B10">
        <v>6</v>
      </c>
    </row>
    <row r="11" spans="1:2">
      <c r="A11" t="s">
        <v>186</v>
      </c>
      <c r="B11">
        <v>819</v>
      </c>
    </row>
  </sheetData>
  <pageMargins left="0.75" right="0.75" top="1" bottom="1" header="0.5" footer="0.5"/>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1"/>
  <sheetViews>
    <sheetView workbookViewId="0">
      <selection activeCell="K8" sqref="K8"/>
    </sheetView>
  </sheetViews>
  <sheetFormatPr defaultColWidth="8.8" defaultRowHeight="13.8" outlineLevelCol="1"/>
  <cols>
    <col min="1" max="1" width="13.7"/>
    <col min="2" max="2" width="20.5"/>
  </cols>
  <sheetData>
    <row r="3" spans="1:2">
      <c r="A3" t="s">
        <v>146</v>
      </c>
      <c r="B3" t="s">
        <v>188</v>
      </c>
    </row>
    <row r="4" spans="1:2">
      <c r="A4" t="s">
        <v>173</v>
      </c>
      <c r="B4">
        <v>436</v>
      </c>
    </row>
    <row r="5" spans="1:2">
      <c r="A5" t="s">
        <v>177</v>
      </c>
      <c r="B5">
        <v>45</v>
      </c>
    </row>
    <row r="6" spans="1:2">
      <c r="A6" t="s">
        <v>181</v>
      </c>
      <c r="B6">
        <v>11</v>
      </c>
    </row>
    <row r="7" spans="1:2">
      <c r="A7" t="s">
        <v>175</v>
      </c>
      <c r="B7">
        <v>120</v>
      </c>
    </row>
    <row r="8" spans="1:2">
      <c r="A8" t="s">
        <v>183</v>
      </c>
      <c r="B8">
        <v>3</v>
      </c>
    </row>
    <row r="9" spans="1:2">
      <c r="A9" t="s">
        <v>171</v>
      </c>
      <c r="B9">
        <v>165</v>
      </c>
    </row>
    <row r="10" spans="1:2">
      <c r="A10" t="s">
        <v>179</v>
      </c>
      <c r="B10">
        <v>39</v>
      </c>
    </row>
    <row r="11" spans="1:2">
      <c r="A11" t="s">
        <v>186</v>
      </c>
      <c r="B11">
        <v>819</v>
      </c>
    </row>
  </sheetData>
  <pageMargins left="0.75" right="0.75" top="1" bottom="1" header="0.5" footer="0.5"/>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1"/>
  <sheetViews>
    <sheetView workbookViewId="0">
      <selection activeCell="I6" sqref="I6"/>
    </sheetView>
  </sheetViews>
  <sheetFormatPr defaultColWidth="8.8" defaultRowHeight="13.8" outlineLevelCol="1"/>
  <cols>
    <col min="1" max="1" width="11.8"/>
    <col min="2" max="2" width="16.3"/>
  </cols>
  <sheetData>
    <row r="3" spans="1:2">
      <c r="A3" t="s">
        <v>144</v>
      </c>
      <c r="B3" t="s">
        <v>189</v>
      </c>
    </row>
    <row r="4" spans="1:2">
      <c r="A4" t="s">
        <v>173</v>
      </c>
      <c r="B4">
        <v>400</v>
      </c>
    </row>
    <row r="5" spans="1:2">
      <c r="A5" t="s">
        <v>171</v>
      </c>
      <c r="B5">
        <v>177</v>
      </c>
    </row>
    <row r="6" spans="1:2">
      <c r="A6" t="s">
        <v>175</v>
      </c>
      <c r="B6">
        <v>116</v>
      </c>
    </row>
    <row r="7" spans="1:2">
      <c r="A7" t="s">
        <v>179</v>
      </c>
      <c r="B7">
        <v>57</v>
      </c>
    </row>
    <row r="8" spans="1:2">
      <c r="A8" t="s">
        <v>177</v>
      </c>
      <c r="B8">
        <v>52</v>
      </c>
    </row>
    <row r="9" spans="1:2">
      <c r="A9" t="s">
        <v>181</v>
      </c>
      <c r="B9">
        <v>10</v>
      </c>
    </row>
    <row r="10" spans="1:2">
      <c r="A10" t="s">
        <v>183</v>
      </c>
      <c r="B10">
        <v>7</v>
      </c>
    </row>
    <row r="11" spans="1:2">
      <c r="A11" t="s">
        <v>186</v>
      </c>
      <c r="B11">
        <v>819</v>
      </c>
    </row>
  </sheetData>
  <pageMargins left="0.75" right="0.75" top="1" bottom="1" header="0.5" footer="0.5"/>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1"/>
  <sheetViews>
    <sheetView workbookViewId="0">
      <selection activeCell="G5" sqref="G5"/>
    </sheetView>
  </sheetViews>
  <sheetFormatPr defaultColWidth="8.8" defaultRowHeight="13.8" outlineLevelCol="1"/>
  <cols>
    <col min="1" max="1" width="17.9"/>
    <col min="2" max="2" width="24.7"/>
  </cols>
  <sheetData>
    <row r="3" spans="1:2">
      <c r="A3" t="s">
        <v>142</v>
      </c>
      <c r="B3" t="s">
        <v>190</v>
      </c>
    </row>
    <row r="4" spans="1:2">
      <c r="A4" t="s">
        <v>173</v>
      </c>
      <c r="B4">
        <v>399</v>
      </c>
    </row>
    <row r="5" spans="1:2">
      <c r="A5" t="s">
        <v>171</v>
      </c>
      <c r="B5">
        <v>144</v>
      </c>
    </row>
    <row r="6" spans="1:2">
      <c r="A6" t="s">
        <v>175</v>
      </c>
      <c r="B6">
        <v>129</v>
      </c>
    </row>
    <row r="7" spans="1:2">
      <c r="A7" t="s">
        <v>177</v>
      </c>
      <c r="B7">
        <v>76</v>
      </c>
    </row>
    <row r="8" spans="1:2">
      <c r="A8" t="s">
        <v>179</v>
      </c>
      <c r="B8">
        <v>58</v>
      </c>
    </row>
    <row r="9" spans="1:2">
      <c r="A9" t="s">
        <v>181</v>
      </c>
      <c r="B9">
        <v>8</v>
      </c>
    </row>
    <row r="10" spans="1:2">
      <c r="A10" t="s">
        <v>183</v>
      </c>
      <c r="B10">
        <v>6</v>
      </c>
    </row>
    <row r="11" spans="1:2">
      <c r="A11" t="s">
        <v>186</v>
      </c>
      <c r="B11">
        <v>820</v>
      </c>
    </row>
  </sheetData>
  <pageMargins left="0.75" right="0.75" top="1" bottom="1" header="0.5" footer="0.5"/>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6"/>
  <sheetViews>
    <sheetView workbookViewId="0">
      <selection activeCell="D5" sqref="D5"/>
    </sheetView>
  </sheetViews>
  <sheetFormatPr defaultColWidth="8.8" defaultRowHeight="13.8" outlineLevelRow="5" outlineLevelCol="3"/>
  <cols>
    <col min="1" max="1" width="11.8"/>
    <col min="2" max="2" width="16.6"/>
    <col min="4" max="4" width="12.8"/>
  </cols>
  <sheetData>
    <row r="3" spans="1:2">
      <c r="A3" t="s">
        <v>154</v>
      </c>
      <c r="B3" t="s">
        <v>191</v>
      </c>
    </row>
    <row r="4" spans="1:4">
      <c r="A4" t="s">
        <v>192</v>
      </c>
      <c r="B4">
        <v>573</v>
      </c>
      <c r="C4"/>
      <c r="D4">
        <f>GETPIVOTDATA("Gender",$A$3,"Gender","Female")/GETPIVOTDATA("Gender",$A$3)</f>
        <v>0.718045112781955</v>
      </c>
    </row>
    <row r="5" spans="1:2">
      <c r="A5" t="s">
        <v>193</v>
      </c>
      <c r="B5">
        <v>225</v>
      </c>
    </row>
    <row r="6" spans="1:2">
      <c r="A6" t="s">
        <v>186</v>
      </c>
      <c r="B6">
        <v>798</v>
      </c>
    </row>
  </sheetData>
  <pageMargins left="0.75" right="0.75" top="1" bottom="1" header="0.5" footer="0.5"/>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5"/>
  <sheetViews>
    <sheetView workbookViewId="0">
      <selection activeCell="C11" sqref="C11"/>
    </sheetView>
  </sheetViews>
  <sheetFormatPr defaultColWidth="8.8" defaultRowHeight="13.8" outlineLevelCol="1"/>
  <cols>
    <col min="1" max="1" width="28"/>
    <col min="2" max="2" width="13.3"/>
  </cols>
  <sheetData>
    <row r="3" spans="1:2">
      <c r="A3" t="s">
        <v>156</v>
      </c>
      <c r="B3" t="s">
        <v>194</v>
      </c>
    </row>
    <row r="4" spans="1:2">
      <c r="A4" t="s">
        <v>195</v>
      </c>
      <c r="B4">
        <v>210</v>
      </c>
    </row>
    <row r="5" spans="1:2">
      <c r="A5" t="s">
        <v>196</v>
      </c>
      <c r="B5">
        <v>174</v>
      </c>
    </row>
    <row r="6" spans="1:2">
      <c r="A6" t="s">
        <v>197</v>
      </c>
      <c r="B6">
        <v>103</v>
      </c>
    </row>
    <row r="7" spans="1:2">
      <c r="A7" t="s">
        <v>198</v>
      </c>
      <c r="B7">
        <v>63</v>
      </c>
    </row>
    <row r="8" spans="1:2">
      <c r="A8" t="s">
        <v>199</v>
      </c>
      <c r="B8">
        <v>61</v>
      </c>
    </row>
    <row r="9" spans="1:2">
      <c r="A9" t="s">
        <v>200</v>
      </c>
      <c r="B9">
        <v>57</v>
      </c>
    </row>
    <row r="10" spans="1:2">
      <c r="A10" t="s">
        <v>201</v>
      </c>
      <c r="B10">
        <v>51</v>
      </c>
    </row>
    <row r="11" spans="1:2">
      <c r="A11" t="s">
        <v>202</v>
      </c>
      <c r="B11">
        <v>40</v>
      </c>
    </row>
    <row r="12" spans="1:2">
      <c r="A12" t="s">
        <v>203</v>
      </c>
      <c r="B12">
        <v>39</v>
      </c>
    </row>
    <row r="13" spans="1:2">
      <c r="A13" t="s">
        <v>204</v>
      </c>
      <c r="B13">
        <v>12</v>
      </c>
    </row>
    <row r="14" spans="1:2">
      <c r="A14" t="s">
        <v>205</v>
      </c>
      <c r="B14">
        <v>1</v>
      </c>
    </row>
    <row r="15" spans="1:2">
      <c r="A15" t="s">
        <v>186</v>
      </c>
      <c r="B15">
        <v>811</v>
      </c>
    </row>
  </sheetData>
  <pageMargins left="0.75" right="0.75" top="1" bottom="1" header="0.5" footer="0.5"/>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7"/>
  <sheetViews>
    <sheetView workbookViewId="0">
      <selection activeCell="D7" sqref="D7"/>
    </sheetView>
  </sheetViews>
  <sheetFormatPr defaultColWidth="8.8" defaultRowHeight="13.8" outlineLevelRow="6" outlineLevelCol="3"/>
  <cols>
    <col min="1" max="1" width="12.5"/>
    <col min="2" max="2" width="19.3"/>
    <col min="4" max="4" width="12.8"/>
  </cols>
  <sheetData>
    <row r="3" spans="1:2">
      <c r="A3" t="s">
        <v>158</v>
      </c>
      <c r="B3" t="s">
        <v>206</v>
      </c>
    </row>
    <row r="4" spans="1:4">
      <c r="A4" t="s">
        <v>183</v>
      </c>
      <c r="B4">
        <v>446</v>
      </c>
      <c r="C4"/>
      <c r="D4">
        <f>GETPIVOTDATA("Aboriginal",$A$3,"Aboriginal","Yes")*(100)/GETPIVOTDATA("Aboriginal",$A$3)</f>
        <v>3.06513409961686</v>
      </c>
    </row>
    <row r="5" spans="1:4">
      <c r="A5" t="s">
        <v>207</v>
      </c>
      <c r="B5">
        <v>60</v>
      </c>
      <c r="C5"/>
      <c r="D5">
        <f>GETPIVOTDATA("Aboriginal",$A$3)/GETPIVOTDATA("Aboriginal",$A$3,"Aboriginal","N/A")</f>
        <v>1.17040358744395</v>
      </c>
    </row>
    <row r="6" spans="1:4">
      <c r="A6" t="s">
        <v>208</v>
      </c>
      <c r="B6">
        <v>16</v>
      </c>
      <c r="C6"/>
      <c r="D6">
        <f>GETPIVOTDATA("Aboriginal",$A$3,"Aboriginal","N/A")/GETPIVOTDATA("Aboriginal",$A$3)</f>
        <v>0.854406130268199</v>
      </c>
    </row>
    <row r="7" spans="1:2">
      <c r="A7" t="s">
        <v>186</v>
      </c>
      <c r="B7">
        <v>522</v>
      </c>
    </row>
  </sheetData>
  <pageMargins left="0.75" right="0.75" top="1" bottom="1" header="0.5" footer="0.5"/>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7"/>
  <sheetViews>
    <sheetView workbookViewId="0">
      <selection activeCell="E3" sqref="E3"/>
    </sheetView>
  </sheetViews>
  <sheetFormatPr defaultColWidth="8.8" defaultRowHeight="13.8" outlineLevelRow="6" outlineLevelCol="1"/>
  <cols>
    <col min="1" max="1" width="11.8"/>
    <col min="2" max="2" width="18.4"/>
  </cols>
  <sheetData>
    <row r="3" spans="1:2">
      <c r="A3" t="s">
        <v>164</v>
      </c>
      <c r="B3" t="s">
        <v>209</v>
      </c>
    </row>
    <row r="4" spans="1:2">
      <c r="A4" t="s">
        <v>183</v>
      </c>
      <c r="B4">
        <v>435</v>
      </c>
    </row>
    <row r="5" spans="1:2">
      <c r="A5" t="s">
        <v>207</v>
      </c>
      <c r="B5">
        <v>65</v>
      </c>
    </row>
    <row r="6" spans="1:2">
      <c r="A6" t="s">
        <v>208</v>
      </c>
      <c r="B6">
        <v>23</v>
      </c>
    </row>
    <row r="7" spans="1:2">
      <c r="A7" t="s">
        <v>186</v>
      </c>
      <c r="B7">
        <v>523</v>
      </c>
    </row>
  </sheetData>
  <pageMargins left="0.75" right="0.75" top="1" bottom="1" header="0.5" footer="0.5"/>
  <headerFooter/>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7"/>
  <sheetViews>
    <sheetView workbookViewId="0">
      <selection activeCell="C6" sqref="C6"/>
    </sheetView>
  </sheetViews>
  <sheetFormatPr defaultColWidth="8.8" defaultRowHeight="13.8" outlineLevelRow="6" outlineLevelCol="2"/>
  <cols>
    <col min="1" max="1" width="11.8"/>
    <col min="2" max="2" width="14.9"/>
    <col min="3" max="3" width="12.8"/>
  </cols>
  <sheetData>
    <row r="3" spans="1:2">
      <c r="A3" t="s">
        <v>166</v>
      </c>
      <c r="B3" t="s">
        <v>210</v>
      </c>
    </row>
    <row r="4" spans="1:2">
      <c r="A4" t="s">
        <v>183</v>
      </c>
      <c r="B4">
        <v>429</v>
      </c>
    </row>
    <row r="5" spans="1:3">
      <c r="A5" t="s">
        <v>207</v>
      </c>
      <c r="B5">
        <v>60</v>
      </c>
      <c r="C5">
        <f>GETPIVOTDATA("NESB",$A$3,"NESB","Yes")/GETPIVOTDATA("NESB",$A$3)</f>
        <v>0.0614203454894434</v>
      </c>
    </row>
    <row r="6" spans="1:2">
      <c r="A6" t="s">
        <v>208</v>
      </c>
      <c r="B6">
        <v>32</v>
      </c>
    </row>
    <row r="7" spans="1:2">
      <c r="A7" t="s">
        <v>186</v>
      </c>
      <c r="B7">
        <v>521</v>
      </c>
    </row>
  </sheetData>
  <pageMargins left="0.75" right="0.75" top="1" bottom="1" header="0.5" footer="0.5"/>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7"/>
  <sheetViews>
    <sheetView workbookViewId="0">
      <selection activeCell="D5" sqref="D5"/>
    </sheetView>
  </sheetViews>
  <sheetFormatPr defaultColWidth="8.8" defaultRowHeight="13.8" outlineLevelRow="6" outlineLevelCol="3"/>
  <cols>
    <col min="1" max="1" width="22.1"/>
    <col min="2" max="2" width="28.9"/>
    <col min="4" max="4" width="12.8"/>
  </cols>
  <sheetData>
    <row r="3" spans="1:2">
      <c r="A3" t="s">
        <v>211</v>
      </c>
      <c r="B3" t="s">
        <v>212</v>
      </c>
    </row>
    <row r="4" spans="1:4">
      <c r="A4" t="s">
        <v>183</v>
      </c>
      <c r="B4">
        <v>449</v>
      </c>
      <c r="C4"/>
      <c r="D4">
        <f>GETPIVOTDATA("SouthNot StatedSea",$A$3,"SouthNot StatedSea","Yes")/GETPIVOTDATA("SouthNot StatedSea",$A$3)</f>
        <v>0.0134615384615385</v>
      </c>
    </row>
    <row r="5" spans="1:2">
      <c r="A5" t="s">
        <v>207</v>
      </c>
      <c r="B5">
        <v>64</v>
      </c>
    </row>
    <row r="6" spans="1:2">
      <c r="A6" t="s">
        <v>208</v>
      </c>
      <c r="B6">
        <v>7</v>
      </c>
    </row>
    <row r="7" spans="1:2">
      <c r="A7" t="s">
        <v>186</v>
      </c>
      <c r="B7">
        <v>520</v>
      </c>
    </row>
  </sheetData>
  <pageMargins left="0.75" right="0.75" top="1" bottom="1" header="0.5" footer="0.5"/>
  <headerFooter/>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M823"/>
  <sheetViews>
    <sheetView zoomScale="94" zoomScaleNormal="94" topLeftCell="AW1" workbookViewId="0">
      <selection activeCell="BB1" sqref="BB$1:BB$1048576"/>
    </sheetView>
  </sheetViews>
  <sheetFormatPr defaultColWidth="8.83333333333333" defaultRowHeight="13.8"/>
  <cols>
    <col min="1" max="1" width="8.5" customWidth="1"/>
    <col min="2" max="2" width="31.8333333333333" customWidth="1"/>
    <col min="3" max="3" width="19.6666666666667" customWidth="1"/>
    <col min="4" max="4" width="28.6666666666667" customWidth="1"/>
    <col min="5" max="5" width="20.775" customWidth="1"/>
    <col min="6" max="6" width="25.65" style="10" customWidth="1"/>
    <col min="7" max="7" width="21.6666666666667" style="10" customWidth="1"/>
    <col min="8" max="8" width="22.1666666666667" style="10" customWidth="1"/>
    <col min="9" max="9" width="36.1666666666667" style="10" customWidth="1"/>
    <col min="10" max="10" width="21.825" style="10" customWidth="1"/>
    <col min="11" max="11" width="24.1666666666667" customWidth="1"/>
    <col min="12" max="12" width="24.8333333333333" customWidth="1"/>
    <col min="13" max="13" width="19.1666666666667" customWidth="1"/>
    <col min="14" max="14" width="15.8333333333333" customWidth="1"/>
    <col min="15" max="15" width="30" customWidth="1"/>
    <col min="16" max="16" width="22.5" customWidth="1"/>
    <col min="17" max="17" width="16.1666666666667" customWidth="1"/>
    <col min="18" max="18" width="16.3333333333333" customWidth="1"/>
    <col min="19" max="19" width="11.8333333333333" customWidth="1"/>
    <col min="20" max="20" width="19.8333333333333" customWidth="1"/>
    <col min="21" max="21" width="14" customWidth="1"/>
    <col min="22" max="22" width="9.5" customWidth="1"/>
    <col min="23" max="23" width="10.6666666666667" customWidth="1"/>
    <col min="24" max="24" width="7.83333333333333" customWidth="1"/>
    <col min="25" max="25" width="16" customWidth="1"/>
    <col min="26" max="26" width="14.6666666666667" customWidth="1"/>
    <col min="27" max="27" width="8.5" customWidth="1"/>
    <col min="28" max="28" width="15.3333333333333" customWidth="1"/>
    <col min="29" max="29" width="22.1666666666667" style="10" customWidth="1"/>
    <col min="30" max="30" width="23.3333333333333" customWidth="1"/>
    <col min="31" max="31" width="10.5" customWidth="1"/>
    <col min="32" max="32" width="27.0333333333333" customWidth="1"/>
    <col min="33" max="33" width="18.1666666666667" customWidth="1"/>
    <col min="34" max="34" width="18.3416666666667" customWidth="1"/>
    <col min="35" max="35" width="23.5" customWidth="1"/>
    <col min="36" max="36" width="30.3166666666667" customWidth="1"/>
    <col min="37" max="37" width="18.6166666666667" customWidth="1"/>
    <col min="38" max="38" width="15.65" customWidth="1"/>
    <col min="39" max="39" width="11.4416666666667" customWidth="1"/>
    <col min="40" max="40" width="20.4416666666667" customWidth="1"/>
    <col min="41" max="41" width="15.8333333333333" customWidth="1"/>
    <col min="42" max="42" width="15.0416666666667" customWidth="1"/>
    <col min="43" max="43" width="13.5583333333333" customWidth="1"/>
    <col min="44" max="44" width="18.4333333333333" customWidth="1"/>
    <col min="45" max="45" width="14" customWidth="1"/>
    <col min="46" max="46" width="10.1666666666667" customWidth="1"/>
    <col min="47" max="47" width="17.0166666666667" customWidth="1"/>
    <col min="48" max="48" width="18.0833333333333" customWidth="1"/>
    <col min="49" max="49" width="15.3833333333333" customWidth="1"/>
    <col min="50" max="50" width="19.4083333333333" customWidth="1"/>
    <col min="51" max="51" width="30" customWidth="1"/>
    <col min="52" max="52" width="13.6666666666667" customWidth="1"/>
    <col min="53" max="53" width="18.4" customWidth="1"/>
    <col min="54" max="54" width="14.6666666666667" customWidth="1"/>
    <col min="55" max="55" width="16.5583333333333" customWidth="1"/>
    <col min="56" max="56" width="15" customWidth="1"/>
    <col min="57" max="57" width="16.1083333333333" customWidth="1"/>
    <col min="58" max="58" width="17.775" customWidth="1"/>
    <col min="59" max="59" width="18.825" customWidth="1"/>
    <col min="60" max="60" width="14.3916666666667" customWidth="1"/>
    <col min="61" max="61" width="12.75" customWidth="1"/>
    <col min="63" max="63" width="34.95" customWidth="1"/>
  </cols>
  <sheetData>
    <row r="1" ht="27.6" spans="1:63">
      <c r="A1" t="s">
        <v>68</v>
      </c>
      <c r="B1" t="s">
        <v>71</v>
      </c>
      <c r="C1" s="10" t="s">
        <v>213</v>
      </c>
      <c r="D1" s="10" t="s">
        <v>214</v>
      </c>
      <c r="E1" s="10" t="s">
        <v>215</v>
      </c>
      <c r="F1" s="10" t="s">
        <v>80</v>
      </c>
      <c r="G1" s="10" t="s">
        <v>82</v>
      </c>
      <c r="H1" s="10" t="s">
        <v>84</v>
      </c>
      <c r="I1" s="10" t="s">
        <v>216</v>
      </c>
      <c r="J1" s="10" t="s">
        <v>217</v>
      </c>
      <c r="K1" t="s">
        <v>218</v>
      </c>
      <c r="L1" t="s">
        <v>219</v>
      </c>
      <c r="M1" t="s">
        <v>220</v>
      </c>
      <c r="N1" t="s">
        <v>221</v>
      </c>
      <c r="O1" t="s">
        <v>222</v>
      </c>
      <c r="P1" t="s">
        <v>223</v>
      </c>
      <c r="Q1" t="s">
        <v>224</v>
      </c>
      <c r="R1" t="s">
        <v>225</v>
      </c>
      <c r="S1" t="s">
        <v>226</v>
      </c>
      <c r="T1" t="s">
        <v>227</v>
      </c>
      <c r="U1" t="s">
        <v>101</v>
      </c>
      <c r="V1" t="s">
        <v>24</v>
      </c>
      <c r="W1" t="s">
        <v>25</v>
      </c>
      <c r="X1" t="s">
        <v>228</v>
      </c>
      <c r="Y1" t="s">
        <v>229</v>
      </c>
      <c r="Z1" t="s">
        <v>230</v>
      </c>
      <c r="AA1" t="s">
        <v>29</v>
      </c>
      <c r="AB1" t="s">
        <v>231</v>
      </c>
      <c r="AC1" s="10" t="s">
        <v>112</v>
      </c>
      <c r="AD1" t="s">
        <v>114</v>
      </c>
      <c r="AE1" t="s">
        <v>116</v>
      </c>
      <c r="AF1" t="s">
        <v>118</v>
      </c>
      <c r="AG1" t="s">
        <v>120</v>
      </c>
      <c r="AH1" t="s">
        <v>122</v>
      </c>
      <c r="AI1" t="s">
        <v>124</v>
      </c>
      <c r="AJ1" t="s">
        <v>126</v>
      </c>
      <c r="AK1" t="s">
        <v>128</v>
      </c>
      <c r="AL1" t="s">
        <v>130</v>
      </c>
      <c r="AM1" t="s">
        <v>132</v>
      </c>
      <c r="AN1" t="s">
        <v>134</v>
      </c>
      <c r="AO1" t="s">
        <v>136</v>
      </c>
      <c r="AP1" t="s">
        <v>138</v>
      </c>
      <c r="AQ1" t="s">
        <v>140</v>
      </c>
      <c r="AR1" t="s">
        <v>142</v>
      </c>
      <c r="AS1" t="s">
        <v>144</v>
      </c>
      <c r="AT1" t="s">
        <v>146</v>
      </c>
      <c r="AU1" t="s">
        <v>148</v>
      </c>
      <c r="AV1" t="s">
        <v>150</v>
      </c>
      <c r="AW1" t="s">
        <v>152</v>
      </c>
      <c r="AX1" t="s">
        <v>154</v>
      </c>
      <c r="AY1" t="s">
        <v>156</v>
      </c>
      <c r="AZ1" t="s">
        <v>158</v>
      </c>
      <c r="BA1" t="s">
        <v>232</v>
      </c>
      <c r="BB1" t="s">
        <v>211</v>
      </c>
      <c r="BC1" t="s">
        <v>164</v>
      </c>
      <c r="BD1" t="s">
        <v>166</v>
      </c>
      <c r="BE1" t="s">
        <v>233</v>
      </c>
      <c r="BF1" t="s">
        <v>234</v>
      </c>
      <c r="BG1" s="11" t="s">
        <v>235</v>
      </c>
      <c r="BH1" t="s">
        <v>236</v>
      </c>
      <c r="BI1" t="s">
        <v>237</v>
      </c>
      <c r="BJ1" t="s">
        <v>238</v>
      </c>
      <c r="BK1" t="s">
        <v>239</v>
      </c>
    </row>
    <row r="2" spans="1:65">
      <c r="A2">
        <v>1</v>
      </c>
      <c r="B2" t="s">
        <v>240</v>
      </c>
      <c r="C2" s="10">
        <v>2022</v>
      </c>
      <c r="D2" s="10">
        <v>1993</v>
      </c>
      <c r="E2" s="10">
        <v>2013</v>
      </c>
      <c r="F2" s="10" t="s">
        <v>241</v>
      </c>
      <c r="G2" s="10" t="s">
        <v>242</v>
      </c>
      <c r="H2" s="10" t="s">
        <v>243</v>
      </c>
      <c r="I2" s="10" t="s">
        <v>244</v>
      </c>
      <c r="J2" s="10" t="s">
        <v>245</v>
      </c>
      <c r="K2" t="b">
        <v>1</v>
      </c>
      <c r="L2" t="b">
        <v>0</v>
      </c>
      <c r="M2" t="b">
        <v>0</v>
      </c>
      <c r="N2" t="b">
        <v>1</v>
      </c>
      <c r="O2" t="b">
        <v>0</v>
      </c>
      <c r="P2" t="b">
        <v>0</v>
      </c>
      <c r="Q2" t="b">
        <v>1</v>
      </c>
      <c r="R2" t="b">
        <v>0</v>
      </c>
      <c r="S2" t="b">
        <v>0</v>
      </c>
      <c r="T2" t="b">
        <v>0</v>
      </c>
      <c r="U2" t="b">
        <v>0</v>
      </c>
      <c r="V2" t="b">
        <v>0</v>
      </c>
      <c r="W2" t="b">
        <v>0</v>
      </c>
      <c r="X2" t="b">
        <v>0</v>
      </c>
      <c r="Y2" t="b">
        <v>0</v>
      </c>
      <c r="Z2" t="b">
        <v>0</v>
      </c>
      <c r="AA2" t="b">
        <v>0</v>
      </c>
      <c r="AB2" t="b">
        <v>1</v>
      </c>
      <c r="AC2" s="10" t="s">
        <v>173</v>
      </c>
      <c r="AD2" t="s">
        <v>173</v>
      </c>
      <c r="AE2" t="s">
        <v>175</v>
      </c>
      <c r="AF2" t="s">
        <v>175</v>
      </c>
      <c r="AG2" t="s">
        <v>175</v>
      </c>
      <c r="AH2" t="s">
        <v>173</v>
      </c>
      <c r="AI2" t="s">
        <v>173</v>
      </c>
      <c r="AJ2" t="s">
        <v>173</v>
      </c>
      <c r="AK2" t="s">
        <v>173</v>
      </c>
      <c r="AL2" t="s">
        <v>175</v>
      </c>
      <c r="AM2" t="s">
        <v>175</v>
      </c>
      <c r="AN2" t="s">
        <v>175</v>
      </c>
      <c r="AO2" t="s">
        <v>173</v>
      </c>
      <c r="AP2" t="s">
        <v>173</v>
      </c>
      <c r="AQ2" t="s">
        <v>173</v>
      </c>
      <c r="AR2" t="s">
        <v>175</v>
      </c>
      <c r="AS2" t="s">
        <v>173</v>
      </c>
      <c r="AT2" t="s">
        <v>173</v>
      </c>
      <c r="AU2" t="s">
        <v>175</v>
      </c>
      <c r="AV2" t="s">
        <v>175</v>
      </c>
      <c r="AW2" t="s">
        <v>175</v>
      </c>
      <c r="AX2" t="s">
        <v>193</v>
      </c>
      <c r="AY2" t="s">
        <v>196</v>
      </c>
      <c r="AZ2" t="s">
        <v>207</v>
      </c>
      <c r="BA2" t="s">
        <v>207</v>
      </c>
      <c r="BB2" t="s">
        <v>207</v>
      </c>
      <c r="BC2" t="s">
        <v>207</v>
      </c>
      <c r="BD2" t="s">
        <v>208</v>
      </c>
      <c r="BE2" t="str">
        <f>IF(AY2="",AZ2="Unknown",AY2)</f>
        <v>56-60</v>
      </c>
      <c r="BF2" s="11" t="str">
        <f>IF(AZ2="","unknown",AZ2)</f>
        <v>NO</v>
      </c>
      <c r="BG2" s="11" t="str">
        <f>IF(BA2="","unknown",BA2)</f>
        <v>NO</v>
      </c>
      <c r="BH2" s="11" t="str">
        <f>IF(BB2="","unknown",BB2)</f>
        <v>NO</v>
      </c>
      <c r="BI2" s="11" t="str">
        <f>IF(BC2="","Unknon",BC2)</f>
        <v>NO</v>
      </c>
      <c r="BJ2" s="11" t="str">
        <f>IF(BD2="","Unknown",BD2)</f>
        <v>Yes</v>
      </c>
      <c r="BK2" s="11">
        <f>VALUE(C2)-VALUE(D2)</f>
        <v>29</v>
      </c>
      <c r="BM2" s="11"/>
    </row>
    <row r="3" hidden="1" spans="1:56">
      <c r="A3">
        <v>2</v>
      </c>
      <c r="B3" t="s">
        <v>246</v>
      </c>
      <c r="C3">
        <v>2022</v>
      </c>
      <c r="D3" t="s">
        <v>247</v>
      </c>
      <c r="E3" t="s">
        <v>247</v>
      </c>
      <c r="F3" t="s">
        <v>248</v>
      </c>
      <c r="G3" t="s">
        <v>249</v>
      </c>
      <c r="H3" t="s">
        <v>250</v>
      </c>
      <c r="I3" t="s">
        <v>251</v>
      </c>
      <c r="J3" t="s">
        <v>252</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s">
        <v>173</v>
      </c>
      <c r="AD3" t="s">
        <v>173</v>
      </c>
      <c r="AE3" t="s">
        <v>175</v>
      </c>
      <c r="AF3" t="s">
        <v>175</v>
      </c>
      <c r="AG3" t="s">
        <v>175</v>
      </c>
      <c r="AH3" t="s">
        <v>175</v>
      </c>
      <c r="AI3" t="s">
        <v>173</v>
      </c>
      <c r="AJ3" t="s">
        <v>173</v>
      </c>
      <c r="AK3" t="s">
        <v>173</v>
      </c>
      <c r="AL3" t="s">
        <v>175</v>
      </c>
      <c r="AM3" t="s">
        <v>175</v>
      </c>
      <c r="AN3" t="s">
        <v>175</v>
      </c>
      <c r="AO3" t="s">
        <v>173</v>
      </c>
      <c r="AP3" t="s">
        <v>173</v>
      </c>
      <c r="AQ3" t="s">
        <v>173</v>
      </c>
      <c r="AR3" t="s">
        <v>175</v>
      </c>
      <c r="AS3" t="s">
        <v>173</v>
      </c>
      <c r="AT3" t="s">
        <v>173</v>
      </c>
      <c r="AU3" t="s">
        <v>175</v>
      </c>
      <c r="AV3" t="s">
        <v>175</v>
      </c>
      <c r="AW3" t="s">
        <v>175</v>
      </c>
      <c r="AX3" t="s">
        <v>193</v>
      </c>
      <c r="AY3" t="s">
        <v>196</v>
      </c>
      <c r="AZ3" t="s">
        <v>183</v>
      </c>
      <c r="BA3" t="s">
        <v>183</v>
      </c>
      <c r="BB3" t="s">
        <v>183</v>
      </c>
      <c r="BC3" t="s">
        <v>183</v>
      </c>
      <c r="BD3" t="s">
        <v>183</v>
      </c>
    </row>
    <row r="4" hidden="1" spans="1:56">
      <c r="A4">
        <v>3</v>
      </c>
      <c r="B4" t="s">
        <v>246</v>
      </c>
      <c r="C4">
        <v>2022</v>
      </c>
      <c r="D4">
        <v>2020</v>
      </c>
      <c r="E4">
        <v>2020</v>
      </c>
      <c r="F4" t="s">
        <v>253</v>
      </c>
      <c r="G4"/>
      <c r="H4" t="s">
        <v>250</v>
      </c>
      <c r="I4" t="s">
        <v>254</v>
      </c>
      <c r="J4" t="s">
        <v>252</v>
      </c>
      <c r="K4" t="b">
        <v>0</v>
      </c>
      <c r="L4" t="b">
        <v>0</v>
      </c>
      <c r="M4" t="b">
        <v>0</v>
      </c>
      <c r="N4" t="b">
        <v>0</v>
      </c>
      <c r="O4" t="b">
        <v>0</v>
      </c>
      <c r="P4" t="b">
        <v>0</v>
      </c>
      <c r="Q4" t="b">
        <v>0</v>
      </c>
      <c r="R4" t="b">
        <v>0</v>
      </c>
      <c r="S4" t="b">
        <v>0</v>
      </c>
      <c r="T4" t="b">
        <v>0</v>
      </c>
      <c r="U4" t="b">
        <v>0</v>
      </c>
      <c r="V4" t="b">
        <v>0</v>
      </c>
      <c r="W4" t="b">
        <v>0</v>
      </c>
      <c r="X4" t="b">
        <v>0</v>
      </c>
      <c r="Y4" t="b">
        <v>0</v>
      </c>
      <c r="Z4" t="b">
        <v>0</v>
      </c>
      <c r="AA4" t="b">
        <v>0</v>
      </c>
      <c r="AB4" t="b">
        <v>1</v>
      </c>
      <c r="AC4" t="s">
        <v>175</v>
      </c>
      <c r="AD4" t="s">
        <v>175</v>
      </c>
      <c r="AE4" t="s">
        <v>175</v>
      </c>
      <c r="AF4" t="s">
        <v>175</v>
      </c>
      <c r="AG4" t="s">
        <v>175</v>
      </c>
      <c r="AH4" t="s">
        <v>175</v>
      </c>
      <c r="AI4" t="s">
        <v>175</v>
      </c>
      <c r="AJ4" t="s">
        <v>175</v>
      </c>
      <c r="AK4" t="s">
        <v>175</v>
      </c>
      <c r="AL4" t="s">
        <v>175</v>
      </c>
      <c r="AM4" t="s">
        <v>175</v>
      </c>
      <c r="AN4" t="s">
        <v>175</v>
      </c>
      <c r="AO4" t="s">
        <v>175</v>
      </c>
      <c r="AP4" t="s">
        <v>175</v>
      </c>
      <c r="AQ4" t="s">
        <v>175</v>
      </c>
      <c r="AR4" t="s">
        <v>173</v>
      </c>
      <c r="AS4" t="s">
        <v>173</v>
      </c>
      <c r="AT4" t="s">
        <v>175</v>
      </c>
      <c r="AU4" t="s">
        <v>175</v>
      </c>
      <c r="AV4" t="s">
        <v>175</v>
      </c>
      <c r="AW4" t="s">
        <v>175</v>
      </c>
      <c r="AX4" t="s">
        <v>193</v>
      </c>
      <c r="AY4" t="s">
        <v>195</v>
      </c>
      <c r="AZ4" t="s">
        <v>183</v>
      </c>
      <c r="BA4" t="s">
        <v>183</v>
      </c>
      <c r="BB4" t="s">
        <v>183</v>
      </c>
      <c r="BC4" t="s">
        <v>183</v>
      </c>
      <c r="BD4" t="s">
        <v>183</v>
      </c>
    </row>
    <row r="5" hidden="1" spans="1:56">
      <c r="A5">
        <v>4</v>
      </c>
      <c r="B5" t="s">
        <v>255</v>
      </c>
      <c r="C5">
        <v>2022</v>
      </c>
      <c r="D5">
        <v>2014</v>
      </c>
      <c r="E5">
        <v>2015</v>
      </c>
      <c r="F5" t="s">
        <v>256</v>
      </c>
      <c r="G5" t="s">
        <v>257</v>
      </c>
      <c r="H5" t="s">
        <v>258</v>
      </c>
      <c r="I5"/>
      <c r="J5" t="s">
        <v>252</v>
      </c>
      <c r="K5" t="b">
        <v>0</v>
      </c>
      <c r="L5" t="b">
        <v>1</v>
      </c>
      <c r="M5" t="b">
        <v>0</v>
      </c>
      <c r="N5" t="b">
        <v>0</v>
      </c>
      <c r="O5" t="b">
        <v>0</v>
      </c>
      <c r="P5" t="b">
        <v>0</v>
      </c>
      <c r="Q5" t="b">
        <v>0</v>
      </c>
      <c r="R5" t="b">
        <v>0</v>
      </c>
      <c r="S5" t="b">
        <v>0</v>
      </c>
      <c r="T5" t="b">
        <v>0</v>
      </c>
      <c r="U5" t="b">
        <v>0</v>
      </c>
      <c r="V5" t="b">
        <v>0</v>
      </c>
      <c r="W5" t="b">
        <v>0</v>
      </c>
      <c r="X5" t="b">
        <v>0</v>
      </c>
      <c r="Y5" t="b">
        <v>0</v>
      </c>
      <c r="Z5" t="b">
        <v>0</v>
      </c>
      <c r="AA5" t="b">
        <v>0</v>
      </c>
      <c r="AB5" t="b">
        <v>0</v>
      </c>
      <c r="AC5" t="s">
        <v>173</v>
      </c>
      <c r="AD5" t="s">
        <v>175</v>
      </c>
      <c r="AE5" t="s">
        <v>175</v>
      </c>
      <c r="AF5" t="s">
        <v>175</v>
      </c>
      <c r="AG5" t="s">
        <v>173</v>
      </c>
      <c r="AH5" t="s">
        <v>173</v>
      </c>
      <c r="AI5" t="s">
        <v>175</v>
      </c>
      <c r="AJ5" t="s">
        <v>175</v>
      </c>
      <c r="AK5" t="s">
        <v>173</v>
      </c>
      <c r="AL5" t="s">
        <v>173</v>
      </c>
      <c r="AM5" t="s">
        <v>173</v>
      </c>
      <c r="AN5" t="s">
        <v>173</v>
      </c>
      <c r="AO5" t="s">
        <v>173</v>
      </c>
      <c r="AP5" t="s">
        <v>173</v>
      </c>
      <c r="AQ5" t="s">
        <v>173</v>
      </c>
      <c r="AR5" t="s">
        <v>173</v>
      </c>
      <c r="AS5" t="s">
        <v>173</v>
      </c>
      <c r="AT5" t="s">
        <v>173</v>
      </c>
      <c r="AU5" t="s">
        <v>173</v>
      </c>
      <c r="AV5" t="s">
        <v>175</v>
      </c>
      <c r="AW5" t="s">
        <v>173</v>
      </c>
      <c r="AX5" t="s">
        <v>192</v>
      </c>
      <c r="AY5" t="s">
        <v>201</v>
      </c>
      <c r="AZ5" t="s">
        <v>183</v>
      </c>
      <c r="BA5" t="s">
        <v>183</v>
      </c>
      <c r="BB5" t="s">
        <v>183</v>
      </c>
      <c r="BC5" t="s">
        <v>183</v>
      </c>
      <c r="BD5" t="s">
        <v>183</v>
      </c>
    </row>
    <row r="6" hidden="1" spans="1:56">
      <c r="A6">
        <v>5</v>
      </c>
      <c r="B6" t="s">
        <v>259</v>
      </c>
      <c r="C6">
        <v>2022</v>
      </c>
      <c r="D6">
        <v>1979</v>
      </c>
      <c r="E6">
        <v>1998</v>
      </c>
      <c r="F6" t="s">
        <v>260</v>
      </c>
      <c r="G6"/>
      <c r="H6" t="s">
        <v>261</v>
      </c>
      <c r="I6"/>
      <c r="J6" t="s">
        <v>252</v>
      </c>
      <c r="K6" t="b">
        <v>0</v>
      </c>
      <c r="L6" t="b">
        <v>0</v>
      </c>
      <c r="M6" t="b">
        <v>0</v>
      </c>
      <c r="N6" t="b">
        <v>0</v>
      </c>
      <c r="O6" t="b">
        <v>0</v>
      </c>
      <c r="P6" t="b">
        <v>0</v>
      </c>
      <c r="Q6" t="b">
        <v>0</v>
      </c>
      <c r="R6" t="b">
        <v>0</v>
      </c>
      <c r="S6" t="b">
        <v>0</v>
      </c>
      <c r="T6" t="b">
        <v>0</v>
      </c>
      <c r="U6" t="b">
        <v>0</v>
      </c>
      <c r="V6" t="b">
        <v>0</v>
      </c>
      <c r="W6" t="b">
        <v>0</v>
      </c>
      <c r="X6" t="b">
        <v>0</v>
      </c>
      <c r="Y6" t="b">
        <v>0</v>
      </c>
      <c r="Z6" t="b">
        <v>1</v>
      </c>
      <c r="AA6" t="b">
        <v>0</v>
      </c>
      <c r="AB6" t="b">
        <v>0</v>
      </c>
      <c r="AC6" t="s">
        <v>173</v>
      </c>
      <c r="AD6" t="s">
        <v>173</v>
      </c>
      <c r="AE6" t="s">
        <v>175</v>
      </c>
      <c r="AF6" t="s">
        <v>175</v>
      </c>
      <c r="AG6" t="s">
        <v>177</v>
      </c>
      <c r="AH6" t="s">
        <v>177</v>
      </c>
      <c r="AI6" t="s">
        <v>175</v>
      </c>
      <c r="AJ6" t="s">
        <v>173</v>
      </c>
      <c r="AK6" t="s">
        <v>173</v>
      </c>
      <c r="AL6" t="s">
        <v>173</v>
      </c>
      <c r="AM6" t="s">
        <v>173</v>
      </c>
      <c r="AN6" t="s">
        <v>173</v>
      </c>
      <c r="AO6" t="s">
        <v>173</v>
      </c>
      <c r="AP6" t="s">
        <v>171</v>
      </c>
      <c r="AQ6" t="s">
        <v>171</v>
      </c>
      <c r="AR6" t="s">
        <v>177</v>
      </c>
      <c r="AS6" t="s">
        <v>177</v>
      </c>
      <c r="AT6" t="s">
        <v>173</v>
      </c>
      <c r="AU6" t="s">
        <v>175</v>
      </c>
      <c r="AV6" t="s">
        <v>173</v>
      </c>
      <c r="AW6" t="s">
        <v>181</v>
      </c>
      <c r="AX6" t="s">
        <v>192</v>
      </c>
      <c r="AY6" t="s">
        <v>195</v>
      </c>
      <c r="AZ6" t="s">
        <v>183</v>
      </c>
      <c r="BA6" t="s">
        <v>183</v>
      </c>
      <c r="BB6" t="s">
        <v>183</v>
      </c>
      <c r="BC6" t="s">
        <v>183</v>
      </c>
      <c r="BD6" t="s">
        <v>183</v>
      </c>
    </row>
    <row r="7" hidden="1" spans="1:56">
      <c r="A7">
        <v>6</v>
      </c>
      <c r="B7" t="s">
        <v>255</v>
      </c>
      <c r="C7">
        <v>2022</v>
      </c>
      <c r="D7">
        <v>2003</v>
      </c>
      <c r="E7">
        <v>2006</v>
      </c>
      <c r="F7" t="s">
        <v>262</v>
      </c>
      <c r="G7"/>
      <c r="H7" t="s">
        <v>250</v>
      </c>
      <c r="I7" t="s">
        <v>254</v>
      </c>
      <c r="J7" t="s">
        <v>252</v>
      </c>
      <c r="K7" t="b">
        <v>0</v>
      </c>
      <c r="L7" t="b">
        <v>1</v>
      </c>
      <c r="M7" t="b">
        <v>0</v>
      </c>
      <c r="N7" t="b">
        <v>0</v>
      </c>
      <c r="O7" t="b">
        <v>0</v>
      </c>
      <c r="P7" t="b">
        <v>0</v>
      </c>
      <c r="Q7" t="b">
        <v>0</v>
      </c>
      <c r="R7" t="b">
        <v>0</v>
      </c>
      <c r="S7" t="b">
        <v>0</v>
      </c>
      <c r="T7" t="b">
        <v>1</v>
      </c>
      <c r="U7" t="b">
        <v>1</v>
      </c>
      <c r="V7" t="b">
        <v>0</v>
      </c>
      <c r="W7" t="b">
        <v>0</v>
      </c>
      <c r="X7" t="b">
        <v>0</v>
      </c>
      <c r="Y7" t="b">
        <v>0</v>
      </c>
      <c r="Z7" t="b">
        <v>0</v>
      </c>
      <c r="AA7" t="b">
        <v>0</v>
      </c>
      <c r="AB7" t="b">
        <v>0</v>
      </c>
      <c r="AC7" t="s">
        <v>179</v>
      </c>
      <c r="AD7" t="s">
        <v>179</v>
      </c>
      <c r="AE7" t="s">
        <v>179</v>
      </c>
      <c r="AF7" t="s">
        <v>177</v>
      </c>
      <c r="AG7" t="s">
        <v>179</v>
      </c>
      <c r="AH7" t="s">
        <v>177</v>
      </c>
      <c r="AI7" t="s">
        <v>177</v>
      </c>
      <c r="AJ7" t="s">
        <v>173</v>
      </c>
      <c r="AK7" t="s">
        <v>183</v>
      </c>
      <c r="AL7" t="s">
        <v>171</v>
      </c>
      <c r="AM7" t="s">
        <v>173</v>
      </c>
      <c r="AN7" t="s">
        <v>173</v>
      </c>
      <c r="AO7" t="s">
        <v>175</v>
      </c>
      <c r="AP7" t="s">
        <v>175</v>
      </c>
      <c r="AQ7" t="s">
        <v>177</v>
      </c>
      <c r="AR7" t="s">
        <v>173</v>
      </c>
      <c r="AS7" t="s">
        <v>177</v>
      </c>
      <c r="AT7" t="s">
        <v>177</v>
      </c>
      <c r="AU7" t="s">
        <v>177</v>
      </c>
      <c r="AV7" t="s">
        <v>177</v>
      </c>
      <c r="AW7" t="s">
        <v>183</v>
      </c>
      <c r="AX7" t="s">
        <v>192</v>
      </c>
      <c r="AY7" t="s">
        <v>199</v>
      </c>
      <c r="AZ7" t="s">
        <v>183</v>
      </c>
      <c r="BA7" t="s">
        <v>183</v>
      </c>
      <c r="BB7" t="s">
        <v>183</v>
      </c>
      <c r="BC7" t="s">
        <v>183</v>
      </c>
      <c r="BD7" t="s">
        <v>183</v>
      </c>
    </row>
    <row r="8" hidden="1" spans="1:56">
      <c r="A8">
        <v>7</v>
      </c>
      <c r="B8" t="s">
        <v>259</v>
      </c>
      <c r="C8">
        <v>2022</v>
      </c>
      <c r="D8">
        <v>1981</v>
      </c>
      <c r="E8">
        <v>2016</v>
      </c>
      <c r="F8" t="s">
        <v>256</v>
      </c>
      <c r="G8" t="s">
        <v>263</v>
      </c>
      <c r="H8" t="s">
        <v>264</v>
      </c>
      <c r="I8"/>
      <c r="J8" t="s">
        <v>265</v>
      </c>
      <c r="K8" t="b">
        <v>0</v>
      </c>
      <c r="L8" t="b">
        <v>0</v>
      </c>
      <c r="M8" t="b">
        <v>0</v>
      </c>
      <c r="N8" t="b">
        <v>1</v>
      </c>
      <c r="O8" t="b">
        <v>1</v>
      </c>
      <c r="P8" t="b">
        <v>0</v>
      </c>
      <c r="Q8" t="b">
        <v>0</v>
      </c>
      <c r="R8" t="b">
        <v>0</v>
      </c>
      <c r="S8" t="b">
        <v>0</v>
      </c>
      <c r="T8" t="b">
        <v>0</v>
      </c>
      <c r="U8" t="b">
        <v>0</v>
      </c>
      <c r="V8" t="b">
        <v>0</v>
      </c>
      <c r="W8" t="b">
        <v>0</v>
      </c>
      <c r="X8" t="b">
        <v>0</v>
      </c>
      <c r="Y8" t="b">
        <v>0</v>
      </c>
      <c r="Z8" t="b">
        <v>0</v>
      </c>
      <c r="AA8" t="b">
        <v>0</v>
      </c>
      <c r="AB8" t="b">
        <v>0</v>
      </c>
      <c r="AC8" t="s">
        <v>179</v>
      </c>
      <c r="AD8" t="s">
        <v>175</v>
      </c>
      <c r="AE8" t="s">
        <v>179</v>
      </c>
      <c r="AF8" t="s">
        <v>177</v>
      </c>
      <c r="AG8" t="s">
        <v>173</v>
      </c>
      <c r="AH8" t="s">
        <v>173</v>
      </c>
      <c r="AI8" t="s">
        <v>177</v>
      </c>
      <c r="AJ8" t="s">
        <v>177</v>
      </c>
      <c r="AK8" t="s">
        <v>171</v>
      </c>
      <c r="AL8" t="s">
        <v>177</v>
      </c>
      <c r="AM8" t="s">
        <v>175</v>
      </c>
      <c r="AN8" t="s">
        <v>175</v>
      </c>
      <c r="AO8" t="s">
        <v>177</v>
      </c>
      <c r="AP8" t="s">
        <v>177</v>
      </c>
      <c r="AQ8" t="s">
        <v>175</v>
      </c>
      <c r="AR8" t="s">
        <v>175</v>
      </c>
      <c r="AS8" t="s">
        <v>177</v>
      </c>
      <c r="AT8" t="s">
        <v>177</v>
      </c>
      <c r="AU8" t="s">
        <v>177</v>
      </c>
      <c r="AV8" t="s">
        <v>177</v>
      </c>
      <c r="AW8" t="s">
        <v>179</v>
      </c>
      <c r="AX8" t="s">
        <v>192</v>
      </c>
      <c r="AY8" t="s">
        <v>196</v>
      </c>
      <c r="AZ8" t="s">
        <v>183</v>
      </c>
      <c r="BA8" t="s">
        <v>183</v>
      </c>
      <c r="BB8" t="s">
        <v>183</v>
      </c>
      <c r="BC8" t="s">
        <v>183</v>
      </c>
      <c r="BD8" t="s">
        <v>183</v>
      </c>
    </row>
    <row r="9" hidden="1" spans="1:56">
      <c r="A9">
        <v>8</v>
      </c>
      <c r="B9" t="s">
        <v>259</v>
      </c>
      <c r="C9">
        <v>2022</v>
      </c>
      <c r="D9">
        <v>1997</v>
      </c>
      <c r="E9">
        <v>1999</v>
      </c>
      <c r="F9" t="s">
        <v>266</v>
      </c>
      <c r="G9"/>
      <c r="H9" t="s">
        <v>267</v>
      </c>
      <c r="I9"/>
      <c r="J9" t="s">
        <v>265</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s">
        <v>173</v>
      </c>
      <c r="AD9" t="s">
        <v>183</v>
      </c>
      <c r="AE9" t="s">
        <v>173</v>
      </c>
      <c r="AF9" t="s">
        <v>173</v>
      </c>
      <c r="AG9" t="s">
        <v>171</v>
      </c>
      <c r="AH9" t="s">
        <v>171</v>
      </c>
      <c r="AI9" t="s">
        <v>171</v>
      </c>
      <c r="AJ9" t="s">
        <v>171</v>
      </c>
      <c r="AK9" t="s">
        <v>173</v>
      </c>
      <c r="AL9" t="s">
        <v>171</v>
      </c>
      <c r="AM9" t="s">
        <v>171</v>
      </c>
      <c r="AN9" t="s">
        <v>173</v>
      </c>
      <c r="AO9" t="s">
        <v>183</v>
      </c>
      <c r="AP9" t="s">
        <v>173</v>
      </c>
      <c r="AQ9" t="s">
        <v>175</v>
      </c>
      <c r="AR9" t="s">
        <v>173</v>
      </c>
      <c r="AS9" t="s">
        <v>171</v>
      </c>
      <c r="AT9" t="s">
        <v>173</v>
      </c>
      <c r="AU9" t="s">
        <v>171</v>
      </c>
      <c r="AV9" t="s">
        <v>183</v>
      </c>
      <c r="AW9" t="s">
        <v>171</v>
      </c>
      <c r="AX9" t="s">
        <v>192</v>
      </c>
      <c r="AY9" t="s">
        <v>195</v>
      </c>
      <c r="AZ9" t="s">
        <v>183</v>
      </c>
      <c r="BA9" t="s">
        <v>183</v>
      </c>
      <c r="BB9" t="s">
        <v>183</v>
      </c>
      <c r="BC9" t="s">
        <v>183</v>
      </c>
      <c r="BD9" t="s">
        <v>183</v>
      </c>
    </row>
    <row r="10" hidden="1" spans="1:56">
      <c r="A10">
        <v>9</v>
      </c>
      <c r="B10" t="s">
        <v>255</v>
      </c>
      <c r="C10">
        <v>2022</v>
      </c>
      <c r="D10">
        <v>2018</v>
      </c>
      <c r="E10">
        <v>2018</v>
      </c>
      <c r="F10" t="s">
        <v>256</v>
      </c>
      <c r="G10" t="s">
        <v>263</v>
      </c>
      <c r="H10" t="s">
        <v>268</v>
      </c>
      <c r="I10"/>
      <c r="J10" t="s">
        <v>252</v>
      </c>
      <c r="K10" t="b">
        <v>0</v>
      </c>
      <c r="L10" t="b">
        <v>1</v>
      </c>
      <c r="M10" t="b">
        <v>0</v>
      </c>
      <c r="N10" t="b">
        <v>0</v>
      </c>
      <c r="O10" t="b">
        <v>0</v>
      </c>
      <c r="P10" t="b">
        <v>0</v>
      </c>
      <c r="Q10" t="b">
        <v>0</v>
      </c>
      <c r="R10" t="b">
        <v>0</v>
      </c>
      <c r="S10" t="b">
        <v>0</v>
      </c>
      <c r="T10" t="b">
        <v>0</v>
      </c>
      <c r="U10" t="b">
        <v>0</v>
      </c>
      <c r="V10" t="b">
        <v>0</v>
      </c>
      <c r="W10" t="b">
        <v>0</v>
      </c>
      <c r="X10" t="b">
        <v>0</v>
      </c>
      <c r="Y10" t="b">
        <v>0</v>
      </c>
      <c r="Z10" t="b">
        <v>0</v>
      </c>
      <c r="AA10" t="b">
        <v>0</v>
      </c>
      <c r="AB10" t="b">
        <v>0</v>
      </c>
      <c r="AC10" t="s">
        <v>177</v>
      </c>
      <c r="AD10" t="s">
        <v>175</v>
      </c>
      <c r="AE10" t="s">
        <v>177</v>
      </c>
      <c r="AF10" t="s">
        <v>177</v>
      </c>
      <c r="AG10" t="s">
        <v>175</v>
      </c>
      <c r="AH10" t="s">
        <v>179</v>
      </c>
      <c r="AI10" t="s">
        <v>179</v>
      </c>
      <c r="AJ10" t="s">
        <v>177</v>
      </c>
      <c r="AK10" t="s">
        <v>177</v>
      </c>
      <c r="AL10" t="s">
        <v>175</v>
      </c>
      <c r="AM10" t="s">
        <v>173</v>
      </c>
      <c r="AN10" t="s">
        <v>183</v>
      </c>
      <c r="AO10" t="s">
        <v>179</v>
      </c>
      <c r="AP10" t="s">
        <v>179</v>
      </c>
      <c r="AQ10" t="s">
        <v>175</v>
      </c>
      <c r="AR10" t="s">
        <v>177</v>
      </c>
      <c r="AS10" t="s">
        <v>179</v>
      </c>
      <c r="AT10" t="s">
        <v>177</v>
      </c>
      <c r="AU10" t="s">
        <v>173</v>
      </c>
      <c r="AV10" t="s">
        <v>177</v>
      </c>
      <c r="AW10" t="s">
        <v>175</v>
      </c>
      <c r="AX10" t="s">
        <v>192</v>
      </c>
      <c r="AY10" t="s">
        <v>203</v>
      </c>
      <c r="AZ10" t="s">
        <v>183</v>
      </c>
      <c r="BA10" t="s">
        <v>183</v>
      </c>
      <c r="BB10" t="s">
        <v>183</v>
      </c>
      <c r="BC10" t="s">
        <v>183</v>
      </c>
      <c r="BD10" t="s">
        <v>183</v>
      </c>
    </row>
    <row r="11" hidden="1" spans="1:56">
      <c r="A11">
        <v>10</v>
      </c>
      <c r="B11" t="s">
        <v>269</v>
      </c>
      <c r="C11">
        <v>2022</v>
      </c>
      <c r="D11">
        <v>2006</v>
      </c>
      <c r="E11">
        <v>2017</v>
      </c>
      <c r="F11" t="s">
        <v>266</v>
      </c>
      <c r="G11"/>
      <c r="H11" t="s">
        <v>247</v>
      </c>
      <c r="I11"/>
      <c r="J11" t="s">
        <v>265</v>
      </c>
      <c r="K11" t="b">
        <v>0</v>
      </c>
      <c r="L11" t="b">
        <v>0</v>
      </c>
      <c r="M11" t="b">
        <v>1</v>
      </c>
      <c r="N11" t="b">
        <v>1</v>
      </c>
      <c r="O11" t="b">
        <v>1</v>
      </c>
      <c r="P11" t="b">
        <v>0</v>
      </c>
      <c r="Q11" t="b">
        <v>0</v>
      </c>
      <c r="R11" t="b">
        <v>0</v>
      </c>
      <c r="S11" t="b">
        <v>0</v>
      </c>
      <c r="T11" t="b">
        <v>0</v>
      </c>
      <c r="U11" t="b">
        <v>0</v>
      </c>
      <c r="V11" t="b">
        <v>0</v>
      </c>
      <c r="W11" t="b">
        <v>0</v>
      </c>
      <c r="X11" t="b">
        <v>0</v>
      </c>
      <c r="Y11" t="b">
        <v>0</v>
      </c>
      <c r="Z11" t="b">
        <v>0</v>
      </c>
      <c r="AA11" t="b">
        <v>0</v>
      </c>
      <c r="AB11" t="b">
        <v>0</v>
      </c>
      <c r="AC11" t="s">
        <v>179</v>
      </c>
      <c r="AD11" t="s">
        <v>179</v>
      </c>
      <c r="AE11" t="s">
        <v>179</v>
      </c>
      <c r="AF11" t="s">
        <v>179</v>
      </c>
      <c r="AG11" t="s">
        <v>173</v>
      </c>
      <c r="AH11" t="s">
        <v>179</v>
      </c>
      <c r="AI11" t="s">
        <v>179</v>
      </c>
      <c r="AJ11" t="s">
        <v>179</v>
      </c>
      <c r="AK11" t="s">
        <v>179</v>
      </c>
      <c r="AL11" t="s">
        <v>179</v>
      </c>
      <c r="AM11" t="s">
        <v>179</v>
      </c>
      <c r="AN11" t="s">
        <v>179</v>
      </c>
      <c r="AO11" t="s">
        <v>179</v>
      </c>
      <c r="AP11" t="s">
        <v>179</v>
      </c>
      <c r="AQ11" t="s">
        <v>179</v>
      </c>
      <c r="AR11" t="s">
        <v>179</v>
      </c>
      <c r="AS11" t="s">
        <v>179</v>
      </c>
      <c r="AT11" t="s">
        <v>179</v>
      </c>
      <c r="AU11" t="s">
        <v>179</v>
      </c>
      <c r="AV11" t="s">
        <v>179</v>
      </c>
      <c r="AW11" t="s">
        <v>179</v>
      </c>
      <c r="AX11" t="s">
        <v>192</v>
      </c>
      <c r="AY11" t="s">
        <v>198</v>
      </c>
      <c r="AZ11" t="s">
        <v>183</v>
      </c>
      <c r="BA11" t="s">
        <v>183</v>
      </c>
      <c r="BB11" t="s">
        <v>183</v>
      </c>
      <c r="BC11" t="s">
        <v>183</v>
      </c>
      <c r="BD11" t="s">
        <v>183</v>
      </c>
    </row>
    <row r="12" spans="1:65">
      <c r="A12">
        <v>11</v>
      </c>
      <c r="B12" t="s">
        <v>270</v>
      </c>
      <c r="C12" s="10">
        <v>2022</v>
      </c>
      <c r="D12" s="10">
        <v>2008</v>
      </c>
      <c r="E12" s="10">
        <v>2008</v>
      </c>
      <c r="F12" s="10" t="s">
        <v>256</v>
      </c>
      <c r="G12" s="10" t="s">
        <v>257</v>
      </c>
      <c r="H12" s="10" t="s">
        <v>243</v>
      </c>
      <c r="I12" s="10" t="s">
        <v>271</v>
      </c>
      <c r="J12" s="10" t="s">
        <v>245</v>
      </c>
      <c r="K12" t="b">
        <v>0</v>
      </c>
      <c r="L12" t="b">
        <v>0</v>
      </c>
      <c r="M12" t="b">
        <v>0</v>
      </c>
      <c r="N12" t="b">
        <v>1</v>
      </c>
      <c r="O12" t="b">
        <v>0</v>
      </c>
      <c r="P12" t="b">
        <v>0</v>
      </c>
      <c r="Q12" t="b">
        <v>0</v>
      </c>
      <c r="R12" t="b">
        <v>0</v>
      </c>
      <c r="S12" t="b">
        <v>0</v>
      </c>
      <c r="T12" t="b">
        <v>0</v>
      </c>
      <c r="U12" t="b">
        <v>0</v>
      </c>
      <c r="V12" t="b">
        <v>0</v>
      </c>
      <c r="W12" t="b">
        <v>0</v>
      </c>
      <c r="X12" t="b">
        <v>0</v>
      </c>
      <c r="Y12" t="b">
        <v>0</v>
      </c>
      <c r="Z12" t="b">
        <v>0</v>
      </c>
      <c r="AA12" t="b">
        <v>0</v>
      </c>
      <c r="AB12" t="b">
        <v>0</v>
      </c>
      <c r="AC12" s="10" t="s">
        <v>179</v>
      </c>
      <c r="AD12" t="s">
        <v>179</v>
      </c>
      <c r="AE12" t="s">
        <v>173</v>
      </c>
      <c r="AF12" t="s">
        <v>173</v>
      </c>
      <c r="AG12" t="s">
        <v>173</v>
      </c>
      <c r="AH12" t="s">
        <v>173</v>
      </c>
      <c r="AI12" t="s">
        <v>177</v>
      </c>
      <c r="AJ12" t="s">
        <v>173</v>
      </c>
      <c r="AK12" t="s">
        <v>179</v>
      </c>
      <c r="AL12" t="s">
        <v>173</v>
      </c>
      <c r="AM12" t="s">
        <v>173</v>
      </c>
      <c r="AN12" t="s">
        <v>173</v>
      </c>
      <c r="AO12" t="s">
        <v>173</v>
      </c>
      <c r="AP12" t="s">
        <v>173</v>
      </c>
      <c r="AQ12" t="s">
        <v>173</v>
      </c>
      <c r="AR12" t="s">
        <v>177</v>
      </c>
      <c r="AS12" t="s">
        <v>173</v>
      </c>
      <c r="AT12" t="s">
        <v>179</v>
      </c>
      <c r="AU12" t="s">
        <v>173</v>
      </c>
      <c r="AW12" t="s">
        <v>173</v>
      </c>
      <c r="AX12" t="s">
        <v>193</v>
      </c>
      <c r="AY12" t="s">
        <v>204</v>
      </c>
      <c r="AZ12" t="s">
        <v>207</v>
      </c>
      <c r="BA12" t="s">
        <v>207</v>
      </c>
      <c r="BB12" t="s">
        <v>207</v>
      </c>
      <c r="BC12" t="s">
        <v>207</v>
      </c>
      <c r="BD12" t="s">
        <v>207</v>
      </c>
      <c r="BE12" t="str">
        <f>IF(AY12="","Unknown",AY12)</f>
        <v>61Not StatedorNot Statedolder</v>
      </c>
      <c r="BF12" s="11" t="str">
        <f>IF(AZ12="","unknown",AZ12)</f>
        <v>NO</v>
      </c>
      <c r="BG12" s="11" t="str">
        <f>IF(BA12="","UNKNOWN",BA12)</f>
        <v>NO</v>
      </c>
      <c r="BH12" s="11" t="str">
        <f>IF(BB12="","unknown",BB12)</f>
        <v>NO</v>
      </c>
      <c r="BI12" s="11" t="str">
        <f>IF(BC12="","Unknon",BC12)</f>
        <v>NO</v>
      </c>
      <c r="BJ12" s="11" t="str">
        <f>IF(BD12="","Unknown",BD12)</f>
        <v>NO</v>
      </c>
      <c r="BK12" s="11">
        <f>VALUE(C12)-VALUE(D12)</f>
        <v>14</v>
      </c>
      <c r="BM12" s="11"/>
    </row>
    <row r="13" hidden="1" spans="1:56">
      <c r="A13">
        <v>12</v>
      </c>
      <c r="B13" t="s">
        <v>272</v>
      </c>
      <c r="C13">
        <v>2022</v>
      </c>
      <c r="D13">
        <v>2018</v>
      </c>
      <c r="E13">
        <v>2018</v>
      </c>
      <c r="F13" t="s">
        <v>256</v>
      </c>
      <c r="G13" t="s">
        <v>263</v>
      </c>
      <c r="H13" t="s">
        <v>273</v>
      </c>
      <c r="I13"/>
      <c r="J13" t="s">
        <v>252</v>
      </c>
      <c r="K13" t="b">
        <v>0</v>
      </c>
      <c r="L13" t="b">
        <v>0</v>
      </c>
      <c r="M13" t="b">
        <v>0</v>
      </c>
      <c r="N13" t="b">
        <v>0</v>
      </c>
      <c r="O13" t="b">
        <v>0</v>
      </c>
      <c r="P13" t="b">
        <v>0</v>
      </c>
      <c r="Q13" t="b">
        <v>0</v>
      </c>
      <c r="R13" t="b">
        <v>0</v>
      </c>
      <c r="S13" t="b">
        <v>0</v>
      </c>
      <c r="T13" t="b">
        <v>0</v>
      </c>
      <c r="U13" t="b">
        <v>1</v>
      </c>
      <c r="V13" t="b">
        <v>1</v>
      </c>
      <c r="W13" t="b">
        <v>0</v>
      </c>
      <c r="X13" t="b">
        <v>0</v>
      </c>
      <c r="Y13" t="b">
        <v>0</v>
      </c>
      <c r="Z13" t="b">
        <v>0</v>
      </c>
      <c r="AA13" t="b">
        <v>0</v>
      </c>
      <c r="AB13" t="b">
        <v>0</v>
      </c>
      <c r="AC13" t="s">
        <v>175</v>
      </c>
      <c r="AD13" t="s">
        <v>175</v>
      </c>
      <c r="AE13" t="s">
        <v>175</v>
      </c>
      <c r="AF13" t="s">
        <v>177</v>
      </c>
      <c r="AG13" t="s">
        <v>175</v>
      </c>
      <c r="AH13" t="s">
        <v>175</v>
      </c>
      <c r="AI13" t="s">
        <v>175</v>
      </c>
      <c r="AJ13" t="s">
        <v>175</v>
      </c>
      <c r="AK13" t="s">
        <v>173</v>
      </c>
      <c r="AL13" t="s">
        <v>175</v>
      </c>
      <c r="AM13" t="s">
        <v>175</v>
      </c>
      <c r="AN13" t="s">
        <v>175</v>
      </c>
      <c r="AO13" t="s">
        <v>175</v>
      </c>
      <c r="AP13" t="s">
        <v>175</v>
      </c>
      <c r="AQ13" t="s">
        <v>175</v>
      </c>
      <c r="AR13" t="s">
        <v>175</v>
      </c>
      <c r="AS13" t="s">
        <v>175</v>
      </c>
      <c r="AT13" t="s">
        <v>175</v>
      </c>
      <c r="AU13" t="s">
        <v>175</v>
      </c>
      <c r="AV13" t="s">
        <v>175</v>
      </c>
      <c r="AW13" t="s">
        <v>175</v>
      </c>
      <c r="AX13" t="s">
        <v>193</v>
      </c>
      <c r="AY13" t="s">
        <v>203</v>
      </c>
      <c r="AZ13" t="s">
        <v>183</v>
      </c>
      <c r="BA13" t="s">
        <v>183</v>
      </c>
      <c r="BB13" t="s">
        <v>183</v>
      </c>
      <c r="BC13" t="s">
        <v>183</v>
      </c>
      <c r="BD13" t="s">
        <v>183</v>
      </c>
    </row>
    <row r="14" hidden="1" spans="1:56">
      <c r="A14">
        <v>13</v>
      </c>
      <c r="B14" t="s">
        <v>255</v>
      </c>
      <c r="C14">
        <v>2022</v>
      </c>
      <c r="D14">
        <v>2007</v>
      </c>
      <c r="E14">
        <v>2007</v>
      </c>
      <c r="F14" t="s">
        <v>256</v>
      </c>
      <c r="G14" t="s">
        <v>257</v>
      </c>
      <c r="H14" t="s">
        <v>273</v>
      </c>
      <c r="I14"/>
      <c r="J14" t="s">
        <v>252</v>
      </c>
      <c r="K14" t="b">
        <v>0</v>
      </c>
      <c r="L14" t="b">
        <v>0</v>
      </c>
      <c r="M14" t="b">
        <v>0</v>
      </c>
      <c r="N14" t="b">
        <v>0</v>
      </c>
      <c r="O14" t="b">
        <v>0</v>
      </c>
      <c r="P14" t="b">
        <v>0</v>
      </c>
      <c r="Q14" t="b">
        <v>0</v>
      </c>
      <c r="R14" t="b">
        <v>0</v>
      </c>
      <c r="S14" t="b">
        <v>0</v>
      </c>
      <c r="T14" t="b">
        <v>0</v>
      </c>
      <c r="U14" t="b">
        <v>1</v>
      </c>
      <c r="V14" t="b">
        <v>0</v>
      </c>
      <c r="W14" t="b">
        <v>0</v>
      </c>
      <c r="X14" t="b">
        <v>0</v>
      </c>
      <c r="Y14" t="b">
        <v>0</v>
      </c>
      <c r="Z14" t="b">
        <v>0</v>
      </c>
      <c r="AA14" t="b">
        <v>0</v>
      </c>
      <c r="AB14" t="b">
        <v>0</v>
      </c>
      <c r="AC14" t="s">
        <v>173</v>
      </c>
      <c r="AD14" t="s">
        <v>173</v>
      </c>
      <c r="AE14" t="s">
        <v>173</v>
      </c>
      <c r="AF14" t="s">
        <v>173</v>
      </c>
      <c r="AG14" t="s">
        <v>171</v>
      </c>
      <c r="AH14" t="s">
        <v>171</v>
      </c>
      <c r="AI14" t="s">
        <v>171</v>
      </c>
      <c r="AJ14" t="s">
        <v>173</v>
      </c>
      <c r="AK14" t="s">
        <v>173</v>
      </c>
      <c r="AL14" t="s">
        <v>171</v>
      </c>
      <c r="AM14" t="s">
        <v>171</v>
      </c>
      <c r="AN14" t="s">
        <v>171</v>
      </c>
      <c r="AO14" t="s">
        <v>173</v>
      </c>
      <c r="AP14" t="s">
        <v>173</v>
      </c>
      <c r="AQ14" t="s">
        <v>171</v>
      </c>
      <c r="AR14" t="s">
        <v>173</v>
      </c>
      <c r="AS14" t="s">
        <v>173</v>
      </c>
      <c r="AT14" t="s">
        <v>171</v>
      </c>
      <c r="AU14" t="s">
        <v>171</v>
      </c>
      <c r="AV14" t="s">
        <v>173</v>
      </c>
      <c r="AW14" t="s">
        <v>173</v>
      </c>
      <c r="AX14" t="s">
        <v>192</v>
      </c>
      <c r="AY14" t="s">
        <v>201</v>
      </c>
      <c r="AZ14" t="s">
        <v>183</v>
      </c>
      <c r="BA14" t="s">
        <v>183</v>
      </c>
      <c r="BB14" t="s">
        <v>183</v>
      </c>
      <c r="BC14" t="s">
        <v>183</v>
      </c>
      <c r="BD14" t="s">
        <v>183</v>
      </c>
    </row>
    <row r="15" hidden="1" spans="1:56">
      <c r="A15">
        <v>14</v>
      </c>
      <c r="B15" t="s">
        <v>259</v>
      </c>
      <c r="C15">
        <v>2022</v>
      </c>
      <c r="D15">
        <v>1976</v>
      </c>
      <c r="E15">
        <v>2009</v>
      </c>
      <c r="F15" t="s">
        <v>256</v>
      </c>
      <c r="G15" t="s">
        <v>257</v>
      </c>
      <c r="H15" t="s">
        <v>274</v>
      </c>
      <c r="I15"/>
      <c r="J15" t="s">
        <v>265</v>
      </c>
      <c r="K15" t="b">
        <v>0</v>
      </c>
      <c r="L15" t="b">
        <v>0</v>
      </c>
      <c r="M15" t="b">
        <v>0</v>
      </c>
      <c r="N15" t="b">
        <v>0</v>
      </c>
      <c r="O15" t="b">
        <v>0</v>
      </c>
      <c r="P15" t="b">
        <v>0</v>
      </c>
      <c r="Q15" t="b">
        <v>0</v>
      </c>
      <c r="R15" t="b">
        <v>0</v>
      </c>
      <c r="S15" t="b">
        <v>0</v>
      </c>
      <c r="T15" t="b">
        <v>0</v>
      </c>
      <c r="U15" t="b">
        <v>0</v>
      </c>
      <c r="V15" t="b">
        <v>0</v>
      </c>
      <c r="W15" t="b">
        <v>0</v>
      </c>
      <c r="X15" t="b">
        <v>0</v>
      </c>
      <c r="Y15" t="b">
        <v>0</v>
      </c>
      <c r="Z15" t="b">
        <v>1</v>
      </c>
      <c r="AA15" t="b">
        <v>0</v>
      </c>
      <c r="AB15" t="b">
        <v>0</v>
      </c>
      <c r="AC15" t="s">
        <v>173</v>
      </c>
      <c r="AD15" t="s">
        <v>175</v>
      </c>
      <c r="AE15" t="s">
        <v>173</v>
      </c>
      <c r="AF15" t="s">
        <v>175</v>
      </c>
      <c r="AG15" t="s">
        <v>175</v>
      </c>
      <c r="AH15" t="s">
        <v>173</v>
      </c>
      <c r="AI15" t="s">
        <v>173</v>
      </c>
      <c r="AJ15" t="s">
        <v>173</v>
      </c>
      <c r="AK15" t="s">
        <v>173</v>
      </c>
      <c r="AL15" t="s">
        <v>173</v>
      </c>
      <c r="AM15" t="s">
        <v>173</v>
      </c>
      <c r="AN15" t="s">
        <v>173</v>
      </c>
      <c r="AO15" t="s">
        <v>175</v>
      </c>
      <c r="AP15" t="s">
        <v>175</v>
      </c>
      <c r="AQ15" t="s">
        <v>173</v>
      </c>
      <c r="AR15" t="s">
        <v>173</v>
      </c>
      <c r="AS15" t="s">
        <v>173</v>
      </c>
      <c r="AT15" t="s">
        <v>173</v>
      </c>
      <c r="AU15" t="s">
        <v>173</v>
      </c>
      <c r="AV15" t="s">
        <v>177</v>
      </c>
      <c r="AW15" t="s">
        <v>173</v>
      </c>
      <c r="AX15" t="s">
        <v>192</v>
      </c>
      <c r="AY15" t="s">
        <v>195</v>
      </c>
      <c r="AZ15" t="s">
        <v>183</v>
      </c>
      <c r="BA15" t="s">
        <v>183</v>
      </c>
      <c r="BB15" t="s">
        <v>183</v>
      </c>
      <c r="BC15" t="s">
        <v>183</v>
      </c>
      <c r="BD15" t="s">
        <v>183</v>
      </c>
    </row>
    <row r="16" hidden="1" spans="1:56">
      <c r="A16">
        <v>15</v>
      </c>
      <c r="B16" t="s">
        <v>269</v>
      </c>
      <c r="C16">
        <v>2022</v>
      </c>
      <c r="D16">
        <v>2016</v>
      </c>
      <c r="E16">
        <v>2019</v>
      </c>
      <c r="F16" t="s">
        <v>256</v>
      </c>
      <c r="G16" t="s">
        <v>263</v>
      </c>
      <c r="H16" t="s">
        <v>258</v>
      </c>
      <c r="I16"/>
      <c r="J16" t="s">
        <v>252</v>
      </c>
      <c r="K16" t="b">
        <v>0</v>
      </c>
      <c r="L16" t="b">
        <v>0</v>
      </c>
      <c r="M16" t="b">
        <v>0</v>
      </c>
      <c r="N16" t="b">
        <v>1</v>
      </c>
      <c r="O16" t="b">
        <v>1</v>
      </c>
      <c r="P16" t="b">
        <v>0</v>
      </c>
      <c r="Q16" t="b">
        <v>0</v>
      </c>
      <c r="R16" t="b">
        <v>0</v>
      </c>
      <c r="S16" t="b">
        <v>0</v>
      </c>
      <c r="T16" t="b">
        <v>0</v>
      </c>
      <c r="U16" t="b">
        <v>0</v>
      </c>
      <c r="V16" t="b">
        <v>0</v>
      </c>
      <c r="W16" t="b">
        <v>0</v>
      </c>
      <c r="X16" t="b">
        <v>0</v>
      </c>
      <c r="Y16" t="b">
        <v>0</v>
      </c>
      <c r="Z16" t="b">
        <v>0</v>
      </c>
      <c r="AA16" t="b">
        <v>0</v>
      </c>
      <c r="AB16" t="b">
        <v>0</v>
      </c>
      <c r="AC16" t="s">
        <v>171</v>
      </c>
      <c r="AD16" t="s">
        <v>175</v>
      </c>
      <c r="AE16" t="s">
        <v>171</v>
      </c>
      <c r="AF16" t="s">
        <v>171</v>
      </c>
      <c r="AG16" t="s">
        <v>173</v>
      </c>
      <c r="AH16" t="s">
        <v>173</v>
      </c>
      <c r="AI16" t="s">
        <v>173</v>
      </c>
      <c r="AJ16" t="s">
        <v>171</v>
      </c>
      <c r="AK16" t="s">
        <v>171</v>
      </c>
      <c r="AL16" t="s">
        <v>171</v>
      </c>
      <c r="AM16" t="s">
        <v>171</v>
      </c>
      <c r="AN16" t="s">
        <v>175</v>
      </c>
      <c r="AO16" t="s">
        <v>175</v>
      </c>
      <c r="AP16" t="s">
        <v>173</v>
      </c>
      <c r="AQ16" t="s">
        <v>171</v>
      </c>
      <c r="AR16" t="s">
        <v>171</v>
      </c>
      <c r="AS16" t="s">
        <v>171</v>
      </c>
      <c r="AT16" t="s">
        <v>171</v>
      </c>
      <c r="AU16" t="s">
        <v>171</v>
      </c>
      <c r="AV16" t="s">
        <v>175</v>
      </c>
      <c r="AW16" t="s">
        <v>171</v>
      </c>
      <c r="AX16" t="s">
        <v>193</v>
      </c>
      <c r="AY16" t="s">
        <v>203</v>
      </c>
      <c r="AZ16" t="s">
        <v>183</v>
      </c>
      <c r="BA16" t="s">
        <v>183</v>
      </c>
      <c r="BB16" t="s">
        <v>183</v>
      </c>
      <c r="BC16" t="s">
        <v>183</v>
      </c>
      <c r="BD16" t="s">
        <v>183</v>
      </c>
    </row>
    <row r="17" hidden="1" spans="1:56">
      <c r="A17">
        <v>16</v>
      </c>
      <c r="B17" t="s">
        <v>246</v>
      </c>
      <c r="C17">
        <v>2022</v>
      </c>
      <c r="D17">
        <v>2004</v>
      </c>
      <c r="E17">
        <v>2013</v>
      </c>
      <c r="F17" t="s">
        <v>256</v>
      </c>
      <c r="G17" t="s">
        <v>263</v>
      </c>
      <c r="H17" t="s">
        <v>258</v>
      </c>
      <c r="I17"/>
      <c r="J17" t="s">
        <v>252</v>
      </c>
      <c r="K17" t="b">
        <v>0</v>
      </c>
      <c r="L17" t="b">
        <v>0</v>
      </c>
      <c r="M17" t="b">
        <v>0</v>
      </c>
      <c r="N17" t="b">
        <v>0</v>
      </c>
      <c r="O17" t="b">
        <v>0</v>
      </c>
      <c r="P17" t="b">
        <v>0</v>
      </c>
      <c r="Q17" t="b">
        <v>0</v>
      </c>
      <c r="R17" t="b">
        <v>0</v>
      </c>
      <c r="S17" t="b">
        <v>0</v>
      </c>
      <c r="T17" t="b">
        <v>0</v>
      </c>
      <c r="U17" t="b">
        <v>0</v>
      </c>
      <c r="V17" t="b">
        <v>0</v>
      </c>
      <c r="W17" t="b">
        <v>0</v>
      </c>
      <c r="X17" t="b">
        <v>1</v>
      </c>
      <c r="Y17" t="b">
        <v>0</v>
      </c>
      <c r="Z17" t="b">
        <v>0</v>
      </c>
      <c r="AA17" t="b">
        <v>0</v>
      </c>
      <c r="AB17" t="b">
        <v>0</v>
      </c>
      <c r="AC17" t="s">
        <v>173</v>
      </c>
      <c r="AD17" t="s">
        <v>173</v>
      </c>
      <c r="AE17" t="s">
        <v>177</v>
      </c>
      <c r="AF17" t="s">
        <v>173</v>
      </c>
      <c r="AG17" t="s">
        <v>177</v>
      </c>
      <c r="AH17" t="s">
        <v>177</v>
      </c>
      <c r="AI17" t="s">
        <v>177</v>
      </c>
      <c r="AJ17" t="s">
        <v>177</v>
      </c>
      <c r="AK17" t="s">
        <v>173</v>
      </c>
      <c r="AL17" t="s">
        <v>173</v>
      </c>
      <c r="AM17" t="s">
        <v>173</v>
      </c>
      <c r="AN17" t="s">
        <v>173</v>
      </c>
      <c r="AO17" t="s">
        <v>173</v>
      </c>
      <c r="AP17" t="s">
        <v>173</v>
      </c>
      <c r="AQ17" t="s">
        <v>173</v>
      </c>
      <c r="AR17" t="s">
        <v>175</v>
      </c>
      <c r="AS17" t="s">
        <v>173</v>
      </c>
      <c r="AT17" t="s">
        <v>175</v>
      </c>
      <c r="AU17" t="s">
        <v>173</v>
      </c>
      <c r="AV17" t="s">
        <v>175</v>
      </c>
      <c r="AW17" t="s">
        <v>173</v>
      </c>
      <c r="AX17" t="s">
        <v>193</v>
      </c>
      <c r="AY17" t="s">
        <v>195</v>
      </c>
      <c r="AZ17" t="s">
        <v>183</v>
      </c>
      <c r="BA17" t="s">
        <v>183</v>
      </c>
      <c r="BB17" t="s">
        <v>183</v>
      </c>
      <c r="BC17" t="s">
        <v>183</v>
      </c>
      <c r="BD17" t="s">
        <v>183</v>
      </c>
    </row>
    <row r="18" hidden="1" spans="1:56">
      <c r="A18">
        <v>17</v>
      </c>
      <c r="B18" t="s">
        <v>255</v>
      </c>
      <c r="C18">
        <v>2022</v>
      </c>
      <c r="D18" t="s">
        <v>247</v>
      </c>
      <c r="E18" t="s">
        <v>247</v>
      </c>
      <c r="F18" t="s">
        <v>266</v>
      </c>
      <c r="G18"/>
      <c r="H18" t="s">
        <v>261</v>
      </c>
      <c r="I18"/>
      <c r="J18" t="s">
        <v>265</v>
      </c>
      <c r="K18" t="b">
        <v>0</v>
      </c>
      <c r="L18" t="b">
        <v>0</v>
      </c>
      <c r="M18" t="b">
        <v>0</v>
      </c>
      <c r="N18" t="b">
        <v>0</v>
      </c>
      <c r="O18" t="b">
        <v>0</v>
      </c>
      <c r="P18" t="b">
        <v>0</v>
      </c>
      <c r="Q18" t="b">
        <v>1</v>
      </c>
      <c r="R18" t="b">
        <v>0</v>
      </c>
      <c r="S18" t="b">
        <v>0</v>
      </c>
      <c r="T18" t="b">
        <v>0</v>
      </c>
      <c r="U18" t="b">
        <v>0</v>
      </c>
      <c r="V18" t="b">
        <v>1</v>
      </c>
      <c r="W18" t="b">
        <v>0</v>
      </c>
      <c r="X18" t="b">
        <v>0</v>
      </c>
      <c r="Y18" t="b">
        <v>0</v>
      </c>
      <c r="Z18" t="b">
        <v>0</v>
      </c>
      <c r="AA18" t="b">
        <v>0</v>
      </c>
      <c r="AB18" t="b">
        <v>0</v>
      </c>
      <c r="AC18" t="s">
        <v>181</v>
      </c>
      <c r="AD18" t="s">
        <v>181</v>
      </c>
      <c r="AE18" t="s">
        <v>177</v>
      </c>
      <c r="AF18" t="s">
        <v>179</v>
      </c>
      <c r="AG18" t="s">
        <v>181</v>
      </c>
      <c r="AH18" t="s">
        <v>181</v>
      </c>
      <c r="AI18" t="s">
        <v>179</v>
      </c>
      <c r="AJ18" t="s">
        <v>179</v>
      </c>
      <c r="AK18" t="s">
        <v>181</v>
      </c>
      <c r="AL18" t="s">
        <v>181</v>
      </c>
      <c r="AM18" t="s">
        <v>173</v>
      </c>
      <c r="AN18" t="s">
        <v>181</v>
      </c>
      <c r="AO18" t="s">
        <v>181</v>
      </c>
      <c r="AP18" t="s">
        <v>181</v>
      </c>
      <c r="AQ18" t="s">
        <v>181</v>
      </c>
      <c r="AR18" t="s">
        <v>179</v>
      </c>
      <c r="AS18" t="s">
        <v>173</v>
      </c>
      <c r="AT18" t="s">
        <v>173</v>
      </c>
      <c r="AU18" t="s">
        <v>181</v>
      </c>
      <c r="AV18" t="s">
        <v>181</v>
      </c>
      <c r="AW18" t="s">
        <v>181</v>
      </c>
      <c r="AX18" t="s">
        <v>193</v>
      </c>
      <c r="AY18" t="s">
        <v>195</v>
      </c>
      <c r="AZ18" t="s">
        <v>183</v>
      </c>
      <c r="BA18" t="s">
        <v>183</v>
      </c>
      <c r="BB18" t="s">
        <v>183</v>
      </c>
      <c r="BC18" t="s">
        <v>183</v>
      </c>
      <c r="BD18" t="s">
        <v>183</v>
      </c>
    </row>
    <row r="19" hidden="1" spans="1:56">
      <c r="A19">
        <v>18</v>
      </c>
      <c r="B19" t="s">
        <v>259</v>
      </c>
      <c r="C19">
        <v>2022</v>
      </c>
      <c r="D19">
        <v>2005</v>
      </c>
      <c r="E19">
        <v>2005</v>
      </c>
      <c r="F19" t="s">
        <v>256</v>
      </c>
      <c r="G19" t="s">
        <v>257</v>
      </c>
      <c r="H19" t="s">
        <v>258</v>
      </c>
      <c r="I19"/>
      <c r="J19" t="s">
        <v>252</v>
      </c>
      <c r="K19" t="b">
        <v>0</v>
      </c>
      <c r="L19" t="b">
        <v>0</v>
      </c>
      <c r="M19" t="b">
        <v>0</v>
      </c>
      <c r="N19" t="b">
        <v>0</v>
      </c>
      <c r="O19" t="b">
        <v>0</v>
      </c>
      <c r="P19" t="b">
        <v>0</v>
      </c>
      <c r="Q19" t="b">
        <v>0</v>
      </c>
      <c r="R19" t="b">
        <v>0</v>
      </c>
      <c r="S19" t="b">
        <v>0</v>
      </c>
      <c r="T19" t="b">
        <v>0</v>
      </c>
      <c r="U19" t="b">
        <v>1</v>
      </c>
      <c r="V19" t="b">
        <v>0</v>
      </c>
      <c r="W19" t="b">
        <v>0</v>
      </c>
      <c r="X19" t="b">
        <v>0</v>
      </c>
      <c r="Y19" t="b">
        <v>0</v>
      </c>
      <c r="Z19" t="b">
        <v>0</v>
      </c>
      <c r="AA19" t="b">
        <v>0</v>
      </c>
      <c r="AB19" t="b">
        <v>0</v>
      </c>
      <c r="AC19" t="s">
        <v>173</v>
      </c>
      <c r="AD19" t="s">
        <v>175</v>
      </c>
      <c r="AE19" t="s">
        <v>173</v>
      </c>
      <c r="AF19" t="s">
        <v>183</v>
      </c>
      <c r="AG19" t="s">
        <v>173</v>
      </c>
      <c r="AH19" t="s">
        <v>177</v>
      </c>
      <c r="AI19" t="s">
        <v>173</v>
      </c>
      <c r="AJ19" t="s">
        <v>173</v>
      </c>
      <c r="AK19" t="s">
        <v>171</v>
      </c>
      <c r="AL19" t="s">
        <v>173</v>
      </c>
      <c r="AM19" t="s">
        <v>173</v>
      </c>
      <c r="AN19" t="s">
        <v>171</v>
      </c>
      <c r="AO19" t="s">
        <v>173</v>
      </c>
      <c r="AP19" t="s">
        <v>173</v>
      </c>
      <c r="AQ19" t="s">
        <v>183</v>
      </c>
      <c r="AR19" t="s">
        <v>173</v>
      </c>
      <c r="AS19" t="s">
        <v>173</v>
      </c>
      <c r="AT19" t="s">
        <v>173</v>
      </c>
      <c r="AU19" t="s">
        <v>173</v>
      </c>
      <c r="AV19" t="s">
        <v>173</v>
      </c>
      <c r="AW19" t="s">
        <v>173</v>
      </c>
      <c r="AX19" t="s">
        <v>192</v>
      </c>
      <c r="AY19" t="s">
        <v>196</v>
      </c>
      <c r="AZ19" t="s">
        <v>183</v>
      </c>
      <c r="BA19" t="s">
        <v>183</v>
      </c>
      <c r="BB19" t="s">
        <v>183</v>
      </c>
      <c r="BC19" t="s">
        <v>183</v>
      </c>
      <c r="BD19" t="s">
        <v>183</v>
      </c>
    </row>
    <row r="20" hidden="1" spans="1:56">
      <c r="A20">
        <v>19</v>
      </c>
      <c r="B20" t="s">
        <v>259</v>
      </c>
      <c r="C20">
        <v>2022</v>
      </c>
      <c r="D20">
        <v>2015</v>
      </c>
      <c r="E20">
        <v>2015</v>
      </c>
      <c r="F20" t="s">
        <v>275</v>
      </c>
      <c r="G20"/>
      <c r="H20" t="s">
        <v>250</v>
      </c>
      <c r="I20" t="s">
        <v>254</v>
      </c>
      <c r="J20" t="s">
        <v>252</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1</v>
      </c>
      <c r="AC20" t="s">
        <v>173</v>
      </c>
      <c r="AD20" t="s">
        <v>183</v>
      </c>
      <c r="AE20" t="s">
        <v>173</v>
      </c>
      <c r="AF20" t="s">
        <v>173</v>
      </c>
      <c r="AG20" t="s">
        <v>173</v>
      </c>
      <c r="AH20" t="s">
        <v>173</v>
      </c>
      <c r="AI20" t="s">
        <v>173</v>
      </c>
      <c r="AJ20" t="s">
        <v>173</v>
      </c>
      <c r="AK20" t="s">
        <v>173</v>
      </c>
      <c r="AL20" t="s">
        <v>173</v>
      </c>
      <c r="AM20" t="s">
        <v>173</v>
      </c>
      <c r="AN20" t="s">
        <v>183</v>
      </c>
      <c r="AO20" t="s">
        <v>183</v>
      </c>
      <c r="AP20" t="s">
        <v>173</v>
      </c>
      <c r="AQ20" t="s">
        <v>173</v>
      </c>
      <c r="AR20" t="s">
        <v>173</v>
      </c>
      <c r="AS20" t="s">
        <v>173</v>
      </c>
      <c r="AT20" t="s">
        <v>173</v>
      </c>
      <c r="AU20" t="s">
        <v>173</v>
      </c>
      <c r="AV20" t="s">
        <v>173</v>
      </c>
      <c r="AW20" t="s">
        <v>173</v>
      </c>
      <c r="AX20" t="s">
        <v>192</v>
      </c>
      <c r="AY20" t="s">
        <v>195</v>
      </c>
      <c r="AZ20" t="s">
        <v>183</v>
      </c>
      <c r="BA20" t="s">
        <v>183</v>
      </c>
      <c r="BB20" t="s">
        <v>183</v>
      </c>
      <c r="BC20" t="s">
        <v>183</v>
      </c>
      <c r="BD20" t="s">
        <v>183</v>
      </c>
    </row>
    <row r="21" hidden="1" spans="1:56">
      <c r="A21">
        <v>20</v>
      </c>
      <c r="B21" t="s">
        <v>259</v>
      </c>
      <c r="C21">
        <v>2022</v>
      </c>
      <c r="D21">
        <v>1998</v>
      </c>
      <c r="E21">
        <v>1998</v>
      </c>
      <c r="F21" t="s">
        <v>275</v>
      </c>
      <c r="G21"/>
      <c r="H21" t="s">
        <v>250</v>
      </c>
      <c r="I21" t="s">
        <v>254</v>
      </c>
      <c r="J21" t="s">
        <v>252</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1</v>
      </c>
      <c r="AC21" t="s">
        <v>173</v>
      </c>
      <c r="AD21" t="s">
        <v>183</v>
      </c>
      <c r="AE21" t="s">
        <v>173</v>
      </c>
      <c r="AF21" t="s">
        <v>173</v>
      </c>
      <c r="AG21" t="s">
        <v>173</v>
      </c>
      <c r="AH21" t="s">
        <v>173</v>
      </c>
      <c r="AI21" t="s">
        <v>173</v>
      </c>
      <c r="AJ21" t="s">
        <v>173</v>
      </c>
      <c r="AK21" t="s">
        <v>173</v>
      </c>
      <c r="AL21" t="s">
        <v>173</v>
      </c>
      <c r="AM21" t="s">
        <v>173</v>
      </c>
      <c r="AN21" t="s">
        <v>183</v>
      </c>
      <c r="AO21" t="s">
        <v>183</v>
      </c>
      <c r="AP21" t="s">
        <v>173</v>
      </c>
      <c r="AQ21" t="s">
        <v>173</v>
      </c>
      <c r="AR21" t="s">
        <v>173</v>
      </c>
      <c r="AS21" t="s">
        <v>173</v>
      </c>
      <c r="AT21" t="s">
        <v>173</v>
      </c>
      <c r="AU21" t="s">
        <v>173</v>
      </c>
      <c r="AV21" t="s">
        <v>173</v>
      </c>
      <c r="AW21" t="s">
        <v>173</v>
      </c>
      <c r="AX21" t="s">
        <v>193</v>
      </c>
      <c r="AY21" t="s">
        <v>195</v>
      </c>
      <c r="AZ21" t="s">
        <v>183</v>
      </c>
      <c r="BA21" t="s">
        <v>183</v>
      </c>
      <c r="BB21" t="s">
        <v>183</v>
      </c>
      <c r="BC21" t="s">
        <v>183</v>
      </c>
      <c r="BD21" t="s">
        <v>183</v>
      </c>
    </row>
    <row r="22" hidden="1" spans="1:56">
      <c r="A22">
        <v>21</v>
      </c>
      <c r="B22" t="s">
        <v>269</v>
      </c>
      <c r="C22">
        <v>2022</v>
      </c>
      <c r="D22">
        <v>1991</v>
      </c>
      <c r="E22">
        <v>1991</v>
      </c>
      <c r="F22" t="s">
        <v>256</v>
      </c>
      <c r="G22" t="s">
        <v>263</v>
      </c>
      <c r="H22" t="s">
        <v>258</v>
      </c>
      <c r="I22"/>
      <c r="J22" t="s">
        <v>252</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1</v>
      </c>
      <c r="AC22" t="s">
        <v>173</v>
      </c>
      <c r="AD22" t="s">
        <v>173</v>
      </c>
      <c r="AE22" t="s">
        <v>175</v>
      </c>
      <c r="AF22" t="s">
        <v>173</v>
      </c>
      <c r="AG22" t="s">
        <v>173</v>
      </c>
      <c r="AH22" t="s">
        <v>177</v>
      </c>
      <c r="AI22" t="s">
        <v>177</v>
      </c>
      <c r="AJ22" t="s">
        <v>173</v>
      </c>
      <c r="AK22" t="s">
        <v>173</v>
      </c>
      <c r="AL22" t="s">
        <v>173</v>
      </c>
      <c r="AM22" t="s">
        <v>175</v>
      </c>
      <c r="AN22" t="s">
        <v>179</v>
      </c>
      <c r="AO22" t="s">
        <v>177</v>
      </c>
      <c r="AP22" t="s">
        <v>173</v>
      </c>
      <c r="AQ22" t="s">
        <v>173</v>
      </c>
      <c r="AR22" t="s">
        <v>177</v>
      </c>
      <c r="AS22" t="s">
        <v>171</v>
      </c>
      <c r="AT22" t="s">
        <v>175</v>
      </c>
      <c r="AU22" t="s">
        <v>173</v>
      </c>
      <c r="AV22" t="s">
        <v>179</v>
      </c>
      <c r="AW22" t="s">
        <v>173</v>
      </c>
      <c r="AX22" t="s">
        <v>193</v>
      </c>
      <c r="AY22" t="s">
        <v>196</v>
      </c>
      <c r="AZ22" t="s">
        <v>183</v>
      </c>
      <c r="BA22" t="s">
        <v>183</v>
      </c>
      <c r="BB22" t="s">
        <v>183</v>
      </c>
      <c r="BC22" t="s">
        <v>183</v>
      </c>
      <c r="BD22" t="s">
        <v>183</v>
      </c>
    </row>
    <row r="23" hidden="1" spans="1:56">
      <c r="A23">
        <v>22</v>
      </c>
      <c r="B23" t="s">
        <v>255</v>
      </c>
      <c r="C23">
        <v>2022</v>
      </c>
      <c r="D23">
        <v>1989</v>
      </c>
      <c r="E23">
        <v>2018</v>
      </c>
      <c r="F23" t="s">
        <v>275</v>
      </c>
      <c r="G23"/>
      <c r="H23" t="s">
        <v>264</v>
      </c>
      <c r="I23"/>
      <c r="J23" t="s">
        <v>265</v>
      </c>
      <c r="K23" t="b">
        <v>0</v>
      </c>
      <c r="L23" t="b">
        <v>0</v>
      </c>
      <c r="M23" t="b">
        <v>1</v>
      </c>
      <c r="N23" t="b">
        <v>0</v>
      </c>
      <c r="O23" t="b">
        <v>0</v>
      </c>
      <c r="P23" t="b">
        <v>0</v>
      </c>
      <c r="Q23" t="b">
        <v>0</v>
      </c>
      <c r="R23" t="b">
        <v>0</v>
      </c>
      <c r="S23" t="b">
        <v>0</v>
      </c>
      <c r="T23" t="b">
        <v>0</v>
      </c>
      <c r="U23" t="b">
        <v>0</v>
      </c>
      <c r="V23" t="b">
        <v>0</v>
      </c>
      <c r="W23" t="b">
        <v>0</v>
      </c>
      <c r="X23" t="b">
        <v>0</v>
      </c>
      <c r="Y23" t="b">
        <v>0</v>
      </c>
      <c r="Z23" t="b">
        <v>0</v>
      </c>
      <c r="AA23" t="b">
        <v>0</v>
      </c>
      <c r="AB23" t="b">
        <v>0</v>
      </c>
      <c r="AC23" t="s">
        <v>171</v>
      </c>
      <c r="AD23" t="s">
        <v>183</v>
      </c>
      <c r="AE23" t="s">
        <v>177</v>
      </c>
      <c r="AF23" t="s">
        <v>171</v>
      </c>
      <c r="AG23" t="s">
        <v>171</v>
      </c>
      <c r="AH23" t="s">
        <v>171</v>
      </c>
      <c r="AI23" t="s">
        <v>173</v>
      </c>
      <c r="AJ23" t="s">
        <v>171</v>
      </c>
      <c r="AK23" t="s">
        <v>177</v>
      </c>
      <c r="AL23" t="s">
        <v>171</v>
      </c>
      <c r="AM23" t="s">
        <v>171</v>
      </c>
      <c r="AN23" t="s">
        <v>173</v>
      </c>
      <c r="AO23" t="s">
        <v>171</v>
      </c>
      <c r="AP23" t="s">
        <v>171</v>
      </c>
      <c r="AQ23" t="s">
        <v>171</v>
      </c>
      <c r="AR23" t="s">
        <v>171</v>
      </c>
      <c r="AS23" t="s">
        <v>171</v>
      </c>
      <c r="AT23" t="s">
        <v>171</v>
      </c>
      <c r="AU23" t="s">
        <v>171</v>
      </c>
      <c r="AV23" t="s">
        <v>183</v>
      </c>
      <c r="AW23" t="s">
        <v>171</v>
      </c>
      <c r="AX23" t="s">
        <v>192</v>
      </c>
      <c r="AY23" t="s">
        <v>197</v>
      </c>
      <c r="AZ23" t="s">
        <v>183</v>
      </c>
      <c r="BA23" t="s">
        <v>183</v>
      </c>
      <c r="BB23" t="s">
        <v>183</v>
      </c>
      <c r="BC23" t="s">
        <v>183</v>
      </c>
      <c r="BD23" t="s">
        <v>183</v>
      </c>
    </row>
    <row r="24" hidden="1" spans="1:56">
      <c r="A24">
        <v>23</v>
      </c>
      <c r="B24" t="s">
        <v>255</v>
      </c>
      <c r="C24">
        <v>2022</v>
      </c>
      <c r="D24">
        <v>2006</v>
      </c>
      <c r="E24">
        <v>2007</v>
      </c>
      <c r="F24" t="s">
        <v>276</v>
      </c>
      <c r="G24"/>
      <c r="H24" t="s">
        <v>274</v>
      </c>
      <c r="I24"/>
      <c r="J24" t="s">
        <v>265</v>
      </c>
      <c r="K24" t="b">
        <v>0</v>
      </c>
      <c r="L24" t="b">
        <v>0</v>
      </c>
      <c r="M24" t="b">
        <v>0</v>
      </c>
      <c r="N24" t="b">
        <v>0</v>
      </c>
      <c r="O24" t="b">
        <v>1</v>
      </c>
      <c r="P24" t="b">
        <v>0</v>
      </c>
      <c r="Q24" t="b">
        <v>1</v>
      </c>
      <c r="R24" t="b">
        <v>0</v>
      </c>
      <c r="S24" t="b">
        <v>0</v>
      </c>
      <c r="T24" t="b">
        <v>0</v>
      </c>
      <c r="U24" t="b">
        <v>0</v>
      </c>
      <c r="V24" t="b">
        <v>0</v>
      </c>
      <c r="W24" t="b">
        <v>0</v>
      </c>
      <c r="X24" t="b">
        <v>0</v>
      </c>
      <c r="Y24" t="b">
        <v>0</v>
      </c>
      <c r="Z24" t="b">
        <v>1</v>
      </c>
      <c r="AA24" t="b">
        <v>0</v>
      </c>
      <c r="AB24" t="b">
        <v>0</v>
      </c>
      <c r="AC24" t="s">
        <v>177</v>
      </c>
      <c r="AD24" t="s">
        <v>175</v>
      </c>
      <c r="AE24" t="s">
        <v>175</v>
      </c>
      <c r="AF24" t="s">
        <v>177</v>
      </c>
      <c r="AG24" t="s">
        <v>173</v>
      </c>
      <c r="AH24" t="s">
        <v>173</v>
      </c>
      <c r="AI24" t="s">
        <v>173</v>
      </c>
      <c r="AJ24" t="s">
        <v>177</v>
      </c>
      <c r="AK24" t="s">
        <v>173</v>
      </c>
      <c r="AL24" t="s">
        <v>173</v>
      </c>
      <c r="AM24" t="s">
        <v>173</v>
      </c>
      <c r="AN24" t="s">
        <v>175</v>
      </c>
      <c r="AO24" t="s">
        <v>175</v>
      </c>
      <c r="AP24" t="s">
        <v>173</v>
      </c>
      <c r="AQ24" t="s">
        <v>175</v>
      </c>
      <c r="AR24" t="s">
        <v>177</v>
      </c>
      <c r="AS24" t="s">
        <v>177</v>
      </c>
      <c r="AT24" t="s">
        <v>175</v>
      </c>
      <c r="AU24" t="s">
        <v>175</v>
      </c>
      <c r="AV24" t="s">
        <v>177</v>
      </c>
      <c r="AW24" t="s">
        <v>177</v>
      </c>
      <c r="AX24" t="s">
        <v>192</v>
      </c>
      <c r="AY24" t="s">
        <v>198</v>
      </c>
      <c r="AZ24" t="s">
        <v>183</v>
      </c>
      <c r="BA24" t="s">
        <v>183</v>
      </c>
      <c r="BB24" t="s">
        <v>183</v>
      </c>
      <c r="BC24" t="s">
        <v>183</v>
      </c>
      <c r="BD24" t="s">
        <v>183</v>
      </c>
    </row>
    <row r="25" hidden="1" spans="1:56">
      <c r="A25">
        <v>24</v>
      </c>
      <c r="B25" t="s">
        <v>255</v>
      </c>
      <c r="C25">
        <v>2022</v>
      </c>
      <c r="D25">
        <v>1982</v>
      </c>
      <c r="E25">
        <v>2021</v>
      </c>
      <c r="F25" t="s">
        <v>256</v>
      </c>
      <c r="G25" t="s">
        <v>257</v>
      </c>
      <c r="H25" t="s">
        <v>268</v>
      </c>
      <c r="I25"/>
      <c r="J25" t="s">
        <v>252</v>
      </c>
      <c r="K25" t="b">
        <v>0</v>
      </c>
      <c r="L25" t="b">
        <v>0</v>
      </c>
      <c r="M25" t="b">
        <v>0</v>
      </c>
      <c r="N25" t="b">
        <v>1</v>
      </c>
      <c r="O25" t="b">
        <v>0</v>
      </c>
      <c r="P25" t="b">
        <v>0</v>
      </c>
      <c r="Q25" t="b">
        <v>0</v>
      </c>
      <c r="R25" t="b">
        <v>0</v>
      </c>
      <c r="S25" t="b">
        <v>1</v>
      </c>
      <c r="T25" t="b">
        <v>0</v>
      </c>
      <c r="U25" t="b">
        <v>1</v>
      </c>
      <c r="V25" t="b">
        <v>0</v>
      </c>
      <c r="W25" t="b">
        <v>0</v>
      </c>
      <c r="X25" t="b">
        <v>0</v>
      </c>
      <c r="Y25" t="b">
        <v>0</v>
      </c>
      <c r="Z25" t="b">
        <v>1</v>
      </c>
      <c r="AA25" t="b">
        <v>0</v>
      </c>
      <c r="AB25" t="b">
        <v>0</v>
      </c>
      <c r="AC25" t="s">
        <v>181</v>
      </c>
      <c r="AD25" t="s">
        <v>179</v>
      </c>
      <c r="AE25" t="s">
        <v>177</v>
      </c>
      <c r="AF25" t="s">
        <v>181</v>
      </c>
      <c r="AG25" t="s">
        <v>179</v>
      </c>
      <c r="AH25" t="s">
        <v>179</v>
      </c>
      <c r="AI25" t="s">
        <v>177</v>
      </c>
      <c r="AJ25" t="s">
        <v>177</v>
      </c>
      <c r="AK25" t="s">
        <v>173</v>
      </c>
      <c r="AL25" t="s">
        <v>177</v>
      </c>
      <c r="AM25" t="s">
        <v>177</v>
      </c>
      <c r="AN25" t="s">
        <v>181</v>
      </c>
      <c r="AO25" t="s">
        <v>179</v>
      </c>
      <c r="AP25" t="s">
        <v>179</v>
      </c>
      <c r="AQ25" t="s">
        <v>179</v>
      </c>
      <c r="AR25" t="s">
        <v>173</v>
      </c>
      <c r="AS25" t="s">
        <v>179</v>
      </c>
      <c r="AT25" t="s">
        <v>179</v>
      </c>
      <c r="AU25" t="s">
        <v>177</v>
      </c>
      <c r="AV25" t="s">
        <v>179</v>
      </c>
      <c r="AW25" t="s">
        <v>179</v>
      </c>
      <c r="AX25" t="s">
        <v>192</v>
      </c>
      <c r="AY25" t="s">
        <v>195</v>
      </c>
      <c r="AZ25" t="s">
        <v>183</v>
      </c>
      <c r="BA25" t="s">
        <v>183</v>
      </c>
      <c r="BB25" t="s">
        <v>183</v>
      </c>
      <c r="BC25" t="s">
        <v>183</v>
      </c>
      <c r="BD25" t="s">
        <v>183</v>
      </c>
    </row>
    <row r="26" hidden="1" spans="1:56">
      <c r="A26">
        <v>25</v>
      </c>
      <c r="B26" t="s">
        <v>259</v>
      </c>
      <c r="C26">
        <v>2022</v>
      </c>
      <c r="D26">
        <v>1990</v>
      </c>
      <c r="E26">
        <v>1990</v>
      </c>
      <c r="F26" t="s">
        <v>266</v>
      </c>
      <c r="G26"/>
      <c r="H26" t="s">
        <v>267</v>
      </c>
      <c r="I26"/>
      <c r="J26" t="s">
        <v>265</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1</v>
      </c>
      <c r="AC26" t="s">
        <v>173</v>
      </c>
      <c r="AD26" t="s">
        <v>173</v>
      </c>
      <c r="AE26" t="s">
        <v>171</v>
      </c>
      <c r="AF26" t="s">
        <v>173</v>
      </c>
      <c r="AG26" t="s">
        <v>173</v>
      </c>
      <c r="AH26" t="s">
        <v>171</v>
      </c>
      <c r="AI26" t="s">
        <v>173</v>
      </c>
      <c r="AJ26" t="s">
        <v>173</v>
      </c>
      <c r="AK26" t="s">
        <v>171</v>
      </c>
      <c r="AL26" t="s">
        <v>171</v>
      </c>
      <c r="AM26" t="s">
        <v>171</v>
      </c>
      <c r="AN26" t="s">
        <v>173</v>
      </c>
      <c r="AO26" t="s">
        <v>173</v>
      </c>
      <c r="AP26" t="s">
        <v>175</v>
      </c>
      <c r="AQ26" t="s">
        <v>175</v>
      </c>
      <c r="AR26" t="s">
        <v>173</v>
      </c>
      <c r="AS26" t="s">
        <v>173</v>
      </c>
      <c r="AT26" t="s">
        <v>171</v>
      </c>
      <c r="AU26" t="s">
        <v>173</v>
      </c>
      <c r="AV26" t="s">
        <v>175</v>
      </c>
      <c r="AW26" t="s">
        <v>173</v>
      </c>
      <c r="AX26" t="s">
        <v>192</v>
      </c>
      <c r="AY26" t="s">
        <v>195</v>
      </c>
      <c r="AZ26" t="s">
        <v>183</v>
      </c>
      <c r="BA26" t="s">
        <v>183</v>
      </c>
      <c r="BB26" t="s">
        <v>183</v>
      </c>
      <c r="BC26" t="s">
        <v>183</v>
      </c>
      <c r="BD26" t="s">
        <v>183</v>
      </c>
    </row>
    <row r="27" hidden="1" spans="1:56">
      <c r="A27">
        <v>26</v>
      </c>
      <c r="B27" t="s">
        <v>255</v>
      </c>
      <c r="C27">
        <v>2022</v>
      </c>
      <c r="D27">
        <v>2004</v>
      </c>
      <c r="E27">
        <v>2011</v>
      </c>
      <c r="F27" t="s">
        <v>256</v>
      </c>
      <c r="G27" t="s">
        <v>257</v>
      </c>
      <c r="H27" t="s">
        <v>261</v>
      </c>
      <c r="I27"/>
      <c r="J27" t="s">
        <v>265</v>
      </c>
      <c r="K27" t="b">
        <v>0</v>
      </c>
      <c r="L27" t="b">
        <v>0</v>
      </c>
      <c r="M27" t="b">
        <v>0</v>
      </c>
      <c r="N27" t="b">
        <v>0</v>
      </c>
      <c r="O27" t="b">
        <v>0</v>
      </c>
      <c r="P27" t="b">
        <v>0</v>
      </c>
      <c r="Q27" t="b">
        <v>0</v>
      </c>
      <c r="R27" t="b">
        <v>0</v>
      </c>
      <c r="S27" t="b">
        <v>0</v>
      </c>
      <c r="T27" t="b">
        <v>0</v>
      </c>
      <c r="U27" t="b">
        <v>0</v>
      </c>
      <c r="V27" t="b">
        <v>0</v>
      </c>
      <c r="W27" t="b">
        <v>0</v>
      </c>
      <c r="X27" t="b">
        <v>0</v>
      </c>
      <c r="Y27" t="b">
        <v>0</v>
      </c>
      <c r="Z27" t="b">
        <v>1</v>
      </c>
      <c r="AA27" t="b">
        <v>0</v>
      </c>
      <c r="AB27" t="b">
        <v>0</v>
      </c>
      <c r="AC27" t="s">
        <v>175</v>
      </c>
      <c r="AD27" t="s">
        <v>173</v>
      </c>
      <c r="AE27" t="s">
        <v>179</v>
      </c>
      <c r="AF27" t="s">
        <v>177</v>
      </c>
      <c r="AG27" t="s">
        <v>177</v>
      </c>
      <c r="AH27" t="s">
        <v>179</v>
      </c>
      <c r="AI27" t="s">
        <v>179</v>
      </c>
      <c r="AJ27" t="s">
        <v>175</v>
      </c>
      <c r="AK27" t="s">
        <v>175</v>
      </c>
      <c r="AL27" t="s">
        <v>173</v>
      </c>
      <c r="AM27" t="s">
        <v>175</v>
      </c>
      <c r="AN27" t="s">
        <v>175</v>
      </c>
      <c r="AO27" t="s">
        <v>179</v>
      </c>
      <c r="AP27" t="s">
        <v>179</v>
      </c>
      <c r="AQ27" t="s">
        <v>173</v>
      </c>
      <c r="AR27" t="s">
        <v>175</v>
      </c>
      <c r="AS27" t="s">
        <v>175</v>
      </c>
      <c r="AT27" t="s">
        <v>175</v>
      </c>
      <c r="AU27" t="s">
        <v>173</v>
      </c>
      <c r="AV27" t="s">
        <v>179</v>
      </c>
      <c r="AW27" t="s">
        <v>173</v>
      </c>
      <c r="AX27" t="s">
        <v>192</v>
      </c>
      <c r="AY27" t="s">
        <v>199</v>
      </c>
      <c r="AZ27" t="s">
        <v>183</v>
      </c>
      <c r="BA27" t="s">
        <v>183</v>
      </c>
      <c r="BB27" t="s">
        <v>183</v>
      </c>
      <c r="BC27" t="s">
        <v>183</v>
      </c>
      <c r="BD27" t="s">
        <v>183</v>
      </c>
    </row>
    <row r="28" spans="1:65">
      <c r="A28">
        <v>27</v>
      </c>
      <c r="B28" t="s">
        <v>270</v>
      </c>
      <c r="C28" s="10">
        <v>2022</v>
      </c>
      <c r="D28" s="10">
        <v>1983</v>
      </c>
      <c r="E28" s="10">
        <v>1986</v>
      </c>
      <c r="F28" s="10" t="s">
        <v>256</v>
      </c>
      <c r="G28" s="10" t="s">
        <v>257</v>
      </c>
      <c r="H28" s="10" t="s">
        <v>243</v>
      </c>
      <c r="I28" s="10" t="s">
        <v>271</v>
      </c>
      <c r="J28" s="10" t="s">
        <v>245</v>
      </c>
      <c r="K28" t="b">
        <v>0</v>
      </c>
      <c r="L28" t="b">
        <v>0</v>
      </c>
      <c r="M28" t="b">
        <v>0</v>
      </c>
      <c r="N28" t="b">
        <v>0</v>
      </c>
      <c r="O28" t="b">
        <v>0</v>
      </c>
      <c r="P28" t="b">
        <v>0</v>
      </c>
      <c r="Q28" t="b">
        <v>0</v>
      </c>
      <c r="R28" t="b">
        <v>0</v>
      </c>
      <c r="S28" t="b">
        <v>0</v>
      </c>
      <c r="T28" t="b">
        <v>0</v>
      </c>
      <c r="U28" t="b">
        <v>0</v>
      </c>
      <c r="V28" t="b">
        <v>0</v>
      </c>
      <c r="W28" t="b">
        <v>0</v>
      </c>
      <c r="X28" t="b">
        <v>0</v>
      </c>
      <c r="Y28" t="b">
        <v>0</v>
      </c>
      <c r="Z28" t="b">
        <v>1</v>
      </c>
      <c r="AA28" t="b">
        <v>1</v>
      </c>
      <c r="AB28" t="b">
        <v>0</v>
      </c>
      <c r="AC28" s="10" t="s">
        <v>173</v>
      </c>
      <c r="AD28" t="s">
        <v>173</v>
      </c>
      <c r="AE28" t="s">
        <v>173</v>
      </c>
      <c r="AF28" t="s">
        <v>173</v>
      </c>
      <c r="AG28" t="s">
        <v>173</v>
      </c>
      <c r="AH28" t="s">
        <v>175</v>
      </c>
      <c r="AI28" t="s">
        <v>175</v>
      </c>
      <c r="AJ28" t="s">
        <v>173</v>
      </c>
      <c r="AK28" t="s">
        <v>173</v>
      </c>
      <c r="AL28" t="s">
        <v>173</v>
      </c>
      <c r="AM28" t="s">
        <v>173</v>
      </c>
      <c r="AN28" t="s">
        <v>173</v>
      </c>
      <c r="AO28" t="s">
        <v>173</v>
      </c>
      <c r="AP28" t="s">
        <v>173</v>
      </c>
      <c r="AQ28" t="s">
        <v>173</v>
      </c>
      <c r="AR28" t="s">
        <v>173</v>
      </c>
      <c r="AS28" t="s">
        <v>173</v>
      </c>
      <c r="AT28" t="s">
        <v>173</v>
      </c>
      <c r="AU28" t="s">
        <v>173</v>
      </c>
      <c r="AV28" t="s">
        <v>177</v>
      </c>
      <c r="AW28" t="s">
        <v>173</v>
      </c>
      <c r="AX28" t="s">
        <v>193</v>
      </c>
      <c r="AY28" t="s">
        <v>196</v>
      </c>
      <c r="AZ28" t="s">
        <v>207</v>
      </c>
      <c r="BA28" t="s">
        <v>207</v>
      </c>
      <c r="BB28" t="s">
        <v>207</v>
      </c>
      <c r="BC28" t="s">
        <v>207</v>
      </c>
      <c r="BD28" t="s">
        <v>207</v>
      </c>
      <c r="BE28" t="str">
        <f>IF(AY28="","Unknown",AY28)</f>
        <v>56-60</v>
      </c>
      <c r="BF28" s="11" t="str">
        <f>IF(AZ28="","unknown",AZ28)</f>
        <v>NO</v>
      </c>
      <c r="BG28" s="11" t="str">
        <f>IF(BA28="","UNKNOWN",BA28)</f>
        <v>NO</v>
      </c>
      <c r="BH28" s="11" t="str">
        <f>IF(BB28="","unknown",BB28)</f>
        <v>NO</v>
      </c>
      <c r="BI28" s="11" t="str">
        <f>IF(BC28="","Unknon",BC28)</f>
        <v>NO</v>
      </c>
      <c r="BJ28" s="11" t="str">
        <f>IF(BD28="","Unknown",BD28)</f>
        <v>NO</v>
      </c>
      <c r="BK28" s="11">
        <f>VALUE(C28)-VALUE(D28)</f>
        <v>39</v>
      </c>
      <c r="BM28" s="11"/>
    </row>
    <row r="29" spans="1:65">
      <c r="A29">
        <v>28</v>
      </c>
      <c r="B29" t="s">
        <v>277</v>
      </c>
      <c r="C29" s="10">
        <v>2022</v>
      </c>
      <c r="D29" s="10">
        <v>2014</v>
      </c>
      <c r="E29" s="10">
        <v>2020</v>
      </c>
      <c r="F29" s="10" t="s">
        <v>241</v>
      </c>
      <c r="G29" s="10" t="s">
        <v>249</v>
      </c>
      <c r="H29" s="10" t="s">
        <v>243</v>
      </c>
      <c r="I29" s="10" t="s">
        <v>278</v>
      </c>
      <c r="J29" s="10" t="s">
        <v>245</v>
      </c>
      <c r="K29" t="b">
        <v>1</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s="10" t="s">
        <v>175</v>
      </c>
      <c r="AD29" t="s">
        <v>173</v>
      </c>
      <c r="AE29" t="s">
        <v>173</v>
      </c>
      <c r="AF29" t="s">
        <v>173</v>
      </c>
      <c r="AG29" t="s">
        <v>173</v>
      </c>
      <c r="AH29" t="s">
        <v>173</v>
      </c>
      <c r="AI29" t="s">
        <v>173</v>
      </c>
      <c r="AJ29" t="s">
        <v>173</v>
      </c>
      <c r="AK29" t="s">
        <v>173</v>
      </c>
      <c r="AL29" t="s">
        <v>173</v>
      </c>
      <c r="AM29" t="s">
        <v>173</v>
      </c>
      <c r="AN29" t="s">
        <v>173</v>
      </c>
      <c r="AO29" t="s">
        <v>175</v>
      </c>
      <c r="AP29" t="s">
        <v>175</v>
      </c>
      <c r="AQ29" t="s">
        <v>175</v>
      </c>
      <c r="AR29" t="s">
        <v>173</v>
      </c>
      <c r="AS29" t="s">
        <v>173</v>
      </c>
      <c r="AT29" t="s">
        <v>173</v>
      </c>
      <c r="AU29" t="s">
        <v>173</v>
      </c>
      <c r="AV29" t="s">
        <v>173</v>
      </c>
      <c r="AW29" t="s">
        <v>173</v>
      </c>
      <c r="AX29" t="s">
        <v>192</v>
      </c>
      <c r="AY29" t="s">
        <v>202</v>
      </c>
      <c r="AZ29" t="s">
        <v>208</v>
      </c>
      <c r="BA29" t="s">
        <v>207</v>
      </c>
      <c r="BB29" t="s">
        <v>207</v>
      </c>
      <c r="BC29" t="s">
        <v>207</v>
      </c>
      <c r="BD29" t="s">
        <v>207</v>
      </c>
      <c r="BE29" t="str">
        <f>IF(AY29="","Unknown",AY29)</f>
        <v>21-25</v>
      </c>
      <c r="BF29" s="11" t="str">
        <f>IF(AZ29="","unknown",AZ29)</f>
        <v>Yes</v>
      </c>
      <c r="BG29" s="11" t="str">
        <f>IF(BA29="","UNKNOWN",BA29)</f>
        <v>NO</v>
      </c>
      <c r="BH29" s="11" t="str">
        <f>IF(BB29="","unknown",BB29)</f>
        <v>NO</v>
      </c>
      <c r="BI29" s="11" t="str">
        <f>IF(BC29="","Unknon",BC29)</f>
        <v>NO</v>
      </c>
      <c r="BJ29" s="11" t="str">
        <f>IF(BD29="","Unknown",BD29)</f>
        <v>NO</v>
      </c>
      <c r="BK29" s="11">
        <f>VALUE(C29)-VALUE(D29)</f>
        <v>8</v>
      </c>
      <c r="BM29" s="11"/>
    </row>
    <row r="30" hidden="1" spans="1:56">
      <c r="A30">
        <v>29</v>
      </c>
      <c r="B30" t="s">
        <v>259</v>
      </c>
      <c r="C30">
        <v>2022</v>
      </c>
      <c r="D30">
        <v>1998</v>
      </c>
      <c r="E30">
        <v>1998</v>
      </c>
      <c r="F30" t="s">
        <v>266</v>
      </c>
      <c r="G30"/>
      <c r="H30" t="s">
        <v>264</v>
      </c>
      <c r="I30"/>
      <c r="J30" t="s">
        <v>265</v>
      </c>
      <c r="K30" t="b">
        <v>0</v>
      </c>
      <c r="L30" t="b">
        <v>0</v>
      </c>
      <c r="M30" t="b">
        <v>0</v>
      </c>
      <c r="N30" t="b">
        <v>0</v>
      </c>
      <c r="O30" t="b">
        <v>0</v>
      </c>
      <c r="P30" t="b">
        <v>0</v>
      </c>
      <c r="Q30" t="b">
        <v>0</v>
      </c>
      <c r="R30" t="b">
        <v>0</v>
      </c>
      <c r="S30" t="b">
        <v>0</v>
      </c>
      <c r="T30" t="b">
        <v>0</v>
      </c>
      <c r="U30" t="b">
        <v>0</v>
      </c>
      <c r="V30" t="b">
        <v>0</v>
      </c>
      <c r="W30" t="b">
        <v>1</v>
      </c>
      <c r="X30" t="b">
        <v>0</v>
      </c>
      <c r="Y30" t="b">
        <v>0</v>
      </c>
      <c r="Z30" t="b">
        <v>0</v>
      </c>
      <c r="AA30" t="b">
        <v>0</v>
      </c>
      <c r="AB30" t="b">
        <v>0</v>
      </c>
      <c r="AC30" t="s">
        <v>171</v>
      </c>
      <c r="AD30" t="s">
        <v>171</v>
      </c>
      <c r="AE30" t="s">
        <v>173</v>
      </c>
      <c r="AF30" t="s">
        <v>173</v>
      </c>
      <c r="AG30" t="s">
        <v>171</v>
      </c>
      <c r="AH30" t="s">
        <v>171</v>
      </c>
      <c r="AI30" t="s">
        <v>173</v>
      </c>
      <c r="AJ30" t="s">
        <v>171</v>
      </c>
      <c r="AK30" t="s">
        <v>171</v>
      </c>
      <c r="AL30" t="s">
        <v>171</v>
      </c>
      <c r="AM30" t="s">
        <v>171</v>
      </c>
      <c r="AN30" t="s">
        <v>171</v>
      </c>
      <c r="AO30" t="s">
        <v>171</v>
      </c>
      <c r="AP30" t="s">
        <v>171</v>
      </c>
      <c r="AQ30" t="s">
        <v>171</v>
      </c>
      <c r="AR30" t="s">
        <v>173</v>
      </c>
      <c r="AS30" t="s">
        <v>171</v>
      </c>
      <c r="AT30" t="s">
        <v>171</v>
      </c>
      <c r="AU30" t="s">
        <v>171</v>
      </c>
      <c r="AV30" t="s">
        <v>171</v>
      </c>
      <c r="AW30" t="s">
        <v>171</v>
      </c>
      <c r="AX30" t="s">
        <v>192</v>
      </c>
      <c r="AY30" t="s">
        <v>196</v>
      </c>
      <c r="AZ30" t="s">
        <v>183</v>
      </c>
      <c r="BA30" t="s">
        <v>183</v>
      </c>
      <c r="BB30" t="s">
        <v>183</v>
      </c>
      <c r="BC30" t="s">
        <v>183</v>
      </c>
      <c r="BD30" t="s">
        <v>183</v>
      </c>
    </row>
    <row r="31" hidden="1" spans="1:56">
      <c r="A31">
        <v>30</v>
      </c>
      <c r="B31" t="s">
        <v>259</v>
      </c>
      <c r="C31">
        <v>2022</v>
      </c>
      <c r="D31">
        <v>1984</v>
      </c>
      <c r="E31">
        <v>2012</v>
      </c>
      <c r="F31" t="s">
        <v>256</v>
      </c>
      <c r="G31" t="s">
        <v>279</v>
      </c>
      <c r="H31" t="s">
        <v>261</v>
      </c>
      <c r="I31"/>
      <c r="J31" t="s">
        <v>252</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1</v>
      </c>
      <c r="AC31" t="s">
        <v>173</v>
      </c>
      <c r="AD31" t="s">
        <v>173</v>
      </c>
      <c r="AE31" t="s">
        <v>173</v>
      </c>
      <c r="AF31" t="s">
        <v>173</v>
      </c>
      <c r="AG31" t="s">
        <v>173</v>
      </c>
      <c r="AH31" t="s">
        <v>171</v>
      </c>
      <c r="AI31" t="s">
        <v>173</v>
      </c>
      <c r="AJ31" t="s">
        <v>173</v>
      </c>
      <c r="AK31" t="s">
        <v>173</v>
      </c>
      <c r="AL31" t="s">
        <v>173</v>
      </c>
      <c r="AM31" t="s">
        <v>173</v>
      </c>
      <c r="AN31" t="s">
        <v>173</v>
      </c>
      <c r="AO31" t="s">
        <v>173</v>
      </c>
      <c r="AP31" t="s">
        <v>173</v>
      </c>
      <c r="AQ31" t="s">
        <v>173</v>
      </c>
      <c r="AR31" t="s">
        <v>173</v>
      </c>
      <c r="AS31" t="s">
        <v>173</v>
      </c>
      <c r="AT31" t="s">
        <v>171</v>
      </c>
      <c r="AU31" t="s">
        <v>171</v>
      </c>
      <c r="AV31" t="s">
        <v>173</v>
      </c>
      <c r="AW31" t="s">
        <v>173</v>
      </c>
      <c r="AX31" t="s">
        <v>192</v>
      </c>
      <c r="AY31" t="s">
        <v>196</v>
      </c>
      <c r="AZ31" t="s">
        <v>183</v>
      </c>
      <c r="BA31" t="s">
        <v>183</v>
      </c>
      <c r="BB31" t="s">
        <v>183</v>
      </c>
      <c r="BC31" t="s">
        <v>183</v>
      </c>
      <c r="BD31" t="s">
        <v>183</v>
      </c>
    </row>
    <row r="32" hidden="1" spans="1:56">
      <c r="A32">
        <v>31</v>
      </c>
      <c r="B32" t="s">
        <v>259</v>
      </c>
      <c r="C32">
        <v>2022</v>
      </c>
      <c r="D32">
        <v>1998</v>
      </c>
      <c r="E32">
        <v>1998</v>
      </c>
      <c r="F32" t="s">
        <v>256</v>
      </c>
      <c r="G32" t="s">
        <v>257</v>
      </c>
      <c r="H32" t="s">
        <v>267</v>
      </c>
      <c r="I32"/>
      <c r="J32" t="s">
        <v>252</v>
      </c>
      <c r="K32" t="b">
        <v>0</v>
      </c>
      <c r="L32" t="b">
        <v>0</v>
      </c>
      <c r="M32" t="b">
        <v>0</v>
      </c>
      <c r="N32" t="b">
        <v>1</v>
      </c>
      <c r="O32" t="b">
        <v>1</v>
      </c>
      <c r="P32" t="b">
        <v>0</v>
      </c>
      <c r="Q32" t="b">
        <v>0</v>
      </c>
      <c r="R32" t="b">
        <v>0</v>
      </c>
      <c r="S32" t="b">
        <v>0</v>
      </c>
      <c r="T32" t="b">
        <v>0</v>
      </c>
      <c r="U32" t="b">
        <v>0</v>
      </c>
      <c r="V32" t="b">
        <v>0</v>
      </c>
      <c r="W32" t="b">
        <v>0</v>
      </c>
      <c r="X32" t="b">
        <v>1</v>
      </c>
      <c r="Y32" t="b">
        <v>0</v>
      </c>
      <c r="Z32" t="b">
        <v>0</v>
      </c>
      <c r="AA32" t="b">
        <v>0</v>
      </c>
      <c r="AB32" t="b">
        <v>0</v>
      </c>
      <c r="AC32" t="s">
        <v>177</v>
      </c>
      <c r="AD32" t="s">
        <v>183</v>
      </c>
      <c r="AE32" t="s">
        <v>179</v>
      </c>
      <c r="AF32" t="s">
        <v>179</v>
      </c>
      <c r="AG32" t="s">
        <v>179</v>
      </c>
      <c r="AH32" t="s">
        <v>177</v>
      </c>
      <c r="AI32" t="s">
        <v>177</v>
      </c>
      <c r="AJ32" t="s">
        <v>179</v>
      </c>
      <c r="AK32" t="s">
        <v>173</v>
      </c>
      <c r="AL32" t="s">
        <v>171</v>
      </c>
      <c r="AM32" t="s">
        <v>173</v>
      </c>
      <c r="AN32" t="s">
        <v>183</v>
      </c>
      <c r="AO32" t="s">
        <v>179</v>
      </c>
      <c r="AP32" t="s">
        <v>173</v>
      </c>
      <c r="AQ32" t="s">
        <v>177</v>
      </c>
      <c r="AR32" t="s">
        <v>177</v>
      </c>
      <c r="AS32" t="s">
        <v>173</v>
      </c>
      <c r="AT32" t="s">
        <v>181</v>
      </c>
      <c r="AU32" t="s">
        <v>173</v>
      </c>
      <c r="AV32" t="s">
        <v>179</v>
      </c>
      <c r="AW32" t="s">
        <v>171</v>
      </c>
      <c r="AX32" t="s">
        <v>192</v>
      </c>
      <c r="AY32" t="s">
        <v>196</v>
      </c>
      <c r="AZ32" t="s">
        <v>183</v>
      </c>
      <c r="BA32" t="s">
        <v>183</v>
      </c>
      <c r="BB32" t="s">
        <v>183</v>
      </c>
      <c r="BC32" t="s">
        <v>183</v>
      </c>
      <c r="BD32" t="s">
        <v>183</v>
      </c>
    </row>
    <row r="33" hidden="1" spans="1:56">
      <c r="A33">
        <v>32</v>
      </c>
      <c r="B33" t="s">
        <v>259</v>
      </c>
      <c r="C33">
        <v>2022</v>
      </c>
      <c r="D33">
        <v>1987</v>
      </c>
      <c r="E33">
        <v>1987</v>
      </c>
      <c r="F33" t="s">
        <v>256</v>
      </c>
      <c r="G33" t="s">
        <v>263</v>
      </c>
      <c r="H33" t="s">
        <v>274</v>
      </c>
      <c r="I33"/>
      <c r="J33" t="s">
        <v>265</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1</v>
      </c>
      <c r="AC33" t="s">
        <v>179</v>
      </c>
      <c r="AD33" t="s">
        <v>177</v>
      </c>
      <c r="AE33" t="s">
        <v>173</v>
      </c>
      <c r="AF33" t="s">
        <v>175</v>
      </c>
      <c r="AG33" t="s">
        <v>175</v>
      </c>
      <c r="AH33" t="s">
        <v>173</v>
      </c>
      <c r="AI33" t="s">
        <v>177</v>
      </c>
      <c r="AJ33" t="s">
        <v>173</v>
      </c>
      <c r="AK33" t="s">
        <v>173</v>
      </c>
      <c r="AL33" t="s">
        <v>173</v>
      </c>
      <c r="AM33" t="s">
        <v>177</v>
      </c>
      <c r="AN33" t="s">
        <v>175</v>
      </c>
      <c r="AO33" t="s">
        <v>179</v>
      </c>
      <c r="AP33" t="s">
        <v>175</v>
      </c>
      <c r="AQ33" t="s">
        <v>179</v>
      </c>
      <c r="AR33" t="s">
        <v>173</v>
      </c>
      <c r="AS33" t="s">
        <v>173</v>
      </c>
      <c r="AT33" t="s">
        <v>175</v>
      </c>
      <c r="AU33" t="s">
        <v>173</v>
      </c>
      <c r="AV33" t="s">
        <v>177</v>
      </c>
      <c r="AW33" t="s">
        <v>173</v>
      </c>
      <c r="AX33" t="s">
        <v>192</v>
      </c>
      <c r="AY33" t="s">
        <v>197</v>
      </c>
      <c r="AZ33" t="s">
        <v>183</v>
      </c>
      <c r="BA33" t="s">
        <v>183</v>
      </c>
      <c r="BB33" t="s">
        <v>183</v>
      </c>
      <c r="BC33" t="s">
        <v>183</v>
      </c>
      <c r="BD33" t="s">
        <v>183</v>
      </c>
    </row>
    <row r="34" hidden="1" spans="1:56">
      <c r="A34">
        <v>33</v>
      </c>
      <c r="B34" t="s">
        <v>259</v>
      </c>
      <c r="C34">
        <v>2022</v>
      </c>
      <c r="D34">
        <v>1984</v>
      </c>
      <c r="E34">
        <v>2001</v>
      </c>
      <c r="F34" t="s">
        <v>260</v>
      </c>
      <c r="G34"/>
      <c r="H34" t="s">
        <v>247</v>
      </c>
      <c r="I34"/>
      <c r="J34" t="s">
        <v>252</v>
      </c>
      <c r="K34" t="b">
        <v>0</v>
      </c>
      <c r="L34" t="b">
        <v>0</v>
      </c>
      <c r="M34" t="b">
        <v>1</v>
      </c>
      <c r="N34" t="b">
        <v>0</v>
      </c>
      <c r="O34" t="b">
        <v>0</v>
      </c>
      <c r="P34" t="b">
        <v>0</v>
      </c>
      <c r="Q34" t="b">
        <v>0</v>
      </c>
      <c r="R34" t="b">
        <v>0</v>
      </c>
      <c r="S34" t="b">
        <v>0</v>
      </c>
      <c r="T34" t="b">
        <v>0</v>
      </c>
      <c r="U34" t="b">
        <v>0</v>
      </c>
      <c r="V34" t="b">
        <v>0</v>
      </c>
      <c r="W34" t="b">
        <v>0</v>
      </c>
      <c r="X34" t="b">
        <v>1</v>
      </c>
      <c r="Y34" t="b">
        <v>0</v>
      </c>
      <c r="Z34" t="b">
        <v>1</v>
      </c>
      <c r="AA34" t="b">
        <v>0</v>
      </c>
      <c r="AB34" t="b">
        <v>0</v>
      </c>
      <c r="AC34" t="s">
        <v>173</v>
      </c>
      <c r="AD34" t="s">
        <v>173</v>
      </c>
      <c r="AE34" t="s">
        <v>173</v>
      </c>
      <c r="AF34" t="s">
        <v>173</v>
      </c>
      <c r="AG34" t="s">
        <v>173</v>
      </c>
      <c r="AH34" t="s">
        <v>175</v>
      </c>
      <c r="AI34" t="s">
        <v>175</v>
      </c>
      <c r="AJ34" t="s">
        <v>173</v>
      </c>
      <c r="AK34" t="s">
        <v>173</v>
      </c>
      <c r="AL34" t="s">
        <v>173</v>
      </c>
      <c r="AM34" t="s">
        <v>173</v>
      </c>
      <c r="AN34" t="s">
        <v>173</v>
      </c>
      <c r="AO34" t="s">
        <v>173</v>
      </c>
      <c r="AP34" t="s">
        <v>173</v>
      </c>
      <c r="AQ34" t="s">
        <v>173</v>
      </c>
      <c r="AR34" t="s">
        <v>173</v>
      </c>
      <c r="AS34" t="s">
        <v>173</v>
      </c>
      <c r="AT34" t="s">
        <v>173</v>
      </c>
      <c r="AU34" t="s">
        <v>173</v>
      </c>
      <c r="AV34" t="s">
        <v>177</v>
      </c>
      <c r="AW34" t="s">
        <v>173</v>
      </c>
      <c r="AX34" t="s">
        <v>193</v>
      </c>
      <c r="AY34" t="s">
        <v>196</v>
      </c>
      <c r="AZ34" t="s">
        <v>183</v>
      </c>
      <c r="BA34" t="s">
        <v>183</v>
      </c>
      <c r="BB34" t="s">
        <v>183</v>
      </c>
      <c r="BC34" t="s">
        <v>183</v>
      </c>
      <c r="BD34" t="s">
        <v>183</v>
      </c>
    </row>
    <row r="35" hidden="1" spans="1:56">
      <c r="A35">
        <v>34</v>
      </c>
      <c r="B35" t="s">
        <v>255</v>
      </c>
      <c r="C35">
        <v>2022</v>
      </c>
      <c r="D35">
        <v>2012</v>
      </c>
      <c r="E35">
        <v>2012</v>
      </c>
      <c r="F35" t="s">
        <v>256</v>
      </c>
      <c r="G35" t="s">
        <v>263</v>
      </c>
      <c r="H35" t="s">
        <v>247</v>
      </c>
      <c r="I35"/>
      <c r="J35" t="s">
        <v>252</v>
      </c>
      <c r="K35" t="b">
        <v>0</v>
      </c>
      <c r="L35" t="b">
        <v>0</v>
      </c>
      <c r="M35" t="b">
        <v>1</v>
      </c>
      <c r="N35" t="b">
        <v>0</v>
      </c>
      <c r="O35" t="b">
        <v>0</v>
      </c>
      <c r="P35" t="b">
        <v>0</v>
      </c>
      <c r="Q35" t="b">
        <v>1</v>
      </c>
      <c r="R35" t="b">
        <v>0</v>
      </c>
      <c r="S35" t="b">
        <v>0</v>
      </c>
      <c r="T35" t="b">
        <v>0</v>
      </c>
      <c r="U35" t="b">
        <v>0</v>
      </c>
      <c r="V35" t="b">
        <v>0</v>
      </c>
      <c r="W35" t="b">
        <v>0</v>
      </c>
      <c r="X35" t="b">
        <v>0</v>
      </c>
      <c r="Y35" t="b">
        <v>1</v>
      </c>
      <c r="Z35" t="b">
        <v>0</v>
      </c>
      <c r="AA35" t="b">
        <v>0</v>
      </c>
      <c r="AB35" t="b">
        <v>0</v>
      </c>
      <c r="AC35" t="s">
        <v>179</v>
      </c>
      <c r="AD35" t="s">
        <v>179</v>
      </c>
      <c r="AE35" t="s">
        <v>179</v>
      </c>
      <c r="AF35" t="s">
        <v>177</v>
      </c>
      <c r="AG35" t="s">
        <v>175</v>
      </c>
      <c r="AH35" t="s">
        <v>175</v>
      </c>
      <c r="AI35" t="s">
        <v>179</v>
      </c>
      <c r="AJ35" t="s">
        <v>179</v>
      </c>
      <c r="AK35" t="s">
        <v>179</v>
      </c>
      <c r="AL35" t="s">
        <v>179</v>
      </c>
      <c r="AM35" t="s">
        <v>179</v>
      </c>
      <c r="AN35" t="s">
        <v>175</v>
      </c>
      <c r="AO35" t="s">
        <v>179</v>
      </c>
      <c r="AP35" t="s">
        <v>177</v>
      </c>
      <c r="AQ35" t="s">
        <v>175</v>
      </c>
      <c r="AR35" t="s">
        <v>175</v>
      </c>
      <c r="AS35" t="s">
        <v>175</v>
      </c>
      <c r="AT35" t="s">
        <v>177</v>
      </c>
      <c r="AU35" t="s">
        <v>175</v>
      </c>
      <c r="AV35" t="s">
        <v>177</v>
      </c>
      <c r="AW35" t="s">
        <v>175</v>
      </c>
      <c r="AX35" t="s">
        <v>193</v>
      </c>
      <c r="AY35" t="s">
        <v>201</v>
      </c>
      <c r="AZ35" t="s">
        <v>183</v>
      </c>
      <c r="BA35" t="s">
        <v>183</v>
      </c>
      <c r="BB35" t="s">
        <v>183</v>
      </c>
      <c r="BC35" t="s">
        <v>208</v>
      </c>
      <c r="BD35" t="s">
        <v>183</v>
      </c>
    </row>
    <row r="36" hidden="1" spans="1:56">
      <c r="A36">
        <v>35</v>
      </c>
      <c r="B36" t="s">
        <v>255</v>
      </c>
      <c r="C36">
        <v>2022</v>
      </c>
      <c r="D36">
        <v>2015</v>
      </c>
      <c r="E36">
        <v>2018</v>
      </c>
      <c r="F36" t="s">
        <v>275</v>
      </c>
      <c r="G36"/>
      <c r="H36" t="s">
        <v>250</v>
      </c>
      <c r="I36" t="s">
        <v>254</v>
      </c>
      <c r="J36" t="s">
        <v>265</v>
      </c>
      <c r="K36" t="b">
        <v>0</v>
      </c>
      <c r="L36" t="b">
        <v>0</v>
      </c>
      <c r="M36" t="b">
        <v>0</v>
      </c>
      <c r="N36" t="b">
        <v>0</v>
      </c>
      <c r="O36" t="b">
        <v>0</v>
      </c>
      <c r="P36" t="b">
        <v>0</v>
      </c>
      <c r="Q36" t="b">
        <v>0</v>
      </c>
      <c r="R36" t="b">
        <v>0</v>
      </c>
      <c r="S36" t="b">
        <v>0</v>
      </c>
      <c r="T36" t="b">
        <v>0</v>
      </c>
      <c r="U36" t="b">
        <v>0</v>
      </c>
      <c r="V36" t="b">
        <v>0</v>
      </c>
      <c r="W36" t="b">
        <v>0</v>
      </c>
      <c r="X36" t="b">
        <v>0</v>
      </c>
      <c r="Y36" t="b">
        <v>0</v>
      </c>
      <c r="Z36" t="b">
        <v>1</v>
      </c>
      <c r="AA36" t="b">
        <v>0</v>
      </c>
      <c r="AB36" t="b">
        <v>0</v>
      </c>
      <c r="AC36" t="s">
        <v>173</v>
      </c>
      <c r="AD36" t="s">
        <v>173</v>
      </c>
      <c r="AE36" t="s">
        <v>171</v>
      </c>
      <c r="AF36" t="s">
        <v>173</v>
      </c>
      <c r="AG36" t="s">
        <v>173</v>
      </c>
      <c r="AH36" t="s">
        <v>173</v>
      </c>
      <c r="AI36" t="s">
        <v>173</v>
      </c>
      <c r="AJ36" t="s">
        <v>173</v>
      </c>
      <c r="AK36" t="s">
        <v>173</v>
      </c>
      <c r="AL36" t="s">
        <v>173</v>
      </c>
      <c r="AM36" t="s">
        <v>173</v>
      </c>
      <c r="AN36" t="s">
        <v>173</v>
      </c>
      <c r="AO36" t="s">
        <v>175</v>
      </c>
      <c r="AP36" t="s">
        <v>173</v>
      </c>
      <c r="AQ36" t="s">
        <v>173</v>
      </c>
      <c r="AR36" t="s">
        <v>173</v>
      </c>
      <c r="AS36" t="s">
        <v>173</v>
      </c>
      <c r="AT36" t="s">
        <v>173</v>
      </c>
      <c r="AU36" t="s">
        <v>173</v>
      </c>
      <c r="AV36" t="s">
        <v>173</v>
      </c>
      <c r="AW36" t="s">
        <v>173</v>
      </c>
      <c r="AX36" t="s">
        <v>193</v>
      </c>
      <c r="AY36" t="s">
        <v>195</v>
      </c>
      <c r="AZ36" t="s">
        <v>183</v>
      </c>
      <c r="BA36" t="s">
        <v>183</v>
      </c>
      <c r="BB36" t="s">
        <v>183</v>
      </c>
      <c r="BC36" t="s">
        <v>183</v>
      </c>
      <c r="BD36" t="s">
        <v>183</v>
      </c>
    </row>
    <row r="37" hidden="1" spans="1:56">
      <c r="A37">
        <v>36</v>
      </c>
      <c r="B37" t="s">
        <v>280</v>
      </c>
      <c r="C37">
        <v>2022</v>
      </c>
      <c r="D37">
        <v>2009</v>
      </c>
      <c r="E37">
        <v>2009</v>
      </c>
      <c r="F37" t="s">
        <v>256</v>
      </c>
      <c r="G37" t="s">
        <v>279</v>
      </c>
      <c r="H37" t="s">
        <v>247</v>
      </c>
      <c r="I37"/>
      <c r="J37" t="s">
        <v>252</v>
      </c>
      <c r="K37" t="b">
        <v>0</v>
      </c>
      <c r="L37" t="b">
        <v>0</v>
      </c>
      <c r="M37" t="b">
        <v>0</v>
      </c>
      <c r="N37" t="b">
        <v>0</v>
      </c>
      <c r="O37" t="b">
        <v>1</v>
      </c>
      <c r="P37" t="b">
        <v>0</v>
      </c>
      <c r="Q37" t="b">
        <v>0</v>
      </c>
      <c r="R37" t="b">
        <v>0</v>
      </c>
      <c r="S37" t="b">
        <v>0</v>
      </c>
      <c r="T37" t="b">
        <v>0</v>
      </c>
      <c r="U37" t="b">
        <v>0</v>
      </c>
      <c r="V37" t="b">
        <v>0</v>
      </c>
      <c r="W37" t="b">
        <v>0</v>
      </c>
      <c r="X37" t="b">
        <v>1</v>
      </c>
      <c r="Y37" t="b">
        <v>0</v>
      </c>
      <c r="Z37" t="b">
        <v>0</v>
      </c>
      <c r="AA37" t="b">
        <v>0</v>
      </c>
      <c r="AB37" t="b">
        <v>0</v>
      </c>
      <c r="AC37" t="s">
        <v>179</v>
      </c>
      <c r="AD37" t="s">
        <v>175</v>
      </c>
      <c r="AE37" t="s">
        <v>177</v>
      </c>
      <c r="AF37" t="s">
        <v>177</v>
      </c>
      <c r="AG37" t="s">
        <v>173</v>
      </c>
      <c r="AH37" t="s">
        <v>177</v>
      </c>
      <c r="AI37" t="s">
        <v>177</v>
      </c>
      <c r="AJ37" t="s">
        <v>179</v>
      </c>
      <c r="AK37" t="s">
        <v>171</v>
      </c>
      <c r="AL37" t="s">
        <v>177</v>
      </c>
      <c r="AM37" t="s">
        <v>177</v>
      </c>
      <c r="AN37" t="s">
        <v>177</v>
      </c>
      <c r="AO37" t="s">
        <v>179</v>
      </c>
      <c r="AP37" t="s">
        <v>173</v>
      </c>
      <c r="AQ37" t="s">
        <v>179</v>
      </c>
      <c r="AR37" t="s">
        <v>177</v>
      </c>
      <c r="AS37" t="s">
        <v>177</v>
      </c>
      <c r="AT37" t="s">
        <v>177</v>
      </c>
      <c r="AU37" t="s">
        <v>179</v>
      </c>
      <c r="AV37" t="s">
        <v>179</v>
      </c>
      <c r="AW37" t="s">
        <v>177</v>
      </c>
      <c r="AX37" t="s">
        <v>192</v>
      </c>
      <c r="AY37" t="s">
        <v>197</v>
      </c>
      <c r="AZ37" t="s">
        <v>183</v>
      </c>
      <c r="BA37" t="s">
        <v>183</v>
      </c>
      <c r="BB37" t="s">
        <v>183</v>
      </c>
      <c r="BC37" t="s">
        <v>183</v>
      </c>
      <c r="BD37" t="s">
        <v>183</v>
      </c>
    </row>
    <row r="38" hidden="1" spans="1:56">
      <c r="A38">
        <v>37</v>
      </c>
      <c r="B38" t="s">
        <v>259</v>
      </c>
      <c r="C38">
        <v>2022</v>
      </c>
      <c r="D38" t="s">
        <v>247</v>
      </c>
      <c r="E38">
        <v>2006</v>
      </c>
      <c r="F38" t="s">
        <v>253</v>
      </c>
      <c r="G38"/>
      <c r="H38" t="s">
        <v>274</v>
      </c>
      <c r="I38"/>
      <c r="J38" t="s">
        <v>252</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1</v>
      </c>
      <c r="AC38" t="s">
        <v>171</v>
      </c>
      <c r="AD38" t="s">
        <v>181</v>
      </c>
      <c r="AE38" t="s">
        <v>171</v>
      </c>
      <c r="AF38" t="s">
        <v>173</v>
      </c>
      <c r="AG38" t="s">
        <v>173</v>
      </c>
      <c r="AH38" t="s">
        <v>171</v>
      </c>
      <c r="AI38" t="s">
        <v>171</v>
      </c>
      <c r="AJ38" t="s">
        <v>173</v>
      </c>
      <c r="AK38" t="s">
        <v>171</v>
      </c>
      <c r="AL38" t="s">
        <v>171</v>
      </c>
      <c r="AM38" t="s">
        <v>171</v>
      </c>
      <c r="AN38" t="s">
        <v>173</v>
      </c>
      <c r="AO38" t="s">
        <v>183</v>
      </c>
      <c r="AP38" t="s">
        <v>171</v>
      </c>
      <c r="AQ38" t="s">
        <v>171</v>
      </c>
      <c r="AR38" t="s">
        <v>171</v>
      </c>
      <c r="AS38" t="s">
        <v>171</v>
      </c>
      <c r="AT38" t="s">
        <v>171</v>
      </c>
      <c r="AU38" t="s">
        <v>171</v>
      </c>
      <c r="AV38" t="s">
        <v>175</v>
      </c>
      <c r="AW38" t="s">
        <v>171</v>
      </c>
      <c r="AX38" t="s">
        <v>193</v>
      </c>
      <c r="AY38" t="s">
        <v>195</v>
      </c>
      <c r="AZ38" t="s">
        <v>183</v>
      </c>
      <c r="BA38" t="s">
        <v>183</v>
      </c>
      <c r="BB38" t="s">
        <v>183</v>
      </c>
      <c r="BC38" t="s">
        <v>183</v>
      </c>
      <c r="BD38" t="s">
        <v>183</v>
      </c>
    </row>
    <row r="39" hidden="1" spans="1:56">
      <c r="A39">
        <v>38</v>
      </c>
      <c r="B39" t="s">
        <v>255</v>
      </c>
      <c r="C39">
        <v>2022</v>
      </c>
      <c r="D39">
        <v>2020</v>
      </c>
      <c r="E39">
        <v>2020</v>
      </c>
      <c r="F39" t="s">
        <v>266</v>
      </c>
      <c r="G39"/>
      <c r="H39" t="s">
        <v>258</v>
      </c>
      <c r="I39"/>
      <c r="J39" t="s">
        <v>281</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1</v>
      </c>
      <c r="AC39" t="s">
        <v>173</v>
      </c>
      <c r="AD39" t="s">
        <v>175</v>
      </c>
      <c r="AE39" t="s">
        <v>171</v>
      </c>
      <c r="AF39" t="s">
        <v>173</v>
      </c>
      <c r="AG39" t="s">
        <v>171</v>
      </c>
      <c r="AH39" t="s">
        <v>171</v>
      </c>
      <c r="AI39" t="s">
        <v>171</v>
      </c>
      <c r="AJ39" t="s">
        <v>171</v>
      </c>
      <c r="AK39" t="s">
        <v>171</v>
      </c>
      <c r="AL39" t="s">
        <v>171</v>
      </c>
      <c r="AM39" t="s">
        <v>171</v>
      </c>
      <c r="AN39" t="s">
        <v>171</v>
      </c>
      <c r="AO39" t="s">
        <v>175</v>
      </c>
      <c r="AP39" t="s">
        <v>175</v>
      </c>
      <c r="AQ39" t="s">
        <v>175</v>
      </c>
      <c r="AR39" t="s">
        <v>171</v>
      </c>
      <c r="AS39" t="s">
        <v>171</v>
      </c>
      <c r="AT39" t="s">
        <v>171</v>
      </c>
      <c r="AU39" t="s">
        <v>171</v>
      </c>
      <c r="AV39" t="s">
        <v>175</v>
      </c>
      <c r="AW39" t="s">
        <v>175</v>
      </c>
      <c r="AX39" t="s">
        <v>192</v>
      </c>
      <c r="AY39" t="s">
        <v>202</v>
      </c>
      <c r="AZ39" t="s">
        <v>183</v>
      </c>
      <c r="BA39" t="s">
        <v>183</v>
      </c>
      <c r="BB39" t="s">
        <v>183</v>
      </c>
      <c r="BC39" t="s">
        <v>183</v>
      </c>
      <c r="BD39" t="s">
        <v>183</v>
      </c>
    </row>
    <row r="40" hidden="1" spans="1:56">
      <c r="A40">
        <v>39</v>
      </c>
      <c r="B40" t="s">
        <v>282</v>
      </c>
      <c r="C40">
        <v>2022</v>
      </c>
      <c r="D40">
        <v>2007</v>
      </c>
      <c r="E40">
        <v>2007</v>
      </c>
      <c r="F40" t="s">
        <v>266</v>
      </c>
      <c r="G40"/>
      <c r="H40" t="s">
        <v>274</v>
      </c>
      <c r="I40"/>
      <c r="J40" t="s">
        <v>265</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1</v>
      </c>
      <c r="AC40" t="s">
        <v>173</v>
      </c>
      <c r="AD40" t="s">
        <v>175</v>
      </c>
      <c r="AE40" t="s">
        <v>177</v>
      </c>
      <c r="AF40" t="s">
        <v>177</v>
      </c>
      <c r="AG40" t="s">
        <v>173</v>
      </c>
      <c r="AH40" t="s">
        <v>173</v>
      </c>
      <c r="AI40" t="s">
        <v>173</v>
      </c>
      <c r="AJ40" t="s">
        <v>177</v>
      </c>
      <c r="AK40" t="s">
        <v>173</v>
      </c>
      <c r="AL40" t="s">
        <v>175</v>
      </c>
      <c r="AM40" t="s">
        <v>177</v>
      </c>
      <c r="AN40" t="s">
        <v>173</v>
      </c>
      <c r="AO40" t="s">
        <v>179</v>
      </c>
      <c r="AP40" t="s">
        <v>179</v>
      </c>
      <c r="AQ40" t="s">
        <v>175</v>
      </c>
      <c r="AR40" t="s">
        <v>177</v>
      </c>
      <c r="AS40" t="s">
        <v>173</v>
      </c>
      <c r="AT40" t="s">
        <v>175</v>
      </c>
      <c r="AU40" t="s">
        <v>175</v>
      </c>
      <c r="AV40" t="s">
        <v>179</v>
      </c>
      <c r="AW40" t="s">
        <v>173</v>
      </c>
      <c r="AX40" t="s">
        <v>192</v>
      </c>
      <c r="AY40" t="s">
        <v>197</v>
      </c>
      <c r="AZ40" t="s">
        <v>183</v>
      </c>
      <c r="BA40" t="s">
        <v>183</v>
      </c>
      <c r="BB40" t="s">
        <v>183</v>
      </c>
      <c r="BC40" t="s">
        <v>183</v>
      </c>
      <c r="BD40" t="s">
        <v>183</v>
      </c>
    </row>
    <row r="41" hidden="1" spans="1:56">
      <c r="A41">
        <v>40</v>
      </c>
      <c r="B41" t="s">
        <v>272</v>
      </c>
      <c r="C41">
        <v>2022</v>
      </c>
      <c r="D41" t="s">
        <v>247</v>
      </c>
      <c r="E41" t="s">
        <v>247</v>
      </c>
      <c r="F41" t="s">
        <v>256</v>
      </c>
      <c r="G41"/>
      <c r="H41" t="s">
        <v>258</v>
      </c>
      <c r="I41"/>
      <c r="J41" t="s">
        <v>252</v>
      </c>
      <c r="K41" t="b">
        <v>0</v>
      </c>
      <c r="L41" t="b">
        <v>0</v>
      </c>
      <c r="M41" t="b">
        <v>0</v>
      </c>
      <c r="N41" t="b">
        <v>1</v>
      </c>
      <c r="O41" t="b">
        <v>0</v>
      </c>
      <c r="P41" t="b">
        <v>0</v>
      </c>
      <c r="Q41" t="b">
        <v>1</v>
      </c>
      <c r="R41" t="b">
        <v>0</v>
      </c>
      <c r="S41" t="b">
        <v>0</v>
      </c>
      <c r="T41" t="b">
        <v>1</v>
      </c>
      <c r="U41" t="b">
        <v>0</v>
      </c>
      <c r="V41" t="b">
        <v>0</v>
      </c>
      <c r="W41" t="b">
        <v>0</v>
      </c>
      <c r="X41" t="b">
        <v>0</v>
      </c>
      <c r="Y41" t="b">
        <v>0</v>
      </c>
      <c r="Z41" t="b">
        <v>1</v>
      </c>
      <c r="AA41" t="b">
        <v>0</v>
      </c>
      <c r="AB41" t="b">
        <v>0</v>
      </c>
      <c r="AC41" t="s">
        <v>173</v>
      </c>
      <c r="AD41" t="s">
        <v>175</v>
      </c>
      <c r="AE41" t="s">
        <v>175</v>
      </c>
      <c r="AF41" t="s">
        <v>175</v>
      </c>
      <c r="AG41" t="s">
        <v>177</v>
      </c>
      <c r="AH41" t="s">
        <v>179</v>
      </c>
      <c r="AI41" t="s">
        <v>179</v>
      </c>
      <c r="AJ41" t="s">
        <v>175</v>
      </c>
      <c r="AK41" t="s">
        <v>177</v>
      </c>
      <c r="AL41" t="s">
        <v>171</v>
      </c>
      <c r="AM41" t="s">
        <v>171</v>
      </c>
      <c r="AN41" t="s">
        <v>179</v>
      </c>
      <c r="AO41" t="s">
        <v>177</v>
      </c>
      <c r="AP41" t="s">
        <v>171</v>
      </c>
      <c r="AQ41" t="s">
        <v>171</v>
      </c>
      <c r="AR41" t="s">
        <v>175</v>
      </c>
      <c r="AS41" t="s">
        <v>175</v>
      </c>
      <c r="AT41" t="s">
        <v>175</v>
      </c>
      <c r="AU41" t="s">
        <v>175</v>
      </c>
      <c r="AV41" t="s">
        <v>179</v>
      </c>
      <c r="AW41" t="s">
        <v>175</v>
      </c>
      <c r="AX41" t="s">
        <v>192</v>
      </c>
      <c r="AY41" t="s">
        <v>202</v>
      </c>
      <c r="AZ41" t="s">
        <v>183</v>
      </c>
      <c r="BA41" t="s">
        <v>183</v>
      </c>
      <c r="BB41" t="s">
        <v>183</v>
      </c>
      <c r="BC41" t="s">
        <v>183</v>
      </c>
      <c r="BD41" t="s">
        <v>183</v>
      </c>
    </row>
    <row r="42" hidden="1" spans="1:56">
      <c r="A42">
        <v>41</v>
      </c>
      <c r="B42" t="s">
        <v>269</v>
      </c>
      <c r="C42">
        <v>2022</v>
      </c>
      <c r="D42">
        <v>1986</v>
      </c>
      <c r="E42">
        <v>1989</v>
      </c>
      <c r="F42" t="s">
        <v>256</v>
      </c>
      <c r="G42" t="s">
        <v>257</v>
      </c>
      <c r="H42" t="s">
        <v>261</v>
      </c>
      <c r="I42"/>
      <c r="J42" t="s">
        <v>252</v>
      </c>
      <c r="K42" t="b">
        <v>1</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s">
        <v>173</v>
      </c>
      <c r="AD42" t="s">
        <v>171</v>
      </c>
      <c r="AE42" t="s">
        <v>173</v>
      </c>
      <c r="AF42" t="s">
        <v>175</v>
      </c>
      <c r="AG42" t="s">
        <v>173</v>
      </c>
      <c r="AH42" t="s">
        <v>173</v>
      </c>
      <c r="AI42" t="s">
        <v>173</v>
      </c>
      <c r="AJ42" t="s">
        <v>171</v>
      </c>
      <c r="AK42" t="s">
        <v>171</v>
      </c>
      <c r="AL42" t="s">
        <v>171</v>
      </c>
      <c r="AM42" t="s">
        <v>171</v>
      </c>
      <c r="AN42" t="s">
        <v>171</v>
      </c>
      <c r="AO42" t="s">
        <v>171</v>
      </c>
      <c r="AP42" t="s">
        <v>173</v>
      </c>
      <c r="AQ42" t="s">
        <v>173</v>
      </c>
      <c r="AR42" t="s">
        <v>173</v>
      </c>
      <c r="AS42" t="s">
        <v>171</v>
      </c>
      <c r="AT42" t="s">
        <v>173</v>
      </c>
      <c r="AU42" t="s">
        <v>171</v>
      </c>
      <c r="AV42" t="s">
        <v>173</v>
      </c>
      <c r="AW42" t="s">
        <v>171</v>
      </c>
      <c r="AX42" t="s">
        <v>193</v>
      </c>
      <c r="AY42" t="s">
        <v>196</v>
      </c>
      <c r="AZ42" t="s">
        <v>183</v>
      </c>
      <c r="BA42" t="s">
        <v>183</v>
      </c>
      <c r="BB42" t="s">
        <v>183</v>
      </c>
      <c r="BC42" t="s">
        <v>183</v>
      </c>
      <c r="BD42" t="s">
        <v>183</v>
      </c>
    </row>
    <row r="43" hidden="1" spans="1:56">
      <c r="A43">
        <v>42</v>
      </c>
      <c r="B43" t="s">
        <v>255</v>
      </c>
      <c r="C43">
        <v>2022</v>
      </c>
      <c r="D43">
        <v>1983</v>
      </c>
      <c r="E43">
        <v>2003</v>
      </c>
      <c r="F43" t="s">
        <v>260</v>
      </c>
      <c r="G43"/>
      <c r="H43" t="s">
        <v>274</v>
      </c>
      <c r="I43"/>
      <c r="J43" t="s">
        <v>252</v>
      </c>
      <c r="K43" t="b">
        <v>0</v>
      </c>
      <c r="L43" t="b">
        <v>0</v>
      </c>
      <c r="M43" t="b">
        <v>1</v>
      </c>
      <c r="N43" t="b">
        <v>0</v>
      </c>
      <c r="O43" t="b">
        <v>0</v>
      </c>
      <c r="P43" t="b">
        <v>0</v>
      </c>
      <c r="Q43" t="b">
        <v>0</v>
      </c>
      <c r="R43" t="b">
        <v>0</v>
      </c>
      <c r="S43" t="b">
        <v>0</v>
      </c>
      <c r="T43" t="b">
        <v>0</v>
      </c>
      <c r="U43" t="b">
        <v>0</v>
      </c>
      <c r="V43" t="b">
        <v>0</v>
      </c>
      <c r="W43" t="b">
        <v>0</v>
      </c>
      <c r="X43" t="b">
        <v>0</v>
      </c>
      <c r="Y43" t="b">
        <v>0</v>
      </c>
      <c r="Z43" t="b">
        <v>1</v>
      </c>
      <c r="AA43" t="b">
        <v>0</v>
      </c>
      <c r="AB43" t="b">
        <v>0</v>
      </c>
      <c r="AC43" t="s">
        <v>171</v>
      </c>
      <c r="AD43" t="s">
        <v>171</v>
      </c>
      <c r="AE43" t="s">
        <v>175</v>
      </c>
      <c r="AF43" t="s">
        <v>175</v>
      </c>
      <c r="AG43" t="s">
        <v>171</v>
      </c>
      <c r="AH43" t="s">
        <v>173</v>
      </c>
      <c r="AI43" t="s">
        <v>175</v>
      </c>
      <c r="AJ43" t="s">
        <v>175</v>
      </c>
      <c r="AK43" t="s">
        <v>171</v>
      </c>
      <c r="AL43" t="s">
        <v>171</v>
      </c>
      <c r="AM43" t="s">
        <v>173</v>
      </c>
      <c r="AN43" t="s">
        <v>171</v>
      </c>
      <c r="AO43" t="s">
        <v>175</v>
      </c>
      <c r="AP43" t="s">
        <v>175</v>
      </c>
      <c r="AQ43" t="s">
        <v>171</v>
      </c>
      <c r="AR43" t="s">
        <v>175</v>
      </c>
      <c r="AS43" t="s">
        <v>173</v>
      </c>
      <c r="AT43" t="s">
        <v>173</v>
      </c>
      <c r="AU43" t="s">
        <v>175</v>
      </c>
      <c r="AV43" t="s">
        <v>175</v>
      </c>
      <c r="AW43" t="s">
        <v>171</v>
      </c>
      <c r="AX43" t="s">
        <v>192</v>
      </c>
      <c r="AY43" t="s">
        <v>197</v>
      </c>
      <c r="AZ43" t="s">
        <v>183</v>
      </c>
      <c r="BA43" t="s">
        <v>183</v>
      </c>
      <c r="BB43" t="s">
        <v>183</v>
      </c>
      <c r="BC43" t="s">
        <v>183</v>
      </c>
      <c r="BD43" t="s">
        <v>183</v>
      </c>
    </row>
    <row r="44" hidden="1" spans="1:56">
      <c r="A44">
        <v>43</v>
      </c>
      <c r="B44" t="s">
        <v>272</v>
      </c>
      <c r="C44">
        <v>2022</v>
      </c>
      <c r="D44">
        <v>2020</v>
      </c>
      <c r="E44">
        <v>2020</v>
      </c>
      <c r="F44" t="s">
        <v>275</v>
      </c>
      <c r="G44"/>
      <c r="H44" t="s">
        <v>267</v>
      </c>
      <c r="I44"/>
      <c r="J44" t="s">
        <v>265</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1</v>
      </c>
      <c r="AC44" t="s">
        <v>171</v>
      </c>
      <c r="AD44" t="s">
        <v>183</v>
      </c>
      <c r="AE44" t="s">
        <v>171</v>
      </c>
      <c r="AF44" t="s">
        <v>183</v>
      </c>
      <c r="AG44" t="s">
        <v>171</v>
      </c>
      <c r="AH44" t="s">
        <v>171</v>
      </c>
      <c r="AI44" t="s">
        <v>171</v>
      </c>
      <c r="AJ44" t="s">
        <v>171</v>
      </c>
      <c r="AK44" t="s">
        <v>171</v>
      </c>
      <c r="AL44" t="s">
        <v>171</v>
      </c>
      <c r="AM44" t="s">
        <v>171</v>
      </c>
      <c r="AN44" t="s">
        <v>183</v>
      </c>
      <c r="AO44" t="s">
        <v>183</v>
      </c>
      <c r="AP44" t="s">
        <v>183</v>
      </c>
      <c r="AQ44" t="s">
        <v>183</v>
      </c>
      <c r="AR44" t="s">
        <v>173</v>
      </c>
      <c r="AS44" t="s">
        <v>173</v>
      </c>
      <c r="AT44" t="s">
        <v>171</v>
      </c>
      <c r="AU44" t="s">
        <v>171</v>
      </c>
      <c r="AV44" t="s">
        <v>183</v>
      </c>
      <c r="AW44" t="s">
        <v>183</v>
      </c>
      <c r="AX44" t="s">
        <v>192</v>
      </c>
      <c r="AY44" t="s">
        <v>199</v>
      </c>
      <c r="AZ44" t="s">
        <v>183</v>
      </c>
      <c r="BA44" t="s">
        <v>183</v>
      </c>
      <c r="BB44" t="s">
        <v>183</v>
      </c>
      <c r="BC44" t="s">
        <v>183</v>
      </c>
      <c r="BD44" t="s">
        <v>183</v>
      </c>
    </row>
    <row r="45" hidden="1" spans="1:56">
      <c r="A45">
        <v>44</v>
      </c>
      <c r="B45" t="s">
        <v>255</v>
      </c>
      <c r="C45">
        <v>2022</v>
      </c>
      <c r="D45">
        <v>1985</v>
      </c>
      <c r="E45">
        <v>1985</v>
      </c>
      <c r="F45" t="s">
        <v>256</v>
      </c>
      <c r="G45" t="s">
        <v>257</v>
      </c>
      <c r="H45" t="s">
        <v>267</v>
      </c>
      <c r="I45"/>
      <c r="J45" t="s">
        <v>252</v>
      </c>
      <c r="K45" t="b">
        <v>0</v>
      </c>
      <c r="L45" t="b">
        <v>0</v>
      </c>
      <c r="M45" t="b">
        <v>0</v>
      </c>
      <c r="N45" t="b">
        <v>1</v>
      </c>
      <c r="O45" t="b">
        <v>0</v>
      </c>
      <c r="P45" t="b">
        <v>0</v>
      </c>
      <c r="Q45" t="b">
        <v>0</v>
      </c>
      <c r="R45" t="b">
        <v>0</v>
      </c>
      <c r="S45" t="b">
        <v>0</v>
      </c>
      <c r="T45" t="b">
        <v>0</v>
      </c>
      <c r="U45" t="b">
        <v>0</v>
      </c>
      <c r="V45" t="b">
        <v>0</v>
      </c>
      <c r="W45" t="b">
        <v>0</v>
      </c>
      <c r="X45" t="b">
        <v>0</v>
      </c>
      <c r="Y45" t="b">
        <v>0</v>
      </c>
      <c r="Z45" t="b">
        <v>1</v>
      </c>
      <c r="AA45" t="b">
        <v>1</v>
      </c>
      <c r="AB45" t="b">
        <v>0</v>
      </c>
      <c r="AC45" t="s">
        <v>171</v>
      </c>
      <c r="AD45" t="s">
        <v>173</v>
      </c>
      <c r="AE45" t="s">
        <v>175</v>
      </c>
      <c r="AF45" t="s">
        <v>173</v>
      </c>
      <c r="AG45" t="s">
        <v>173</v>
      </c>
      <c r="AH45" t="s">
        <v>177</v>
      </c>
      <c r="AI45" t="s">
        <v>175</v>
      </c>
      <c r="AJ45" t="s">
        <v>171</v>
      </c>
      <c r="AK45" t="s">
        <v>173</v>
      </c>
      <c r="AL45" t="s">
        <v>171</v>
      </c>
      <c r="AM45" t="s">
        <v>173</v>
      </c>
      <c r="AN45" t="s">
        <v>171</v>
      </c>
      <c r="AO45" t="s">
        <v>171</v>
      </c>
      <c r="AP45" t="s">
        <v>171</v>
      </c>
      <c r="AQ45" t="s">
        <v>171</v>
      </c>
      <c r="AR45" t="s">
        <v>171</v>
      </c>
      <c r="AS45" t="s">
        <v>171</v>
      </c>
      <c r="AT45" t="s">
        <v>171</v>
      </c>
      <c r="AU45" t="s">
        <v>171</v>
      </c>
      <c r="AV45" t="s">
        <v>175</v>
      </c>
      <c r="AW45" t="s">
        <v>173</v>
      </c>
      <c r="AX45" t="s">
        <v>193</v>
      </c>
      <c r="AY45" t="s">
        <v>197</v>
      </c>
      <c r="AZ45" t="s">
        <v>183</v>
      </c>
      <c r="BA45" t="s">
        <v>183</v>
      </c>
      <c r="BB45" t="s">
        <v>183</v>
      </c>
      <c r="BC45" t="s">
        <v>183</v>
      </c>
      <c r="BD45" t="s">
        <v>183</v>
      </c>
    </row>
    <row r="46" hidden="1" spans="1:56">
      <c r="A46">
        <v>45</v>
      </c>
      <c r="B46" t="s">
        <v>259</v>
      </c>
      <c r="C46">
        <v>2022</v>
      </c>
      <c r="D46">
        <v>1994</v>
      </c>
      <c r="E46">
        <v>2000</v>
      </c>
      <c r="F46" t="s">
        <v>256</v>
      </c>
      <c r="G46" t="s">
        <v>257</v>
      </c>
      <c r="H46" t="s">
        <v>274</v>
      </c>
      <c r="I46"/>
      <c r="J46" t="s">
        <v>265</v>
      </c>
      <c r="K46" t="b">
        <v>0</v>
      </c>
      <c r="L46" t="b">
        <v>1</v>
      </c>
      <c r="M46" t="b">
        <v>0</v>
      </c>
      <c r="N46" t="b">
        <v>0</v>
      </c>
      <c r="O46" t="b">
        <v>1</v>
      </c>
      <c r="P46" t="b">
        <v>0</v>
      </c>
      <c r="Q46" t="b">
        <v>0</v>
      </c>
      <c r="R46" t="b">
        <v>0</v>
      </c>
      <c r="S46" t="b">
        <v>0</v>
      </c>
      <c r="T46" t="b">
        <v>0</v>
      </c>
      <c r="U46" t="b">
        <v>0</v>
      </c>
      <c r="V46" t="b">
        <v>0</v>
      </c>
      <c r="W46" t="b">
        <v>0</v>
      </c>
      <c r="X46" t="b">
        <v>0</v>
      </c>
      <c r="Y46" t="b">
        <v>0</v>
      </c>
      <c r="Z46" t="b">
        <v>0</v>
      </c>
      <c r="AA46" t="b">
        <v>1</v>
      </c>
      <c r="AB46" t="b">
        <v>0</v>
      </c>
      <c r="AC46" t="s">
        <v>173</v>
      </c>
      <c r="AD46" t="s">
        <v>175</v>
      </c>
      <c r="AE46" t="s">
        <v>177</v>
      </c>
      <c r="AF46" t="s">
        <v>173</v>
      </c>
      <c r="AG46" t="s">
        <v>175</v>
      </c>
      <c r="AH46" t="s">
        <v>177</v>
      </c>
      <c r="AI46" t="s">
        <v>179</v>
      </c>
      <c r="AJ46" t="s">
        <v>173</v>
      </c>
      <c r="AK46" t="s">
        <v>173</v>
      </c>
      <c r="AL46" t="s">
        <v>173</v>
      </c>
      <c r="AM46" t="s">
        <v>175</v>
      </c>
      <c r="AN46" t="s">
        <v>177</v>
      </c>
      <c r="AO46" t="s">
        <v>175</v>
      </c>
      <c r="AP46" t="s">
        <v>173</v>
      </c>
      <c r="AQ46" t="s">
        <v>173</v>
      </c>
      <c r="AR46" t="s">
        <v>173</v>
      </c>
      <c r="AS46" t="s">
        <v>175</v>
      </c>
      <c r="AT46" t="s">
        <v>173</v>
      </c>
      <c r="AU46" t="s">
        <v>173</v>
      </c>
      <c r="AV46" t="s">
        <v>175</v>
      </c>
      <c r="AW46" t="s">
        <v>175</v>
      </c>
      <c r="AX46" t="s">
        <v>192</v>
      </c>
      <c r="AY46" t="s">
        <v>197</v>
      </c>
      <c r="AZ46" t="s">
        <v>183</v>
      </c>
      <c r="BA46" t="s">
        <v>183</v>
      </c>
      <c r="BB46" t="s">
        <v>183</v>
      </c>
      <c r="BC46" t="s">
        <v>183</v>
      </c>
      <c r="BD46" t="s">
        <v>183</v>
      </c>
    </row>
    <row r="47" hidden="1" spans="1:56">
      <c r="A47">
        <v>46</v>
      </c>
      <c r="B47" t="s">
        <v>246</v>
      </c>
      <c r="C47">
        <v>2022</v>
      </c>
      <c r="D47">
        <v>2008</v>
      </c>
      <c r="E47">
        <v>2010</v>
      </c>
      <c r="F47" t="s">
        <v>256</v>
      </c>
      <c r="G47" t="s">
        <v>257</v>
      </c>
      <c r="H47" t="s">
        <v>258</v>
      </c>
      <c r="I47"/>
      <c r="J47" t="s">
        <v>252</v>
      </c>
      <c r="K47" t="b">
        <v>0</v>
      </c>
      <c r="L47" t="b">
        <v>0</v>
      </c>
      <c r="M47" t="b">
        <v>0</v>
      </c>
      <c r="N47" t="b">
        <v>0</v>
      </c>
      <c r="O47" t="b">
        <v>0</v>
      </c>
      <c r="P47" t="b">
        <v>0</v>
      </c>
      <c r="Q47" t="b">
        <v>0</v>
      </c>
      <c r="R47" t="b">
        <v>0</v>
      </c>
      <c r="S47" t="b">
        <v>0</v>
      </c>
      <c r="T47" t="b">
        <v>0</v>
      </c>
      <c r="U47" t="b">
        <v>0</v>
      </c>
      <c r="V47" t="b">
        <v>0</v>
      </c>
      <c r="W47" t="b">
        <v>0</v>
      </c>
      <c r="X47" t="b">
        <v>1</v>
      </c>
      <c r="Y47" t="b">
        <v>0</v>
      </c>
      <c r="Z47" t="b">
        <v>1</v>
      </c>
      <c r="AA47" t="b">
        <v>1</v>
      </c>
      <c r="AB47" t="b">
        <v>0</v>
      </c>
      <c r="AC47" t="s">
        <v>173</v>
      </c>
      <c r="AD47" t="s">
        <v>175</v>
      </c>
      <c r="AE47" t="s">
        <v>173</v>
      </c>
      <c r="AF47" t="s">
        <v>173</v>
      </c>
      <c r="AG47" t="s">
        <v>173</v>
      </c>
      <c r="AH47" t="s">
        <v>179</v>
      </c>
      <c r="AI47" t="s">
        <v>177</v>
      </c>
      <c r="AJ47" t="s">
        <v>173</v>
      </c>
      <c r="AK47" t="s">
        <v>173</v>
      </c>
      <c r="AL47" t="s">
        <v>173</v>
      </c>
      <c r="AM47" t="s">
        <v>173</v>
      </c>
      <c r="AN47" t="s">
        <v>175</v>
      </c>
      <c r="AO47" t="s">
        <v>175</v>
      </c>
      <c r="AP47" t="s">
        <v>175</v>
      </c>
      <c r="AQ47" t="s">
        <v>175</v>
      </c>
      <c r="AR47" t="s">
        <v>173</v>
      </c>
      <c r="AS47" t="s">
        <v>173</v>
      </c>
      <c r="AT47" t="s">
        <v>173</v>
      </c>
      <c r="AU47" t="s">
        <v>173</v>
      </c>
      <c r="AV47" t="s">
        <v>177</v>
      </c>
      <c r="AW47" t="s">
        <v>175</v>
      </c>
      <c r="AX47" t="s">
        <v>192</v>
      </c>
      <c r="AY47" t="s">
        <v>198</v>
      </c>
      <c r="AZ47" t="s">
        <v>183</v>
      </c>
      <c r="BA47" t="s">
        <v>183</v>
      </c>
      <c r="BB47" t="s">
        <v>183</v>
      </c>
      <c r="BC47" t="s">
        <v>183</v>
      </c>
      <c r="BD47" t="s">
        <v>183</v>
      </c>
    </row>
    <row r="48" hidden="1" spans="1:56">
      <c r="A48">
        <v>47</v>
      </c>
      <c r="B48" t="s">
        <v>246</v>
      </c>
      <c r="C48">
        <v>2022</v>
      </c>
      <c r="D48">
        <v>2017</v>
      </c>
      <c r="E48">
        <v>2017</v>
      </c>
      <c r="F48" t="s">
        <v>275</v>
      </c>
      <c r="G48"/>
      <c r="H48" t="s">
        <v>261</v>
      </c>
      <c r="I48"/>
      <c r="J48" t="s">
        <v>252</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1</v>
      </c>
      <c r="AC48" t="s">
        <v>175</v>
      </c>
      <c r="AD48" t="s">
        <v>183</v>
      </c>
      <c r="AE48" t="s">
        <v>175</v>
      </c>
      <c r="AF48" t="s">
        <v>175</v>
      </c>
      <c r="AG48" t="s">
        <v>175</v>
      </c>
      <c r="AH48" t="s">
        <v>175</v>
      </c>
      <c r="AI48" t="s">
        <v>175</v>
      </c>
      <c r="AJ48" t="s">
        <v>173</v>
      </c>
      <c r="AK48" t="s">
        <v>173</v>
      </c>
      <c r="AL48" t="s">
        <v>173</v>
      </c>
      <c r="AM48" t="s">
        <v>173</v>
      </c>
      <c r="AN48" t="s">
        <v>175</v>
      </c>
      <c r="AO48" t="s">
        <v>177</v>
      </c>
      <c r="AP48" t="s">
        <v>177</v>
      </c>
      <c r="AQ48" t="s">
        <v>175</v>
      </c>
      <c r="AR48" t="s">
        <v>175</v>
      </c>
      <c r="AS48" t="s">
        <v>173</v>
      </c>
      <c r="AT48" t="s">
        <v>175</v>
      </c>
      <c r="AU48" t="s">
        <v>175</v>
      </c>
      <c r="AV48" t="s">
        <v>175</v>
      </c>
      <c r="AW48" t="s">
        <v>175</v>
      </c>
      <c r="AX48" t="s">
        <v>193</v>
      </c>
      <c r="AY48" t="s">
        <v>196</v>
      </c>
      <c r="AZ48" t="s">
        <v>183</v>
      </c>
      <c r="BA48" t="s">
        <v>183</v>
      </c>
      <c r="BB48" t="s">
        <v>183</v>
      </c>
      <c r="BC48" t="s">
        <v>183</v>
      </c>
      <c r="BD48" t="s">
        <v>183</v>
      </c>
    </row>
    <row r="49" hidden="1" spans="1:56">
      <c r="A49">
        <v>48</v>
      </c>
      <c r="B49" t="s">
        <v>259</v>
      </c>
      <c r="C49">
        <v>2022</v>
      </c>
      <c r="D49">
        <v>1989</v>
      </c>
      <c r="E49">
        <v>2002</v>
      </c>
      <c r="F49" t="s">
        <v>256</v>
      </c>
      <c r="G49" t="s">
        <v>263</v>
      </c>
      <c r="H49" t="s">
        <v>247</v>
      </c>
      <c r="I49"/>
      <c r="J49" t="s">
        <v>252</v>
      </c>
      <c r="K49" t="b">
        <v>0</v>
      </c>
      <c r="L49" t="b">
        <v>0</v>
      </c>
      <c r="M49" t="b">
        <v>0</v>
      </c>
      <c r="N49" t="b">
        <v>0</v>
      </c>
      <c r="O49" t="b">
        <v>0</v>
      </c>
      <c r="P49" t="b">
        <v>0</v>
      </c>
      <c r="Q49" t="b">
        <v>0</v>
      </c>
      <c r="R49" t="b">
        <v>0</v>
      </c>
      <c r="S49" t="b">
        <v>0</v>
      </c>
      <c r="T49" t="b">
        <v>0</v>
      </c>
      <c r="U49" t="b">
        <v>0</v>
      </c>
      <c r="V49" t="b">
        <v>0</v>
      </c>
      <c r="W49" t="b">
        <v>0</v>
      </c>
      <c r="X49" t="b">
        <v>0</v>
      </c>
      <c r="Y49" t="b">
        <v>0</v>
      </c>
      <c r="Z49" t="b">
        <v>1</v>
      </c>
      <c r="AA49" t="b">
        <v>0</v>
      </c>
      <c r="AB49" t="b">
        <v>0</v>
      </c>
      <c r="AC49" t="s">
        <v>173</v>
      </c>
      <c r="AD49" t="s">
        <v>177</v>
      </c>
      <c r="AE49" t="s">
        <v>173</v>
      </c>
      <c r="AF49" t="s">
        <v>177</v>
      </c>
      <c r="AG49" t="s">
        <v>173</v>
      </c>
      <c r="AH49" t="s">
        <v>177</v>
      </c>
      <c r="AI49" t="s">
        <v>177</v>
      </c>
      <c r="AJ49" t="s">
        <v>177</v>
      </c>
      <c r="AK49" t="s">
        <v>173</v>
      </c>
      <c r="AL49" t="s">
        <v>173</v>
      </c>
      <c r="AM49" t="s">
        <v>177</v>
      </c>
      <c r="AN49" t="s">
        <v>173</v>
      </c>
      <c r="AO49" t="s">
        <v>175</v>
      </c>
      <c r="AP49" t="s">
        <v>177</v>
      </c>
      <c r="AQ49" t="s">
        <v>177</v>
      </c>
      <c r="AR49" t="s">
        <v>173</v>
      </c>
      <c r="AS49" t="s">
        <v>177</v>
      </c>
      <c r="AT49" t="s">
        <v>173</v>
      </c>
      <c r="AU49" t="s">
        <v>173</v>
      </c>
      <c r="AV49" t="s">
        <v>177</v>
      </c>
      <c r="AW49" t="s">
        <v>173</v>
      </c>
      <c r="AX49" t="s">
        <v>192</v>
      </c>
      <c r="AY49" t="s">
        <v>196</v>
      </c>
      <c r="AZ49" t="s">
        <v>183</v>
      </c>
      <c r="BA49" t="s">
        <v>183</v>
      </c>
      <c r="BB49" t="s">
        <v>183</v>
      </c>
      <c r="BC49" t="s">
        <v>183</v>
      </c>
      <c r="BD49" t="s">
        <v>183</v>
      </c>
    </row>
    <row r="50" hidden="1" spans="1:56">
      <c r="A50">
        <v>49</v>
      </c>
      <c r="B50" t="s">
        <v>272</v>
      </c>
      <c r="C50">
        <v>2022</v>
      </c>
      <c r="D50">
        <v>2018</v>
      </c>
      <c r="E50">
        <v>2019</v>
      </c>
      <c r="F50" t="s">
        <v>275</v>
      </c>
      <c r="G50"/>
      <c r="H50" t="s">
        <v>261</v>
      </c>
      <c r="I50"/>
      <c r="J50" t="s">
        <v>252</v>
      </c>
      <c r="K50" t="b">
        <v>0</v>
      </c>
      <c r="L50" t="b">
        <v>0</v>
      </c>
      <c r="M50" t="b">
        <v>0</v>
      </c>
      <c r="N50" t="b">
        <v>0</v>
      </c>
      <c r="O50" t="b">
        <v>0</v>
      </c>
      <c r="P50" t="b">
        <v>0</v>
      </c>
      <c r="Q50" t="b">
        <v>0</v>
      </c>
      <c r="R50" t="b">
        <v>0</v>
      </c>
      <c r="S50" t="b">
        <v>0</v>
      </c>
      <c r="T50" t="b">
        <v>0</v>
      </c>
      <c r="U50" t="b">
        <v>0</v>
      </c>
      <c r="V50" t="b">
        <v>1</v>
      </c>
      <c r="W50" t="b">
        <v>0</v>
      </c>
      <c r="X50" t="b">
        <v>0</v>
      </c>
      <c r="Y50" t="b">
        <v>0</v>
      </c>
      <c r="Z50" t="b">
        <v>0</v>
      </c>
      <c r="AA50" t="b">
        <v>0</v>
      </c>
      <c r="AB50" t="b">
        <v>0</v>
      </c>
      <c r="AC50" t="s">
        <v>173</v>
      </c>
      <c r="AD50" t="s">
        <v>173</v>
      </c>
      <c r="AE50" t="s">
        <v>173</v>
      </c>
      <c r="AF50" t="s">
        <v>173</v>
      </c>
      <c r="AG50" t="s">
        <v>173</v>
      </c>
      <c r="AH50" t="s">
        <v>173</v>
      </c>
      <c r="AI50" t="s">
        <v>173</v>
      </c>
      <c r="AJ50" t="s">
        <v>173</v>
      </c>
      <c r="AK50" t="s">
        <v>173</v>
      </c>
      <c r="AL50" t="s">
        <v>173</v>
      </c>
      <c r="AM50" t="s">
        <v>173</v>
      </c>
      <c r="AN50" t="s">
        <v>173</v>
      </c>
      <c r="AO50" t="s">
        <v>173</v>
      </c>
      <c r="AP50" t="s">
        <v>173</v>
      </c>
      <c r="AQ50" t="s">
        <v>173</v>
      </c>
      <c r="AR50" t="s">
        <v>173</v>
      </c>
      <c r="AS50" t="s">
        <v>173</v>
      </c>
      <c r="AT50" t="s">
        <v>173</v>
      </c>
      <c r="AU50" t="s">
        <v>173</v>
      </c>
      <c r="AV50" t="s">
        <v>173</v>
      </c>
      <c r="AW50" t="s">
        <v>173</v>
      </c>
      <c r="AX50" t="s">
        <v>193</v>
      </c>
      <c r="AY50" t="s">
        <v>202</v>
      </c>
      <c r="AZ50" t="s">
        <v>183</v>
      </c>
      <c r="BA50" t="s">
        <v>183</v>
      </c>
      <c r="BB50" t="s">
        <v>183</v>
      </c>
      <c r="BC50" t="s">
        <v>183</v>
      </c>
      <c r="BD50" t="s">
        <v>183</v>
      </c>
    </row>
    <row r="51" hidden="1" spans="1:56">
      <c r="A51">
        <v>50</v>
      </c>
      <c r="B51" t="s">
        <v>259</v>
      </c>
      <c r="C51">
        <v>2022</v>
      </c>
      <c r="D51">
        <v>1972</v>
      </c>
      <c r="E51">
        <v>2016</v>
      </c>
      <c r="F51" t="s">
        <v>256</v>
      </c>
      <c r="G51" t="s">
        <v>257</v>
      </c>
      <c r="H51" t="s">
        <v>264</v>
      </c>
      <c r="I51"/>
      <c r="J51" t="s">
        <v>252</v>
      </c>
      <c r="K51" t="b">
        <v>0</v>
      </c>
      <c r="L51" t="b">
        <v>0</v>
      </c>
      <c r="M51" t="b">
        <v>0</v>
      </c>
      <c r="N51" t="b">
        <v>0</v>
      </c>
      <c r="O51" t="b">
        <v>0</v>
      </c>
      <c r="P51" t="b">
        <v>0</v>
      </c>
      <c r="Q51" t="b">
        <v>0</v>
      </c>
      <c r="R51" t="b">
        <v>0</v>
      </c>
      <c r="S51" t="b">
        <v>0</v>
      </c>
      <c r="T51" t="b">
        <v>0</v>
      </c>
      <c r="U51" t="b">
        <v>0</v>
      </c>
      <c r="V51" t="b">
        <v>0</v>
      </c>
      <c r="W51" t="b">
        <v>0</v>
      </c>
      <c r="X51" t="b">
        <v>0</v>
      </c>
      <c r="Y51" t="b">
        <v>0</v>
      </c>
      <c r="Z51" t="b">
        <v>1</v>
      </c>
      <c r="AA51" t="b">
        <v>0</v>
      </c>
      <c r="AB51" t="b">
        <v>0</v>
      </c>
      <c r="AC51" t="s">
        <v>171</v>
      </c>
      <c r="AD51" t="s">
        <v>183</v>
      </c>
      <c r="AE51" t="s">
        <v>177</v>
      </c>
      <c r="AF51" t="s">
        <v>175</v>
      </c>
      <c r="AG51" t="s">
        <v>173</v>
      </c>
      <c r="AH51" t="s">
        <v>177</v>
      </c>
      <c r="AI51" t="s">
        <v>177</v>
      </c>
      <c r="AJ51" t="s">
        <v>173</v>
      </c>
      <c r="AK51" t="s">
        <v>175</v>
      </c>
      <c r="AL51" t="s">
        <v>171</v>
      </c>
      <c r="AM51" t="s">
        <v>173</v>
      </c>
      <c r="AN51" t="s">
        <v>173</v>
      </c>
      <c r="AO51" t="s">
        <v>173</v>
      </c>
      <c r="AP51" t="s">
        <v>173</v>
      </c>
      <c r="AQ51" t="s">
        <v>173</v>
      </c>
      <c r="AR51" t="s">
        <v>173</v>
      </c>
      <c r="AS51" t="s">
        <v>171</v>
      </c>
      <c r="AT51" t="s">
        <v>173</v>
      </c>
      <c r="AU51" t="s">
        <v>173</v>
      </c>
      <c r="AV51" t="s">
        <v>177</v>
      </c>
      <c r="AW51" t="s">
        <v>173</v>
      </c>
      <c r="AX51" t="s">
        <v>192</v>
      </c>
      <c r="AY51" t="s">
        <v>195</v>
      </c>
      <c r="AZ51" t="s">
        <v>183</v>
      </c>
      <c r="BA51" t="s">
        <v>183</v>
      </c>
      <c r="BB51" t="s">
        <v>183</v>
      </c>
      <c r="BC51" t="s">
        <v>183</v>
      </c>
      <c r="BD51" t="s">
        <v>183</v>
      </c>
    </row>
    <row r="52" hidden="1" spans="1:56">
      <c r="A52">
        <v>51</v>
      </c>
      <c r="B52" t="s">
        <v>272</v>
      </c>
      <c r="C52">
        <v>2022</v>
      </c>
      <c r="D52">
        <v>2018</v>
      </c>
      <c r="E52">
        <v>2019</v>
      </c>
      <c r="F52" t="s">
        <v>275</v>
      </c>
      <c r="G52"/>
      <c r="H52" t="s">
        <v>261</v>
      </c>
      <c r="I52"/>
      <c r="J52" t="s">
        <v>252</v>
      </c>
      <c r="K52" t="b">
        <v>0</v>
      </c>
      <c r="L52" t="b">
        <v>0</v>
      </c>
      <c r="M52" t="b">
        <v>0</v>
      </c>
      <c r="N52" t="b">
        <v>0</v>
      </c>
      <c r="O52" t="b">
        <v>0</v>
      </c>
      <c r="P52" t="b">
        <v>0</v>
      </c>
      <c r="Q52" t="b">
        <v>0</v>
      </c>
      <c r="R52" t="b">
        <v>0</v>
      </c>
      <c r="S52" t="b">
        <v>0</v>
      </c>
      <c r="T52" t="b">
        <v>0</v>
      </c>
      <c r="U52" t="b">
        <v>0</v>
      </c>
      <c r="V52" t="b">
        <v>1</v>
      </c>
      <c r="W52" t="b">
        <v>0</v>
      </c>
      <c r="X52" t="b">
        <v>0</v>
      </c>
      <c r="Y52" t="b">
        <v>0</v>
      </c>
      <c r="Z52" t="b">
        <v>0</v>
      </c>
      <c r="AA52" t="b">
        <v>0</v>
      </c>
      <c r="AB52" t="b">
        <v>0</v>
      </c>
      <c r="AC52" t="s">
        <v>173</v>
      </c>
      <c r="AD52" t="s">
        <v>173</v>
      </c>
      <c r="AE52" t="s">
        <v>173</v>
      </c>
      <c r="AF52" t="s">
        <v>173</v>
      </c>
      <c r="AG52" t="s">
        <v>173</v>
      </c>
      <c r="AH52" t="s">
        <v>173</v>
      </c>
      <c r="AI52" t="s">
        <v>173</v>
      </c>
      <c r="AJ52" t="s">
        <v>173</v>
      </c>
      <c r="AK52" t="s">
        <v>173</v>
      </c>
      <c r="AL52" t="s">
        <v>173</v>
      </c>
      <c r="AM52" t="s">
        <v>173</v>
      </c>
      <c r="AN52" t="s">
        <v>173</v>
      </c>
      <c r="AO52" t="s">
        <v>173</v>
      </c>
      <c r="AP52" t="s">
        <v>173</v>
      </c>
      <c r="AQ52" t="s">
        <v>173</v>
      </c>
      <c r="AR52" t="s">
        <v>173</v>
      </c>
      <c r="AS52" t="s">
        <v>173</v>
      </c>
      <c r="AT52" t="s">
        <v>173</v>
      </c>
      <c r="AU52" t="s">
        <v>173</v>
      </c>
      <c r="AV52" t="s">
        <v>173</v>
      </c>
      <c r="AW52" t="s">
        <v>173</v>
      </c>
      <c r="AX52" t="s">
        <v>193</v>
      </c>
      <c r="AY52" t="s">
        <v>202</v>
      </c>
      <c r="AZ52" t="s">
        <v>183</v>
      </c>
      <c r="BA52" t="s">
        <v>183</v>
      </c>
      <c r="BB52" t="s">
        <v>183</v>
      </c>
      <c r="BC52" t="s">
        <v>183</v>
      </c>
      <c r="BD52" t="s">
        <v>183</v>
      </c>
    </row>
    <row r="53" hidden="1" spans="1:56">
      <c r="A53">
        <v>52</v>
      </c>
      <c r="B53" t="s">
        <v>255</v>
      </c>
      <c r="C53">
        <v>2022</v>
      </c>
      <c r="D53">
        <v>2002</v>
      </c>
      <c r="E53">
        <v>2002</v>
      </c>
      <c r="F53" t="s">
        <v>275</v>
      </c>
      <c r="G53"/>
      <c r="H53" t="s">
        <v>261</v>
      </c>
      <c r="I53"/>
      <c r="J53" t="s">
        <v>252</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1</v>
      </c>
      <c r="AC53" t="s">
        <v>171</v>
      </c>
      <c r="AD53" t="s">
        <v>173</v>
      </c>
      <c r="AE53" t="s">
        <v>175</v>
      </c>
      <c r="AF53" t="s">
        <v>179</v>
      </c>
      <c r="AG53" t="s">
        <v>171</v>
      </c>
      <c r="AH53" t="s">
        <v>173</v>
      </c>
      <c r="AI53" t="s">
        <v>179</v>
      </c>
      <c r="AJ53" t="s">
        <v>175</v>
      </c>
      <c r="AK53" t="s">
        <v>177</v>
      </c>
      <c r="AL53" t="s">
        <v>175</v>
      </c>
      <c r="AM53" t="s">
        <v>171</v>
      </c>
      <c r="AN53" t="s">
        <v>175</v>
      </c>
      <c r="AO53" t="s">
        <v>175</v>
      </c>
      <c r="AP53" t="s">
        <v>173</v>
      </c>
      <c r="AQ53" t="s">
        <v>175</v>
      </c>
      <c r="AR53" t="s">
        <v>175</v>
      </c>
      <c r="AS53" t="s">
        <v>175</v>
      </c>
      <c r="AT53" t="s">
        <v>173</v>
      </c>
      <c r="AU53" t="s">
        <v>173</v>
      </c>
      <c r="AV53" t="s">
        <v>173</v>
      </c>
      <c r="AW53" t="s">
        <v>177</v>
      </c>
      <c r="AX53" t="s">
        <v>192</v>
      </c>
      <c r="AY53" t="s">
        <v>195</v>
      </c>
      <c r="AZ53" t="s">
        <v>183</v>
      </c>
      <c r="BA53" t="s">
        <v>183</v>
      </c>
      <c r="BB53" t="s">
        <v>183</v>
      </c>
      <c r="BC53" t="s">
        <v>183</v>
      </c>
      <c r="BD53" t="s">
        <v>183</v>
      </c>
    </row>
    <row r="54" hidden="1" spans="1:56">
      <c r="A54">
        <v>53</v>
      </c>
      <c r="B54" t="s">
        <v>282</v>
      </c>
      <c r="C54">
        <v>2022</v>
      </c>
      <c r="D54">
        <v>1991</v>
      </c>
      <c r="E54">
        <v>1992</v>
      </c>
      <c r="F54" t="s">
        <v>256</v>
      </c>
      <c r="G54" t="s">
        <v>263</v>
      </c>
      <c r="H54" t="s">
        <v>261</v>
      </c>
      <c r="I54"/>
      <c r="J54" t="s">
        <v>252</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1</v>
      </c>
      <c r="AC54" t="s">
        <v>173</v>
      </c>
      <c r="AD54" t="s">
        <v>173</v>
      </c>
      <c r="AE54" t="s">
        <v>173</v>
      </c>
      <c r="AF54" t="s">
        <v>173</v>
      </c>
      <c r="AG54" t="s">
        <v>173</v>
      </c>
      <c r="AH54" t="s">
        <v>173</v>
      </c>
      <c r="AI54" t="s">
        <v>173</v>
      </c>
      <c r="AJ54" t="s">
        <v>173</v>
      </c>
      <c r="AK54" t="s">
        <v>173</v>
      </c>
      <c r="AL54" t="s">
        <v>171</v>
      </c>
      <c r="AM54" t="s">
        <v>173</v>
      </c>
      <c r="AN54" t="s">
        <v>171</v>
      </c>
      <c r="AO54" t="s">
        <v>171</v>
      </c>
      <c r="AP54" t="s">
        <v>171</v>
      </c>
      <c r="AQ54" t="s">
        <v>171</v>
      </c>
      <c r="AR54" t="s">
        <v>173</v>
      </c>
      <c r="AS54" t="s">
        <v>173</v>
      </c>
      <c r="AT54" t="s">
        <v>173</v>
      </c>
      <c r="AU54" t="s">
        <v>173</v>
      </c>
      <c r="AV54" t="s">
        <v>173</v>
      </c>
      <c r="AW54" t="s">
        <v>171</v>
      </c>
      <c r="AX54" t="s">
        <v>192</v>
      </c>
      <c r="AY54" t="s">
        <v>195</v>
      </c>
      <c r="AZ54" t="s">
        <v>183</v>
      </c>
      <c r="BA54" t="s">
        <v>183</v>
      </c>
      <c r="BB54" t="s">
        <v>183</v>
      </c>
      <c r="BC54" t="s">
        <v>183</v>
      </c>
      <c r="BD54" t="s">
        <v>183</v>
      </c>
    </row>
    <row r="55" hidden="1" spans="1:56">
      <c r="A55">
        <v>54</v>
      </c>
      <c r="B55" t="s">
        <v>280</v>
      </c>
      <c r="C55">
        <v>2022</v>
      </c>
      <c r="D55" t="s">
        <v>247</v>
      </c>
      <c r="E55" t="s">
        <v>247</v>
      </c>
      <c r="F55" t="s">
        <v>266</v>
      </c>
      <c r="G55"/>
      <c r="H55" t="s">
        <v>268</v>
      </c>
      <c r="I55"/>
      <c r="J55" t="s">
        <v>265</v>
      </c>
      <c r="K55" t="b">
        <v>0</v>
      </c>
      <c r="L55" t="b">
        <v>0</v>
      </c>
      <c r="M55" t="b">
        <v>0</v>
      </c>
      <c r="N55" t="b">
        <v>0</v>
      </c>
      <c r="O55" t="b">
        <v>0</v>
      </c>
      <c r="P55" t="b">
        <v>0</v>
      </c>
      <c r="Q55" t="b">
        <v>0</v>
      </c>
      <c r="R55" t="b">
        <v>0</v>
      </c>
      <c r="S55" t="b">
        <v>0</v>
      </c>
      <c r="T55" t="b">
        <v>0</v>
      </c>
      <c r="U55" t="b">
        <v>0</v>
      </c>
      <c r="V55" t="b">
        <v>0</v>
      </c>
      <c r="W55" t="b">
        <v>0</v>
      </c>
      <c r="X55" t="b">
        <v>1</v>
      </c>
      <c r="Y55" t="b">
        <v>0</v>
      </c>
      <c r="Z55" t="b">
        <v>0</v>
      </c>
      <c r="AA55" t="b">
        <v>0</v>
      </c>
      <c r="AB55" t="b">
        <v>0</v>
      </c>
      <c r="AC55" t="s">
        <v>171</v>
      </c>
      <c r="AD55" t="s">
        <v>179</v>
      </c>
      <c r="AE55" t="s">
        <v>171</v>
      </c>
      <c r="AF55" t="s">
        <v>171</v>
      </c>
      <c r="AG55" t="s">
        <v>175</v>
      </c>
      <c r="AH55" t="s">
        <v>173</v>
      </c>
      <c r="AI55" t="s">
        <v>175</v>
      </c>
      <c r="AJ55" t="s">
        <v>173</v>
      </c>
      <c r="AK55" t="s">
        <v>173</v>
      </c>
      <c r="AL55" t="s">
        <v>175</v>
      </c>
      <c r="AM55" t="s">
        <v>173</v>
      </c>
      <c r="AN55" t="s">
        <v>177</v>
      </c>
      <c r="AO55" t="s">
        <v>177</v>
      </c>
      <c r="AP55" t="s">
        <v>177</v>
      </c>
      <c r="AQ55" t="s">
        <v>175</v>
      </c>
      <c r="AR55" t="s">
        <v>175</v>
      </c>
      <c r="AS55" t="s">
        <v>175</v>
      </c>
      <c r="AT55" t="s">
        <v>175</v>
      </c>
      <c r="AU55" t="s">
        <v>173</v>
      </c>
      <c r="AV55" t="s">
        <v>179</v>
      </c>
      <c r="AW55" t="s">
        <v>173</v>
      </c>
      <c r="AX55" t="s">
        <v>192</v>
      </c>
      <c r="AY55" t="s">
        <v>196</v>
      </c>
      <c r="AZ55" t="s">
        <v>183</v>
      </c>
      <c r="BA55" t="s">
        <v>183</v>
      </c>
      <c r="BB55" t="s">
        <v>183</v>
      </c>
      <c r="BC55" t="s">
        <v>183</v>
      </c>
      <c r="BD55" t="s">
        <v>183</v>
      </c>
    </row>
    <row r="56" hidden="1" spans="1:56">
      <c r="A56">
        <v>55</v>
      </c>
      <c r="B56" t="s">
        <v>259</v>
      </c>
      <c r="C56">
        <v>2022</v>
      </c>
      <c r="D56">
        <v>1988</v>
      </c>
      <c r="E56">
        <v>2017</v>
      </c>
      <c r="F56" t="s">
        <v>256</v>
      </c>
      <c r="G56" t="s">
        <v>279</v>
      </c>
      <c r="H56" t="s">
        <v>274</v>
      </c>
      <c r="I56"/>
      <c r="J56" t="s">
        <v>252</v>
      </c>
      <c r="K56" t="b">
        <v>0</v>
      </c>
      <c r="L56" t="b">
        <v>0</v>
      </c>
      <c r="M56" t="b">
        <v>0</v>
      </c>
      <c r="N56" t="b">
        <v>1</v>
      </c>
      <c r="O56" t="b">
        <v>0</v>
      </c>
      <c r="P56" t="b">
        <v>0</v>
      </c>
      <c r="Q56" t="b">
        <v>1</v>
      </c>
      <c r="R56" t="b">
        <v>0</v>
      </c>
      <c r="S56" t="b">
        <v>0</v>
      </c>
      <c r="T56" t="b">
        <v>0</v>
      </c>
      <c r="U56" t="b">
        <v>0</v>
      </c>
      <c r="V56" t="b">
        <v>0</v>
      </c>
      <c r="W56" t="b">
        <v>0</v>
      </c>
      <c r="X56" t="b">
        <v>1</v>
      </c>
      <c r="Y56" t="b">
        <v>0</v>
      </c>
      <c r="Z56" t="b">
        <v>0</v>
      </c>
      <c r="AA56" t="b">
        <v>0</v>
      </c>
      <c r="AB56" t="b">
        <v>0</v>
      </c>
      <c r="AC56" t="s">
        <v>173</v>
      </c>
      <c r="AD56" t="s">
        <v>177</v>
      </c>
      <c r="AE56" t="s">
        <v>177</v>
      </c>
      <c r="AF56" t="s">
        <v>177</v>
      </c>
      <c r="AG56" t="s">
        <v>177</v>
      </c>
      <c r="AH56" t="s">
        <v>173</v>
      </c>
      <c r="AI56" t="s">
        <v>177</v>
      </c>
      <c r="AJ56" t="s">
        <v>179</v>
      </c>
      <c r="AK56" t="s">
        <v>173</v>
      </c>
      <c r="AL56" t="s">
        <v>179</v>
      </c>
      <c r="AM56" t="s">
        <v>179</v>
      </c>
      <c r="AN56" t="s">
        <v>173</v>
      </c>
      <c r="AO56" t="s">
        <v>179</v>
      </c>
      <c r="AP56" t="s">
        <v>179</v>
      </c>
      <c r="AQ56" t="s">
        <v>179</v>
      </c>
      <c r="AR56" t="s">
        <v>179</v>
      </c>
      <c r="AS56" t="s">
        <v>179</v>
      </c>
      <c r="AT56" t="s">
        <v>173</v>
      </c>
      <c r="AU56" t="s">
        <v>173</v>
      </c>
      <c r="AV56" t="s">
        <v>175</v>
      </c>
      <c r="AW56" t="s">
        <v>173</v>
      </c>
      <c r="AX56" t="s">
        <v>192</v>
      </c>
      <c r="AY56" t="s">
        <v>196</v>
      </c>
      <c r="AZ56" t="s">
        <v>183</v>
      </c>
      <c r="BA56" t="s">
        <v>183</v>
      </c>
      <c r="BB56" t="s">
        <v>183</v>
      </c>
      <c r="BC56" t="s">
        <v>183</v>
      </c>
      <c r="BD56" t="s">
        <v>183</v>
      </c>
    </row>
    <row r="57" hidden="1" spans="1:56">
      <c r="A57">
        <v>56</v>
      </c>
      <c r="B57" t="s">
        <v>269</v>
      </c>
      <c r="C57">
        <v>2022</v>
      </c>
      <c r="D57">
        <v>2017</v>
      </c>
      <c r="E57">
        <v>2017</v>
      </c>
      <c r="F57" t="s">
        <v>266</v>
      </c>
      <c r="G57"/>
      <c r="H57" t="s">
        <v>274</v>
      </c>
      <c r="I57"/>
      <c r="J57" t="s">
        <v>265</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1</v>
      </c>
      <c r="AC57" t="s">
        <v>171</v>
      </c>
      <c r="AD57" t="s">
        <v>171</v>
      </c>
      <c r="AE57" t="s">
        <v>173</v>
      </c>
      <c r="AF57" t="s">
        <v>173</v>
      </c>
      <c r="AG57" t="s">
        <v>175</v>
      </c>
      <c r="AH57" t="s">
        <v>173</v>
      </c>
      <c r="AI57" t="s">
        <v>171</v>
      </c>
      <c r="AJ57" t="s">
        <v>171</v>
      </c>
      <c r="AK57" t="s">
        <v>175</v>
      </c>
      <c r="AL57" t="s">
        <v>173</v>
      </c>
      <c r="AM57" t="s">
        <v>175</v>
      </c>
      <c r="AN57" t="s">
        <v>183</v>
      </c>
      <c r="AO57" t="s">
        <v>173</v>
      </c>
      <c r="AP57" t="s">
        <v>175</v>
      </c>
      <c r="AQ57" t="s">
        <v>171</v>
      </c>
      <c r="AR57" t="s">
        <v>175</v>
      </c>
      <c r="AS57" t="s">
        <v>173</v>
      </c>
      <c r="AT57" t="s">
        <v>173</v>
      </c>
      <c r="AU57" t="s">
        <v>171</v>
      </c>
      <c r="AV57" t="s">
        <v>173</v>
      </c>
      <c r="AW57" t="s">
        <v>173</v>
      </c>
      <c r="AX57" t="s">
        <v>192</v>
      </c>
      <c r="AY57" t="s">
        <v>200</v>
      </c>
      <c r="AZ57" t="s">
        <v>183</v>
      </c>
      <c r="BA57" t="s">
        <v>183</v>
      </c>
      <c r="BB57" t="s">
        <v>183</v>
      </c>
      <c r="BC57" t="s">
        <v>183</v>
      </c>
      <c r="BD57" t="s">
        <v>183</v>
      </c>
    </row>
    <row r="58" hidden="1" spans="1:56">
      <c r="A58">
        <v>57</v>
      </c>
      <c r="B58" t="s">
        <v>259</v>
      </c>
      <c r="C58">
        <v>2022</v>
      </c>
      <c r="D58">
        <v>1999</v>
      </c>
      <c r="E58">
        <v>1999</v>
      </c>
      <c r="F58" t="s">
        <v>266</v>
      </c>
      <c r="G58"/>
      <c r="H58" t="s">
        <v>258</v>
      </c>
      <c r="I58"/>
      <c r="J58" t="s">
        <v>265</v>
      </c>
      <c r="K58" t="b">
        <v>0</v>
      </c>
      <c r="L58" t="b">
        <v>0</v>
      </c>
      <c r="M58" t="b">
        <v>0</v>
      </c>
      <c r="N58" t="b">
        <v>1</v>
      </c>
      <c r="O58" t="b">
        <v>0</v>
      </c>
      <c r="P58" t="b">
        <v>0</v>
      </c>
      <c r="Q58" t="b">
        <v>0</v>
      </c>
      <c r="R58" t="b">
        <v>0</v>
      </c>
      <c r="S58" t="b">
        <v>0</v>
      </c>
      <c r="T58" t="b">
        <v>0</v>
      </c>
      <c r="U58" t="b">
        <v>0</v>
      </c>
      <c r="V58" t="b">
        <v>0</v>
      </c>
      <c r="W58" t="b">
        <v>0</v>
      </c>
      <c r="X58" t="b">
        <v>0</v>
      </c>
      <c r="Y58" t="b">
        <v>0</v>
      </c>
      <c r="Z58" t="b">
        <v>1</v>
      </c>
      <c r="AA58" t="b">
        <v>0</v>
      </c>
      <c r="AB58" t="b">
        <v>0</v>
      </c>
      <c r="AC58" t="s">
        <v>175</v>
      </c>
      <c r="AD58" t="s">
        <v>175</v>
      </c>
      <c r="AE58" t="s">
        <v>175</v>
      </c>
      <c r="AF58" t="s">
        <v>177</v>
      </c>
      <c r="AG58" t="s">
        <v>173</v>
      </c>
      <c r="AH58" t="s">
        <v>173</v>
      </c>
      <c r="AI58" t="s">
        <v>173</v>
      </c>
      <c r="AJ58" t="s">
        <v>175</v>
      </c>
      <c r="AK58" t="s">
        <v>173</v>
      </c>
      <c r="AL58" t="s">
        <v>173</v>
      </c>
      <c r="AM58" t="s">
        <v>177</v>
      </c>
      <c r="AN58" t="s">
        <v>173</v>
      </c>
      <c r="AO58" t="s">
        <v>175</v>
      </c>
      <c r="AP58" t="s">
        <v>175</v>
      </c>
      <c r="AQ58" t="s">
        <v>175</v>
      </c>
      <c r="AR58" t="s">
        <v>173</v>
      </c>
      <c r="AS58" t="s">
        <v>173</v>
      </c>
      <c r="AT58" t="s">
        <v>173</v>
      </c>
      <c r="AU58" t="s">
        <v>173</v>
      </c>
      <c r="AV58" t="s">
        <v>175</v>
      </c>
      <c r="AW58" t="s">
        <v>173</v>
      </c>
      <c r="AX58" t="s">
        <v>192</v>
      </c>
      <c r="AY58" t="s">
        <v>195</v>
      </c>
      <c r="AZ58" t="s">
        <v>183</v>
      </c>
      <c r="BA58" t="s">
        <v>183</v>
      </c>
      <c r="BB58" t="s">
        <v>183</v>
      </c>
      <c r="BC58" t="s">
        <v>183</v>
      </c>
      <c r="BD58" t="s">
        <v>183</v>
      </c>
    </row>
    <row r="59" hidden="1" spans="1:56">
      <c r="A59">
        <v>58</v>
      </c>
      <c r="B59" t="s">
        <v>269</v>
      </c>
      <c r="C59">
        <v>2022</v>
      </c>
      <c r="D59">
        <v>2012</v>
      </c>
      <c r="E59">
        <v>2021</v>
      </c>
      <c r="F59" t="s">
        <v>256</v>
      </c>
      <c r="G59" t="s">
        <v>263</v>
      </c>
      <c r="H59" t="s">
        <v>264</v>
      </c>
      <c r="I59"/>
      <c r="J59" t="s">
        <v>252</v>
      </c>
      <c r="K59" t="b">
        <v>0</v>
      </c>
      <c r="L59" t="b">
        <v>1</v>
      </c>
      <c r="M59" t="b">
        <v>0</v>
      </c>
      <c r="N59" t="b">
        <v>0</v>
      </c>
      <c r="O59" t="b">
        <v>0</v>
      </c>
      <c r="P59" t="b">
        <v>0</v>
      </c>
      <c r="Q59" t="b">
        <v>0</v>
      </c>
      <c r="R59" t="b">
        <v>0</v>
      </c>
      <c r="S59" t="b">
        <v>0</v>
      </c>
      <c r="T59" t="b">
        <v>0</v>
      </c>
      <c r="U59" t="b">
        <v>0</v>
      </c>
      <c r="V59" t="b">
        <v>0</v>
      </c>
      <c r="W59" t="b">
        <v>0</v>
      </c>
      <c r="X59" t="b">
        <v>0</v>
      </c>
      <c r="Y59" t="b">
        <v>0</v>
      </c>
      <c r="Z59" t="b">
        <v>0</v>
      </c>
      <c r="AA59" t="b">
        <v>0</v>
      </c>
      <c r="AB59" t="b">
        <v>0</v>
      </c>
      <c r="AC59" t="s">
        <v>173</v>
      </c>
      <c r="AD59" t="s">
        <v>173</v>
      </c>
      <c r="AE59" t="s">
        <v>173</v>
      </c>
      <c r="AF59" t="s">
        <v>173</v>
      </c>
      <c r="AG59" t="s">
        <v>175</v>
      </c>
      <c r="AH59" t="s">
        <v>175</v>
      </c>
      <c r="AI59" t="s">
        <v>175</v>
      </c>
      <c r="AJ59" t="s">
        <v>175</v>
      </c>
      <c r="AK59" t="s">
        <v>173</v>
      </c>
      <c r="AL59" t="s">
        <v>173</v>
      </c>
      <c r="AM59" t="s">
        <v>173</v>
      </c>
      <c r="AN59" t="s">
        <v>173</v>
      </c>
      <c r="AO59" t="s">
        <v>175</v>
      </c>
      <c r="AP59" t="s">
        <v>175</v>
      </c>
      <c r="AQ59" t="s">
        <v>175</v>
      </c>
      <c r="AR59" t="s">
        <v>177</v>
      </c>
      <c r="AS59" t="s">
        <v>175</v>
      </c>
      <c r="AT59" t="s">
        <v>175</v>
      </c>
      <c r="AU59" t="s">
        <v>175</v>
      </c>
      <c r="AV59" t="s">
        <v>175</v>
      </c>
      <c r="AW59" t="s">
        <v>175</v>
      </c>
      <c r="AX59" t="s">
        <v>193</v>
      </c>
      <c r="AY59" t="s">
        <v>198</v>
      </c>
      <c r="AZ59" t="s">
        <v>183</v>
      </c>
      <c r="BA59" t="s">
        <v>183</v>
      </c>
      <c r="BB59" t="s">
        <v>183</v>
      </c>
      <c r="BC59" t="s">
        <v>183</v>
      </c>
      <c r="BD59" t="s">
        <v>183</v>
      </c>
    </row>
    <row r="60" hidden="1" spans="1:56">
      <c r="A60">
        <v>59</v>
      </c>
      <c r="B60" t="s">
        <v>280</v>
      </c>
      <c r="C60">
        <v>2022</v>
      </c>
      <c r="D60">
        <v>1989</v>
      </c>
      <c r="E60">
        <v>2021</v>
      </c>
      <c r="F60" t="s">
        <v>256</v>
      </c>
      <c r="G60" t="s">
        <v>257</v>
      </c>
      <c r="H60" t="s">
        <v>268</v>
      </c>
      <c r="I60"/>
      <c r="J60" t="s">
        <v>252</v>
      </c>
      <c r="K60" t="b">
        <v>0</v>
      </c>
      <c r="L60" t="b">
        <v>0</v>
      </c>
      <c r="M60" t="b">
        <v>0</v>
      </c>
      <c r="N60" t="b">
        <v>1</v>
      </c>
      <c r="O60" t="b">
        <v>0</v>
      </c>
      <c r="P60" t="b">
        <v>0</v>
      </c>
      <c r="Q60" t="b">
        <v>0</v>
      </c>
      <c r="R60" t="b">
        <v>0</v>
      </c>
      <c r="S60" t="b">
        <v>0</v>
      </c>
      <c r="T60" t="b">
        <v>0</v>
      </c>
      <c r="U60" t="b">
        <v>0</v>
      </c>
      <c r="V60" t="b">
        <v>0</v>
      </c>
      <c r="W60" t="b">
        <v>0</v>
      </c>
      <c r="X60" t="b">
        <v>1</v>
      </c>
      <c r="Y60" t="b">
        <v>0</v>
      </c>
      <c r="Z60" t="b">
        <v>0</v>
      </c>
      <c r="AA60" t="b">
        <v>1</v>
      </c>
      <c r="AB60" t="b">
        <v>0</v>
      </c>
      <c r="AC60" t="s">
        <v>173</v>
      </c>
      <c r="AD60" t="s">
        <v>177</v>
      </c>
      <c r="AE60" t="s">
        <v>177</v>
      </c>
      <c r="AF60" t="s">
        <v>179</v>
      </c>
      <c r="AG60" t="s">
        <v>173</v>
      </c>
      <c r="AH60" t="s">
        <v>179</v>
      </c>
      <c r="AI60" t="s">
        <v>179</v>
      </c>
      <c r="AJ60" t="s">
        <v>177</v>
      </c>
      <c r="AK60" t="s">
        <v>177</v>
      </c>
      <c r="AL60" t="s">
        <v>177</v>
      </c>
      <c r="AM60" t="s">
        <v>177</v>
      </c>
      <c r="AN60" t="s">
        <v>177</v>
      </c>
      <c r="AO60" t="s">
        <v>177</v>
      </c>
      <c r="AP60" t="s">
        <v>173</v>
      </c>
      <c r="AQ60" t="s">
        <v>173</v>
      </c>
      <c r="AR60" t="s">
        <v>177</v>
      </c>
      <c r="AS60" t="s">
        <v>173</v>
      </c>
      <c r="AT60" t="s">
        <v>177</v>
      </c>
      <c r="AU60" t="s">
        <v>177</v>
      </c>
      <c r="AV60" t="s">
        <v>177</v>
      </c>
      <c r="AW60" t="s">
        <v>173</v>
      </c>
      <c r="AX60" t="s">
        <v>192</v>
      </c>
      <c r="AY60" t="s">
        <v>197</v>
      </c>
      <c r="AZ60" t="s">
        <v>183</v>
      </c>
      <c r="BA60" t="s">
        <v>183</v>
      </c>
      <c r="BB60" t="s">
        <v>183</v>
      </c>
      <c r="BC60" t="s">
        <v>183</v>
      </c>
      <c r="BD60" t="s">
        <v>183</v>
      </c>
    </row>
    <row r="61" hidden="1" spans="1:56">
      <c r="A61">
        <v>60</v>
      </c>
      <c r="B61" t="s">
        <v>259</v>
      </c>
      <c r="C61">
        <v>2022</v>
      </c>
      <c r="D61" t="s">
        <v>247</v>
      </c>
      <c r="E61" t="s">
        <v>247</v>
      </c>
      <c r="F61" t="s">
        <v>256</v>
      </c>
      <c r="G61" t="s">
        <v>257</v>
      </c>
      <c r="H61" t="s">
        <v>274</v>
      </c>
      <c r="I61"/>
      <c r="J61" t="s">
        <v>252</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1</v>
      </c>
      <c r="AC61" t="s">
        <v>171</v>
      </c>
      <c r="AD61" t="s">
        <v>171</v>
      </c>
      <c r="AE61" t="s">
        <v>171</v>
      </c>
      <c r="AF61" t="s">
        <v>171</v>
      </c>
      <c r="AG61" t="s">
        <v>171</v>
      </c>
      <c r="AH61" t="s">
        <v>171</v>
      </c>
      <c r="AI61" t="s">
        <v>171</v>
      </c>
      <c r="AJ61" t="s">
        <v>171</v>
      </c>
      <c r="AK61" t="s">
        <v>171</v>
      </c>
      <c r="AL61" t="s">
        <v>171</v>
      </c>
      <c r="AM61" t="s">
        <v>171</v>
      </c>
      <c r="AN61" t="s">
        <v>171</v>
      </c>
      <c r="AO61" t="s">
        <v>173</v>
      </c>
      <c r="AP61" t="s">
        <v>171</v>
      </c>
      <c r="AQ61" t="s">
        <v>171</v>
      </c>
      <c r="AR61" t="s">
        <v>171</v>
      </c>
      <c r="AS61" t="s">
        <v>171</v>
      </c>
      <c r="AT61" t="s">
        <v>171</v>
      </c>
      <c r="AU61" t="s">
        <v>171</v>
      </c>
      <c r="AV61" t="s">
        <v>173</v>
      </c>
      <c r="AW61" t="s">
        <v>171</v>
      </c>
      <c r="AY61" t="s">
        <v>195</v>
      </c>
      <c r="AZ61" t="s">
        <v>183</v>
      </c>
      <c r="BA61" t="s">
        <v>183</v>
      </c>
      <c r="BB61" t="s">
        <v>183</v>
      </c>
      <c r="BC61" t="s">
        <v>183</v>
      </c>
      <c r="BD61" t="s">
        <v>183</v>
      </c>
    </row>
    <row r="62" hidden="1" spans="1:56">
      <c r="A62">
        <v>61</v>
      </c>
      <c r="B62" t="s">
        <v>259</v>
      </c>
      <c r="C62">
        <v>2022</v>
      </c>
      <c r="D62">
        <v>1986</v>
      </c>
      <c r="E62">
        <v>1996</v>
      </c>
      <c r="F62" t="s">
        <v>256</v>
      </c>
      <c r="G62" t="s">
        <v>257</v>
      </c>
      <c r="H62" t="s">
        <v>247</v>
      </c>
      <c r="I62"/>
      <c r="J62" t="s">
        <v>252</v>
      </c>
      <c r="K62" t="b">
        <v>0</v>
      </c>
      <c r="L62" t="b">
        <v>0</v>
      </c>
      <c r="M62" t="b">
        <v>0</v>
      </c>
      <c r="N62" t="b">
        <v>0</v>
      </c>
      <c r="O62" t="b">
        <v>0</v>
      </c>
      <c r="P62" t="b">
        <v>0</v>
      </c>
      <c r="Q62" t="b">
        <v>0</v>
      </c>
      <c r="R62" t="b">
        <v>0</v>
      </c>
      <c r="S62" t="b">
        <v>0</v>
      </c>
      <c r="T62" t="b">
        <v>0</v>
      </c>
      <c r="U62" t="b">
        <v>0</v>
      </c>
      <c r="V62" t="b">
        <v>0</v>
      </c>
      <c r="W62" t="b">
        <v>0</v>
      </c>
      <c r="X62" t="b">
        <v>0</v>
      </c>
      <c r="Y62" t="b">
        <v>0</v>
      </c>
      <c r="Z62" t="b">
        <v>1</v>
      </c>
      <c r="AA62" t="b">
        <v>0</v>
      </c>
      <c r="AB62" t="b">
        <v>0</v>
      </c>
      <c r="AC62" t="s">
        <v>173</v>
      </c>
      <c r="AD62" t="s">
        <v>173</v>
      </c>
      <c r="AE62" t="s">
        <v>175</v>
      </c>
      <c r="AF62" t="s">
        <v>173</v>
      </c>
      <c r="AG62" t="s">
        <v>173</v>
      </c>
      <c r="AH62" t="s">
        <v>173</v>
      </c>
      <c r="AI62" t="s">
        <v>175</v>
      </c>
      <c r="AJ62" t="s">
        <v>173</v>
      </c>
      <c r="AK62" t="s">
        <v>173</v>
      </c>
      <c r="AL62" t="s">
        <v>173</v>
      </c>
      <c r="AM62" t="s">
        <v>173</v>
      </c>
      <c r="AN62" t="s">
        <v>173</v>
      </c>
      <c r="AO62" t="s">
        <v>173</v>
      </c>
      <c r="AP62" t="s">
        <v>175</v>
      </c>
      <c r="AQ62" t="s">
        <v>173</v>
      </c>
      <c r="AR62" t="s">
        <v>173</v>
      </c>
      <c r="AS62" t="s">
        <v>173</v>
      </c>
      <c r="AT62" t="s">
        <v>173</v>
      </c>
      <c r="AU62" t="s">
        <v>173</v>
      </c>
      <c r="AV62" t="s">
        <v>173</v>
      </c>
      <c r="AW62" t="s">
        <v>173</v>
      </c>
      <c r="AX62" t="s">
        <v>193</v>
      </c>
      <c r="AY62" t="s">
        <v>198</v>
      </c>
      <c r="AZ62" t="s">
        <v>183</v>
      </c>
      <c r="BA62" t="s">
        <v>183</v>
      </c>
      <c r="BB62" t="s">
        <v>183</v>
      </c>
      <c r="BC62" t="s">
        <v>183</v>
      </c>
      <c r="BD62" t="s">
        <v>183</v>
      </c>
    </row>
    <row r="63" hidden="1" spans="1:56">
      <c r="A63">
        <v>62</v>
      </c>
      <c r="B63" t="s">
        <v>255</v>
      </c>
      <c r="C63">
        <v>2022</v>
      </c>
      <c r="D63">
        <v>2020</v>
      </c>
      <c r="E63">
        <v>2020</v>
      </c>
      <c r="F63" t="s">
        <v>253</v>
      </c>
      <c r="G63"/>
      <c r="H63" t="s">
        <v>258</v>
      </c>
      <c r="I63"/>
      <c r="J63" t="s">
        <v>281</v>
      </c>
      <c r="K63" t="b">
        <v>0</v>
      </c>
      <c r="L63" t="b">
        <v>0</v>
      </c>
      <c r="M63" t="b">
        <v>0</v>
      </c>
      <c r="N63" t="b">
        <v>0</v>
      </c>
      <c r="O63" t="b">
        <v>0</v>
      </c>
      <c r="P63" t="b">
        <v>0</v>
      </c>
      <c r="Q63" t="b">
        <v>0</v>
      </c>
      <c r="R63" t="b">
        <v>0</v>
      </c>
      <c r="S63" t="b">
        <v>0</v>
      </c>
      <c r="T63" t="b">
        <v>0</v>
      </c>
      <c r="U63" t="b">
        <v>0</v>
      </c>
      <c r="V63" t="b">
        <v>1</v>
      </c>
      <c r="W63" t="b">
        <v>0</v>
      </c>
      <c r="X63" t="b">
        <v>0</v>
      </c>
      <c r="Y63" t="b">
        <v>0</v>
      </c>
      <c r="Z63" t="b">
        <v>0</v>
      </c>
      <c r="AA63" t="b">
        <v>0</v>
      </c>
      <c r="AB63" t="b">
        <v>0</v>
      </c>
      <c r="AC63" t="s">
        <v>173</v>
      </c>
      <c r="AD63" t="s">
        <v>175</v>
      </c>
      <c r="AE63" t="s">
        <v>171</v>
      </c>
      <c r="AF63" t="s">
        <v>173</v>
      </c>
      <c r="AG63" t="s">
        <v>173</v>
      </c>
      <c r="AH63" t="s">
        <v>171</v>
      </c>
      <c r="AI63" t="s">
        <v>171</v>
      </c>
      <c r="AJ63" t="s">
        <v>171</v>
      </c>
      <c r="AK63" t="s">
        <v>171</v>
      </c>
      <c r="AL63" t="s">
        <v>171</v>
      </c>
      <c r="AM63" t="s">
        <v>171</v>
      </c>
      <c r="AN63" t="s">
        <v>171</v>
      </c>
      <c r="AO63" t="s">
        <v>173</v>
      </c>
      <c r="AP63" t="s">
        <v>173</v>
      </c>
      <c r="AQ63" t="s">
        <v>173</v>
      </c>
      <c r="AR63" t="s">
        <v>173</v>
      </c>
      <c r="AS63" t="s">
        <v>171</v>
      </c>
      <c r="AT63" t="s">
        <v>171</v>
      </c>
      <c r="AU63" t="s">
        <v>171</v>
      </c>
      <c r="AV63" t="s">
        <v>173</v>
      </c>
      <c r="AW63" t="s">
        <v>173</v>
      </c>
      <c r="AX63" t="s">
        <v>192</v>
      </c>
      <c r="AY63" t="s">
        <v>203</v>
      </c>
      <c r="AZ63" t="s">
        <v>183</v>
      </c>
      <c r="BA63" t="s">
        <v>183</v>
      </c>
      <c r="BB63" t="s">
        <v>183</v>
      </c>
      <c r="BC63" t="s">
        <v>183</v>
      </c>
      <c r="BD63" t="s">
        <v>183</v>
      </c>
    </row>
    <row r="64" hidden="1" spans="1:56">
      <c r="A64">
        <v>63</v>
      </c>
      <c r="B64" t="s">
        <v>259</v>
      </c>
      <c r="C64">
        <v>2022</v>
      </c>
      <c r="D64">
        <v>1999</v>
      </c>
      <c r="E64">
        <v>1999</v>
      </c>
      <c r="F64" t="s">
        <v>266</v>
      </c>
      <c r="G64"/>
      <c r="H64" t="s">
        <v>250</v>
      </c>
      <c r="I64" t="s">
        <v>254</v>
      </c>
      <c r="J64" t="s">
        <v>265</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1</v>
      </c>
      <c r="AC64" t="s">
        <v>173</v>
      </c>
      <c r="AD64" t="s">
        <v>175</v>
      </c>
      <c r="AE64" t="s">
        <v>173</v>
      </c>
      <c r="AF64" t="s">
        <v>173</v>
      </c>
      <c r="AG64" t="s">
        <v>173</v>
      </c>
      <c r="AH64" t="s">
        <v>173</v>
      </c>
      <c r="AI64" t="s">
        <v>173</v>
      </c>
      <c r="AJ64" t="s">
        <v>173</v>
      </c>
      <c r="AK64" t="s">
        <v>173</v>
      </c>
      <c r="AL64" t="s">
        <v>173</v>
      </c>
      <c r="AM64" t="s">
        <v>173</v>
      </c>
      <c r="AN64" t="s">
        <v>175</v>
      </c>
      <c r="AO64" t="s">
        <v>175</v>
      </c>
      <c r="AP64" t="s">
        <v>175</v>
      </c>
      <c r="AQ64" t="s">
        <v>175</v>
      </c>
      <c r="AR64" t="s">
        <v>175</v>
      </c>
      <c r="AS64" t="s">
        <v>173</v>
      </c>
      <c r="AT64" t="s">
        <v>173</v>
      </c>
      <c r="AU64" t="s">
        <v>175</v>
      </c>
      <c r="AV64" t="s">
        <v>175</v>
      </c>
      <c r="AW64" t="s">
        <v>175</v>
      </c>
      <c r="AX64" t="s">
        <v>192</v>
      </c>
      <c r="AY64" t="s">
        <v>195</v>
      </c>
      <c r="AZ64" t="s">
        <v>183</v>
      </c>
      <c r="BA64" t="s">
        <v>183</v>
      </c>
      <c r="BB64" t="s">
        <v>183</v>
      </c>
      <c r="BC64" t="s">
        <v>183</v>
      </c>
      <c r="BD64" t="s">
        <v>183</v>
      </c>
    </row>
    <row r="65" hidden="1" spans="1:56">
      <c r="A65">
        <v>64</v>
      </c>
      <c r="B65" t="s">
        <v>280</v>
      </c>
      <c r="C65">
        <v>2022</v>
      </c>
      <c r="D65">
        <v>1998</v>
      </c>
      <c r="E65">
        <v>1998</v>
      </c>
      <c r="F65" t="s">
        <v>253</v>
      </c>
      <c r="G65"/>
      <c r="H65" t="s">
        <v>274</v>
      </c>
      <c r="I65"/>
      <c r="J65" t="s">
        <v>252</v>
      </c>
      <c r="K65" t="b">
        <v>0</v>
      </c>
      <c r="L65" t="b">
        <v>0</v>
      </c>
      <c r="M65" t="b">
        <v>0</v>
      </c>
      <c r="N65" t="b">
        <v>0</v>
      </c>
      <c r="O65" t="b">
        <v>0</v>
      </c>
      <c r="P65" t="b">
        <v>1</v>
      </c>
      <c r="Q65" t="b">
        <v>0</v>
      </c>
      <c r="R65" t="b">
        <v>0</v>
      </c>
      <c r="S65" t="b">
        <v>0</v>
      </c>
      <c r="T65" t="b">
        <v>0</v>
      </c>
      <c r="U65" t="b">
        <v>0</v>
      </c>
      <c r="V65" t="b">
        <v>0</v>
      </c>
      <c r="W65" t="b">
        <v>0</v>
      </c>
      <c r="X65" t="b">
        <v>1</v>
      </c>
      <c r="Y65" t="b">
        <v>0</v>
      </c>
      <c r="Z65" t="b">
        <v>0</v>
      </c>
      <c r="AA65" t="b">
        <v>1</v>
      </c>
      <c r="AB65" t="b">
        <v>0</v>
      </c>
      <c r="AC65" t="s">
        <v>175</v>
      </c>
      <c r="AD65" t="s">
        <v>177</v>
      </c>
      <c r="AE65" t="s">
        <v>173</v>
      </c>
      <c r="AF65" t="s">
        <v>173</v>
      </c>
      <c r="AG65" t="s">
        <v>177</v>
      </c>
      <c r="AH65" t="s">
        <v>173</v>
      </c>
      <c r="AI65" t="s">
        <v>175</v>
      </c>
      <c r="AJ65" t="s">
        <v>175</v>
      </c>
      <c r="AK65" t="s">
        <v>175</v>
      </c>
      <c r="AL65" t="s">
        <v>171</v>
      </c>
      <c r="AM65" t="s">
        <v>173</v>
      </c>
      <c r="AN65" t="s">
        <v>173</v>
      </c>
      <c r="AO65" t="s">
        <v>177</v>
      </c>
      <c r="AP65" t="s">
        <v>173</v>
      </c>
      <c r="AQ65" t="s">
        <v>179</v>
      </c>
      <c r="AR65" t="s">
        <v>177</v>
      </c>
      <c r="AS65" t="s">
        <v>173</v>
      </c>
      <c r="AT65" t="s">
        <v>175</v>
      </c>
      <c r="AU65" t="s">
        <v>177</v>
      </c>
      <c r="AV65" t="s">
        <v>175</v>
      </c>
      <c r="AW65" t="s">
        <v>173</v>
      </c>
      <c r="AX65" t="s">
        <v>193</v>
      </c>
      <c r="AY65" t="s">
        <v>196</v>
      </c>
      <c r="AZ65" t="s">
        <v>183</v>
      </c>
      <c r="BA65" t="s">
        <v>183</v>
      </c>
      <c r="BB65" t="s">
        <v>183</v>
      </c>
      <c r="BC65" t="s">
        <v>183</v>
      </c>
      <c r="BD65" t="s">
        <v>183</v>
      </c>
    </row>
    <row r="66" hidden="1" spans="1:56">
      <c r="A66">
        <v>65</v>
      </c>
      <c r="B66" t="s">
        <v>259</v>
      </c>
      <c r="C66">
        <v>2022</v>
      </c>
      <c r="D66">
        <v>1978</v>
      </c>
      <c r="E66">
        <v>1994</v>
      </c>
      <c r="F66" t="s">
        <v>256</v>
      </c>
      <c r="G66" t="s">
        <v>257</v>
      </c>
      <c r="H66" t="s">
        <v>267</v>
      </c>
      <c r="I66"/>
      <c r="J66" t="s">
        <v>252</v>
      </c>
      <c r="K66" t="b">
        <v>0</v>
      </c>
      <c r="L66" t="b">
        <v>0</v>
      </c>
      <c r="M66" t="b">
        <v>0</v>
      </c>
      <c r="N66" t="b">
        <v>1</v>
      </c>
      <c r="O66" t="b">
        <v>0</v>
      </c>
      <c r="P66" t="b">
        <v>0</v>
      </c>
      <c r="Q66" t="b">
        <v>0</v>
      </c>
      <c r="R66" t="b">
        <v>0</v>
      </c>
      <c r="S66" t="b">
        <v>0</v>
      </c>
      <c r="T66" t="b">
        <v>0</v>
      </c>
      <c r="U66" t="b">
        <v>0</v>
      </c>
      <c r="V66" t="b">
        <v>0</v>
      </c>
      <c r="W66" t="b">
        <v>0</v>
      </c>
      <c r="X66" t="b">
        <v>0</v>
      </c>
      <c r="Y66" t="b">
        <v>0</v>
      </c>
      <c r="Z66" t="b">
        <v>0</v>
      </c>
      <c r="AA66" t="b">
        <v>1</v>
      </c>
      <c r="AB66" t="b">
        <v>0</v>
      </c>
      <c r="AC66" t="s">
        <v>175</v>
      </c>
      <c r="AD66" t="s">
        <v>173</v>
      </c>
      <c r="AE66" t="s">
        <v>177</v>
      </c>
      <c r="AF66" t="s">
        <v>177</v>
      </c>
      <c r="AG66" t="s">
        <v>173</v>
      </c>
      <c r="AH66" t="s">
        <v>173</v>
      </c>
      <c r="AI66" t="s">
        <v>177</v>
      </c>
      <c r="AJ66" t="s">
        <v>177</v>
      </c>
      <c r="AK66" t="s">
        <v>173</v>
      </c>
      <c r="AL66" t="s">
        <v>173</v>
      </c>
      <c r="AM66" t="s">
        <v>171</v>
      </c>
      <c r="AN66" t="s">
        <v>171</v>
      </c>
      <c r="AO66" t="s">
        <v>177</v>
      </c>
      <c r="AP66" t="s">
        <v>177</v>
      </c>
      <c r="AQ66" t="s">
        <v>173</v>
      </c>
      <c r="AR66" t="s">
        <v>177</v>
      </c>
      <c r="AS66" t="s">
        <v>173</v>
      </c>
      <c r="AT66" t="s">
        <v>173</v>
      </c>
      <c r="AU66" t="s">
        <v>173</v>
      </c>
      <c r="AV66" t="s">
        <v>177</v>
      </c>
      <c r="AW66" t="s">
        <v>173</v>
      </c>
      <c r="AX66" t="s">
        <v>193</v>
      </c>
      <c r="AY66" t="s">
        <v>195</v>
      </c>
      <c r="AZ66" t="s">
        <v>183</v>
      </c>
      <c r="BA66" t="s">
        <v>183</v>
      </c>
      <c r="BB66" t="s">
        <v>183</v>
      </c>
      <c r="BC66" t="s">
        <v>183</v>
      </c>
      <c r="BD66" t="s">
        <v>183</v>
      </c>
    </row>
    <row r="67" hidden="1" spans="1:56">
      <c r="A67">
        <v>66</v>
      </c>
      <c r="B67" t="s">
        <v>259</v>
      </c>
      <c r="C67">
        <v>2022</v>
      </c>
      <c r="D67">
        <v>1975</v>
      </c>
      <c r="E67">
        <v>1994</v>
      </c>
      <c r="F67" t="s">
        <v>260</v>
      </c>
      <c r="G67"/>
      <c r="H67" t="s">
        <v>261</v>
      </c>
      <c r="I67"/>
      <c r="J67" t="s">
        <v>252</v>
      </c>
      <c r="K67" t="b">
        <v>0</v>
      </c>
      <c r="L67" t="b">
        <v>0</v>
      </c>
      <c r="M67" t="b">
        <v>0</v>
      </c>
      <c r="N67" t="b">
        <v>0</v>
      </c>
      <c r="O67" t="b">
        <v>0</v>
      </c>
      <c r="P67" t="b">
        <v>0</v>
      </c>
      <c r="Q67" t="b">
        <v>0</v>
      </c>
      <c r="R67" t="b">
        <v>0</v>
      </c>
      <c r="S67" t="b">
        <v>0</v>
      </c>
      <c r="T67" t="b">
        <v>0</v>
      </c>
      <c r="U67" t="b">
        <v>0</v>
      </c>
      <c r="V67" t="b">
        <v>0</v>
      </c>
      <c r="W67" t="b">
        <v>0</v>
      </c>
      <c r="X67" t="b">
        <v>0</v>
      </c>
      <c r="Y67" t="b">
        <v>1</v>
      </c>
      <c r="Z67" t="b">
        <v>0</v>
      </c>
      <c r="AA67" t="b">
        <v>0</v>
      </c>
      <c r="AB67" t="b">
        <v>0</v>
      </c>
      <c r="AC67" t="s">
        <v>177</v>
      </c>
      <c r="AD67" t="s">
        <v>173</v>
      </c>
      <c r="AE67" t="s">
        <v>175</v>
      </c>
      <c r="AF67" t="s">
        <v>173</v>
      </c>
      <c r="AG67" t="s">
        <v>173</v>
      </c>
      <c r="AH67" t="s">
        <v>175</v>
      </c>
      <c r="AI67" t="s">
        <v>177</v>
      </c>
      <c r="AJ67" t="s">
        <v>173</v>
      </c>
      <c r="AK67" t="s">
        <v>175</v>
      </c>
      <c r="AL67" t="s">
        <v>173</v>
      </c>
      <c r="AM67" t="s">
        <v>175</v>
      </c>
      <c r="AN67" t="s">
        <v>175</v>
      </c>
      <c r="AO67" t="s">
        <v>177</v>
      </c>
      <c r="AP67" t="s">
        <v>177</v>
      </c>
      <c r="AQ67" t="s">
        <v>175</v>
      </c>
      <c r="AR67" t="s">
        <v>173</v>
      </c>
      <c r="AS67" t="s">
        <v>175</v>
      </c>
      <c r="AT67" t="s">
        <v>175</v>
      </c>
      <c r="AU67" t="s">
        <v>175</v>
      </c>
      <c r="AV67" t="s">
        <v>173</v>
      </c>
      <c r="AW67" t="s">
        <v>173</v>
      </c>
      <c r="AX67" t="s">
        <v>192</v>
      </c>
      <c r="AY67" t="s">
        <v>195</v>
      </c>
      <c r="AZ67" t="s">
        <v>183</v>
      </c>
      <c r="BA67" t="s">
        <v>183</v>
      </c>
      <c r="BB67" t="s">
        <v>183</v>
      </c>
      <c r="BC67" t="s">
        <v>183</v>
      </c>
      <c r="BD67" t="s">
        <v>183</v>
      </c>
    </row>
    <row r="68" hidden="1" spans="1:56">
      <c r="A68">
        <v>67</v>
      </c>
      <c r="B68" t="s">
        <v>282</v>
      </c>
      <c r="C68">
        <v>2022</v>
      </c>
      <c r="D68">
        <v>1978</v>
      </c>
      <c r="E68">
        <v>2016</v>
      </c>
      <c r="F68" t="s">
        <v>256</v>
      </c>
      <c r="G68" t="s">
        <v>263</v>
      </c>
      <c r="H68" t="s">
        <v>247</v>
      </c>
      <c r="I68"/>
      <c r="J68" t="s">
        <v>252</v>
      </c>
      <c r="K68" t="b">
        <v>0</v>
      </c>
      <c r="L68" t="b">
        <v>0</v>
      </c>
      <c r="M68" t="b">
        <v>0</v>
      </c>
      <c r="N68" t="b">
        <v>0</v>
      </c>
      <c r="O68" t="b">
        <v>0</v>
      </c>
      <c r="P68" t="b">
        <v>0</v>
      </c>
      <c r="Q68" t="b">
        <v>0</v>
      </c>
      <c r="R68" t="b">
        <v>0</v>
      </c>
      <c r="S68" t="b">
        <v>0</v>
      </c>
      <c r="T68" t="b">
        <v>0</v>
      </c>
      <c r="U68" t="b">
        <v>0</v>
      </c>
      <c r="V68" t="b">
        <v>0</v>
      </c>
      <c r="W68" t="b">
        <v>0</v>
      </c>
      <c r="X68" t="b">
        <v>0</v>
      </c>
      <c r="Y68" t="b">
        <v>0</v>
      </c>
      <c r="Z68" t="b">
        <v>1</v>
      </c>
      <c r="AA68" t="b">
        <v>0</v>
      </c>
      <c r="AB68" t="b">
        <v>0</v>
      </c>
      <c r="AC68" t="s">
        <v>173</v>
      </c>
      <c r="AD68" t="s">
        <v>173</v>
      </c>
      <c r="AE68" t="s">
        <v>175</v>
      </c>
      <c r="AF68" t="s">
        <v>183</v>
      </c>
      <c r="AG68" t="s">
        <v>173</v>
      </c>
      <c r="AH68" t="s">
        <v>175</v>
      </c>
      <c r="AI68" t="s">
        <v>175</v>
      </c>
      <c r="AJ68" t="s">
        <v>173</v>
      </c>
      <c r="AK68" t="s">
        <v>171</v>
      </c>
      <c r="AL68" t="s">
        <v>171</v>
      </c>
      <c r="AM68" t="s">
        <v>171</v>
      </c>
      <c r="AN68" t="s">
        <v>179</v>
      </c>
      <c r="AO68" t="s">
        <v>175</v>
      </c>
      <c r="AP68" t="s">
        <v>177</v>
      </c>
      <c r="AQ68" t="s">
        <v>183</v>
      </c>
      <c r="AR68" t="s">
        <v>173</v>
      </c>
      <c r="AS68" t="s">
        <v>173</v>
      </c>
      <c r="AT68" t="s">
        <v>173</v>
      </c>
      <c r="AU68" t="s">
        <v>175</v>
      </c>
      <c r="AV68" t="s">
        <v>183</v>
      </c>
      <c r="AW68" t="s">
        <v>183</v>
      </c>
      <c r="AX68" t="s">
        <v>193</v>
      </c>
      <c r="AY68" t="s">
        <v>195</v>
      </c>
      <c r="AZ68" t="s">
        <v>183</v>
      </c>
      <c r="BA68" t="s">
        <v>183</v>
      </c>
      <c r="BB68" t="s">
        <v>183</v>
      </c>
      <c r="BC68" t="s">
        <v>183</v>
      </c>
      <c r="BD68" t="s">
        <v>183</v>
      </c>
    </row>
    <row r="69" hidden="1" spans="1:56">
      <c r="A69">
        <v>68</v>
      </c>
      <c r="B69" t="s">
        <v>282</v>
      </c>
      <c r="C69">
        <v>2022</v>
      </c>
      <c r="D69" t="s">
        <v>247</v>
      </c>
      <c r="E69" t="s">
        <v>247</v>
      </c>
      <c r="F69" t="s">
        <v>266</v>
      </c>
      <c r="G69"/>
      <c r="H69" t="s">
        <v>250</v>
      </c>
      <c r="I69" t="s">
        <v>254</v>
      </c>
      <c r="J69" t="s">
        <v>281</v>
      </c>
      <c r="K69" t="b">
        <v>0</v>
      </c>
      <c r="L69" t="b">
        <v>0</v>
      </c>
      <c r="M69" t="b">
        <v>0</v>
      </c>
      <c r="N69" t="b">
        <v>0</v>
      </c>
      <c r="O69" t="b">
        <v>0</v>
      </c>
      <c r="P69" t="b">
        <v>0</v>
      </c>
      <c r="Q69" t="b">
        <v>0</v>
      </c>
      <c r="R69" t="b">
        <v>0</v>
      </c>
      <c r="S69" t="b">
        <v>0</v>
      </c>
      <c r="T69" t="b">
        <v>0</v>
      </c>
      <c r="U69" t="b">
        <v>0</v>
      </c>
      <c r="V69" t="b">
        <v>1</v>
      </c>
      <c r="W69" t="b">
        <v>1</v>
      </c>
      <c r="X69" t="b">
        <v>0</v>
      </c>
      <c r="Y69" t="b">
        <v>0</v>
      </c>
      <c r="Z69" t="b">
        <v>0</v>
      </c>
      <c r="AA69" t="b">
        <v>0</v>
      </c>
      <c r="AB69" t="b">
        <v>0</v>
      </c>
      <c r="AC69" t="s">
        <v>177</v>
      </c>
      <c r="AD69" t="s">
        <v>177</v>
      </c>
      <c r="AE69" t="s">
        <v>175</v>
      </c>
      <c r="AF69" t="s">
        <v>173</v>
      </c>
      <c r="AG69" t="s">
        <v>173</v>
      </c>
      <c r="AH69" t="s">
        <v>173</v>
      </c>
      <c r="AI69" t="s">
        <v>173</v>
      </c>
      <c r="AJ69" t="s">
        <v>173</v>
      </c>
      <c r="AK69" t="s">
        <v>173</v>
      </c>
      <c r="AL69" t="s">
        <v>173</v>
      </c>
      <c r="AM69" t="s">
        <v>173</v>
      </c>
      <c r="AN69" t="s">
        <v>173</v>
      </c>
      <c r="AO69" t="s">
        <v>175</v>
      </c>
      <c r="AP69" t="s">
        <v>173</v>
      </c>
      <c r="AQ69" t="s">
        <v>175</v>
      </c>
      <c r="AR69" t="s">
        <v>175</v>
      </c>
      <c r="AS69" t="s">
        <v>173</v>
      </c>
      <c r="AT69" t="s">
        <v>173</v>
      </c>
      <c r="AU69" t="s">
        <v>175</v>
      </c>
      <c r="AV69" t="s">
        <v>175</v>
      </c>
      <c r="AW69" t="s">
        <v>173</v>
      </c>
      <c r="AX69" t="s">
        <v>192</v>
      </c>
      <c r="AY69" t="s">
        <v>200</v>
      </c>
      <c r="AZ69" t="s">
        <v>183</v>
      </c>
      <c r="BA69" t="s">
        <v>183</v>
      </c>
      <c r="BB69" t="s">
        <v>183</v>
      </c>
      <c r="BC69" t="s">
        <v>183</v>
      </c>
      <c r="BD69" t="s">
        <v>183</v>
      </c>
    </row>
    <row r="70" hidden="1" spans="1:56">
      <c r="A70">
        <v>69</v>
      </c>
      <c r="B70" t="s">
        <v>259</v>
      </c>
      <c r="C70">
        <v>2022</v>
      </c>
      <c r="D70">
        <v>1989</v>
      </c>
      <c r="E70">
        <v>2015</v>
      </c>
      <c r="F70" t="s">
        <v>256</v>
      </c>
      <c r="G70" t="s">
        <v>257</v>
      </c>
      <c r="H70" t="s">
        <v>274</v>
      </c>
      <c r="I70"/>
      <c r="J70" t="s">
        <v>265</v>
      </c>
      <c r="K70" t="b">
        <v>0</v>
      </c>
      <c r="L70" t="b">
        <v>0</v>
      </c>
      <c r="M70" t="b">
        <v>0</v>
      </c>
      <c r="N70" t="b">
        <v>1</v>
      </c>
      <c r="O70" t="b">
        <v>0</v>
      </c>
      <c r="P70" t="b">
        <v>0</v>
      </c>
      <c r="Q70" t="b">
        <v>1</v>
      </c>
      <c r="R70" t="b">
        <v>0</v>
      </c>
      <c r="S70" t="b">
        <v>1</v>
      </c>
      <c r="T70" t="b">
        <v>0</v>
      </c>
      <c r="U70" t="b">
        <v>0</v>
      </c>
      <c r="V70" t="b">
        <v>0</v>
      </c>
      <c r="W70" t="b">
        <v>0</v>
      </c>
      <c r="X70" t="b">
        <v>0</v>
      </c>
      <c r="Y70" t="b">
        <v>0</v>
      </c>
      <c r="Z70" t="b">
        <v>0</v>
      </c>
      <c r="AA70" t="b">
        <v>0</v>
      </c>
      <c r="AB70" t="b">
        <v>0</v>
      </c>
      <c r="AC70" t="s">
        <v>177</v>
      </c>
      <c r="AD70" t="s">
        <v>177</v>
      </c>
      <c r="AE70" t="s">
        <v>177</v>
      </c>
      <c r="AF70" t="s">
        <v>177</v>
      </c>
      <c r="AG70" t="s">
        <v>173</v>
      </c>
      <c r="AH70" t="s">
        <v>177</v>
      </c>
      <c r="AI70" t="s">
        <v>177</v>
      </c>
      <c r="AJ70" t="s">
        <v>177</v>
      </c>
      <c r="AK70" t="s">
        <v>175</v>
      </c>
      <c r="AL70" t="s">
        <v>177</v>
      </c>
      <c r="AM70" t="s">
        <v>179</v>
      </c>
      <c r="AN70" t="s">
        <v>179</v>
      </c>
      <c r="AO70" t="s">
        <v>177</v>
      </c>
      <c r="AP70" t="s">
        <v>177</v>
      </c>
      <c r="AQ70" t="s">
        <v>177</v>
      </c>
      <c r="AR70" t="s">
        <v>177</v>
      </c>
      <c r="AS70" t="s">
        <v>177</v>
      </c>
      <c r="AT70" t="s">
        <v>177</v>
      </c>
      <c r="AU70" t="s">
        <v>177</v>
      </c>
      <c r="AV70" t="s">
        <v>177</v>
      </c>
      <c r="AW70" t="s">
        <v>177</v>
      </c>
      <c r="AY70" t="s">
        <v>195</v>
      </c>
      <c r="AZ70" t="s">
        <v>183</v>
      </c>
      <c r="BA70" t="s">
        <v>183</v>
      </c>
      <c r="BB70" t="s">
        <v>183</v>
      </c>
      <c r="BC70" t="s">
        <v>183</v>
      </c>
      <c r="BD70" t="s">
        <v>183</v>
      </c>
    </row>
    <row r="71" hidden="1" spans="1:56">
      <c r="A71">
        <v>70</v>
      </c>
      <c r="B71" t="s">
        <v>255</v>
      </c>
      <c r="C71">
        <v>2022</v>
      </c>
      <c r="D71">
        <v>2015</v>
      </c>
      <c r="E71" t="s">
        <v>247</v>
      </c>
      <c r="F71" t="s">
        <v>248</v>
      </c>
      <c r="G71" t="s">
        <v>249</v>
      </c>
      <c r="H71" t="s">
        <v>250</v>
      </c>
      <c r="I71" t="s">
        <v>283</v>
      </c>
      <c r="J71" t="s">
        <v>252</v>
      </c>
      <c r="K71" t="b">
        <v>0</v>
      </c>
      <c r="L71" t="b">
        <v>0</v>
      </c>
      <c r="M71" t="b">
        <v>0</v>
      </c>
      <c r="N71" t="b">
        <v>1</v>
      </c>
      <c r="O71" t="b">
        <v>0</v>
      </c>
      <c r="P71" t="b">
        <v>0</v>
      </c>
      <c r="Q71" t="b">
        <v>0</v>
      </c>
      <c r="R71" t="b">
        <v>0</v>
      </c>
      <c r="S71" t="b">
        <v>1</v>
      </c>
      <c r="T71" t="b">
        <v>0</v>
      </c>
      <c r="U71" t="b">
        <v>0</v>
      </c>
      <c r="V71" t="b">
        <v>0</v>
      </c>
      <c r="W71" t="b">
        <v>0</v>
      </c>
      <c r="X71" t="b">
        <v>0</v>
      </c>
      <c r="Y71" t="b">
        <v>0</v>
      </c>
      <c r="Z71" t="b">
        <v>0</v>
      </c>
      <c r="AA71" t="b">
        <v>0</v>
      </c>
      <c r="AB71" t="b">
        <v>0</v>
      </c>
      <c r="AC71" t="s">
        <v>179</v>
      </c>
      <c r="AD71" t="s">
        <v>179</v>
      </c>
      <c r="AE71" t="s">
        <v>177</v>
      </c>
      <c r="AF71" t="s">
        <v>179</v>
      </c>
      <c r="AG71" t="s">
        <v>177</v>
      </c>
      <c r="AH71" t="s">
        <v>177</v>
      </c>
      <c r="AI71" t="s">
        <v>179</v>
      </c>
      <c r="AJ71" t="s">
        <v>179</v>
      </c>
      <c r="AK71" t="s">
        <v>177</v>
      </c>
      <c r="AL71" t="s">
        <v>179</v>
      </c>
      <c r="AM71" t="s">
        <v>179</v>
      </c>
      <c r="AN71" t="s">
        <v>177</v>
      </c>
      <c r="AO71" t="s">
        <v>179</v>
      </c>
      <c r="AP71" t="s">
        <v>179</v>
      </c>
      <c r="AQ71" t="s">
        <v>179</v>
      </c>
      <c r="AR71" t="s">
        <v>175</v>
      </c>
      <c r="AS71" t="s">
        <v>179</v>
      </c>
      <c r="AT71" t="s">
        <v>173</v>
      </c>
      <c r="AU71" t="s">
        <v>175</v>
      </c>
      <c r="AV71" t="s">
        <v>179</v>
      </c>
      <c r="AW71" t="s">
        <v>175</v>
      </c>
      <c r="AX71" t="s">
        <v>192</v>
      </c>
      <c r="AY71" t="s">
        <v>201</v>
      </c>
      <c r="AZ71" t="s">
        <v>183</v>
      </c>
      <c r="BA71" t="s">
        <v>183</v>
      </c>
      <c r="BB71" t="s">
        <v>183</v>
      </c>
      <c r="BC71" t="s">
        <v>183</v>
      </c>
      <c r="BD71" t="s">
        <v>183</v>
      </c>
    </row>
    <row r="72" hidden="1" spans="1:56">
      <c r="A72">
        <v>71</v>
      </c>
      <c r="B72" t="s">
        <v>259</v>
      </c>
      <c r="C72">
        <v>2022</v>
      </c>
      <c r="D72">
        <v>1984</v>
      </c>
      <c r="E72">
        <v>1984</v>
      </c>
      <c r="F72" t="s">
        <v>256</v>
      </c>
      <c r="G72" t="s">
        <v>263</v>
      </c>
      <c r="H72" t="s">
        <v>274</v>
      </c>
      <c r="I72"/>
      <c r="J72" t="s">
        <v>252</v>
      </c>
      <c r="K72" t="b">
        <v>0</v>
      </c>
      <c r="L72" t="b">
        <v>0</v>
      </c>
      <c r="M72" t="b">
        <v>0</v>
      </c>
      <c r="N72" t="b">
        <v>0</v>
      </c>
      <c r="O72" t="b">
        <v>0</v>
      </c>
      <c r="P72" t="b">
        <v>1</v>
      </c>
      <c r="Q72" t="b">
        <v>0</v>
      </c>
      <c r="R72" t="b">
        <v>0</v>
      </c>
      <c r="S72" t="b">
        <v>0</v>
      </c>
      <c r="T72" t="b">
        <v>1</v>
      </c>
      <c r="U72" t="b">
        <v>0</v>
      </c>
      <c r="V72" t="b">
        <v>0</v>
      </c>
      <c r="W72" t="b">
        <v>0</v>
      </c>
      <c r="X72" t="b">
        <v>0</v>
      </c>
      <c r="Y72" t="b">
        <v>0</v>
      </c>
      <c r="Z72" t="b">
        <v>0</v>
      </c>
      <c r="AA72" t="b">
        <v>1</v>
      </c>
      <c r="AB72" t="b">
        <v>0</v>
      </c>
      <c r="AC72" t="s">
        <v>179</v>
      </c>
      <c r="AD72" t="s">
        <v>173</v>
      </c>
      <c r="AE72" t="s">
        <v>177</v>
      </c>
      <c r="AF72" t="s">
        <v>177</v>
      </c>
      <c r="AG72" t="s">
        <v>179</v>
      </c>
      <c r="AH72" t="s">
        <v>177</v>
      </c>
      <c r="AI72" t="s">
        <v>177</v>
      </c>
      <c r="AJ72" t="s">
        <v>177</v>
      </c>
      <c r="AK72" t="s">
        <v>173</v>
      </c>
      <c r="AL72" t="s">
        <v>173</v>
      </c>
      <c r="AM72" t="s">
        <v>173</v>
      </c>
      <c r="AN72" t="s">
        <v>173</v>
      </c>
      <c r="AO72" t="s">
        <v>173</v>
      </c>
      <c r="AP72" t="s">
        <v>173</v>
      </c>
      <c r="AQ72" t="s">
        <v>173</v>
      </c>
      <c r="AR72" t="s">
        <v>173</v>
      </c>
      <c r="AS72" t="s">
        <v>173</v>
      </c>
      <c r="AT72" t="s">
        <v>175</v>
      </c>
      <c r="AU72" t="s">
        <v>173</v>
      </c>
      <c r="AV72" t="s">
        <v>177</v>
      </c>
      <c r="AW72" t="s">
        <v>177</v>
      </c>
      <c r="AX72" t="s">
        <v>192</v>
      </c>
      <c r="AY72" t="s">
        <v>196</v>
      </c>
      <c r="AZ72" t="s">
        <v>183</v>
      </c>
      <c r="BA72" t="s">
        <v>183</v>
      </c>
      <c r="BB72" t="s">
        <v>183</v>
      </c>
      <c r="BC72" t="s">
        <v>183</v>
      </c>
      <c r="BD72" t="s">
        <v>183</v>
      </c>
    </row>
    <row r="73" hidden="1" spans="1:56">
      <c r="A73">
        <v>72</v>
      </c>
      <c r="B73" t="s">
        <v>255</v>
      </c>
      <c r="C73">
        <v>2022</v>
      </c>
      <c r="D73">
        <v>2020</v>
      </c>
      <c r="E73">
        <v>2020</v>
      </c>
      <c r="F73" t="s">
        <v>266</v>
      </c>
      <c r="G73"/>
      <c r="H73" t="s">
        <v>273</v>
      </c>
      <c r="I73"/>
      <c r="J73" t="s">
        <v>265</v>
      </c>
      <c r="K73" t="b">
        <v>0</v>
      </c>
      <c r="L73" t="b">
        <v>0</v>
      </c>
      <c r="M73" t="b">
        <v>0</v>
      </c>
      <c r="N73" t="b">
        <v>0</v>
      </c>
      <c r="O73" t="b">
        <v>0</v>
      </c>
      <c r="P73" t="b">
        <v>0</v>
      </c>
      <c r="Q73" t="b">
        <v>0</v>
      </c>
      <c r="R73" t="b">
        <v>0</v>
      </c>
      <c r="S73" t="b">
        <v>0</v>
      </c>
      <c r="T73" t="b">
        <v>0</v>
      </c>
      <c r="U73" t="b">
        <v>0</v>
      </c>
      <c r="V73" t="b">
        <v>1</v>
      </c>
      <c r="W73" t="b">
        <v>0</v>
      </c>
      <c r="X73" t="b">
        <v>0</v>
      </c>
      <c r="Y73" t="b">
        <v>0</v>
      </c>
      <c r="Z73" t="b">
        <v>0</v>
      </c>
      <c r="AA73" t="b">
        <v>0</v>
      </c>
      <c r="AB73" t="b">
        <v>0</v>
      </c>
      <c r="AC73" t="s">
        <v>171</v>
      </c>
      <c r="AD73" t="s">
        <v>171</v>
      </c>
      <c r="AE73" t="s">
        <v>175</v>
      </c>
      <c r="AF73" t="s">
        <v>173</v>
      </c>
      <c r="AG73" t="s">
        <v>171</v>
      </c>
      <c r="AH73" t="s">
        <v>171</v>
      </c>
      <c r="AI73" t="s">
        <v>171</v>
      </c>
      <c r="AJ73" t="s">
        <v>173</v>
      </c>
      <c r="AK73" t="s">
        <v>173</v>
      </c>
      <c r="AL73" t="s">
        <v>173</v>
      </c>
      <c r="AM73" t="s">
        <v>173</v>
      </c>
      <c r="AN73" t="s">
        <v>173</v>
      </c>
      <c r="AO73" t="s">
        <v>171</v>
      </c>
      <c r="AP73" t="s">
        <v>175</v>
      </c>
      <c r="AQ73" t="s">
        <v>171</v>
      </c>
      <c r="AR73" t="s">
        <v>177</v>
      </c>
      <c r="AS73" t="s">
        <v>175</v>
      </c>
      <c r="AT73" t="s">
        <v>179</v>
      </c>
      <c r="AU73" t="s">
        <v>177</v>
      </c>
      <c r="AV73" t="s">
        <v>173</v>
      </c>
      <c r="AW73" t="s">
        <v>173</v>
      </c>
      <c r="AX73" t="s">
        <v>192</v>
      </c>
      <c r="AY73" t="s">
        <v>201</v>
      </c>
      <c r="AZ73" t="s">
        <v>183</v>
      </c>
      <c r="BA73" t="s">
        <v>183</v>
      </c>
      <c r="BB73" t="s">
        <v>183</v>
      </c>
      <c r="BC73" t="s">
        <v>183</v>
      </c>
      <c r="BD73" t="s">
        <v>183</v>
      </c>
    </row>
    <row r="74" hidden="1" spans="1:56">
      <c r="A74">
        <v>73</v>
      </c>
      <c r="B74" t="s">
        <v>259</v>
      </c>
      <c r="C74">
        <v>2022</v>
      </c>
      <c r="D74" t="s">
        <v>247</v>
      </c>
      <c r="E74" t="s">
        <v>247</v>
      </c>
      <c r="F74" t="s">
        <v>260</v>
      </c>
      <c r="G74"/>
      <c r="H74" t="s">
        <v>261</v>
      </c>
      <c r="I74"/>
      <c r="J74" t="s">
        <v>252</v>
      </c>
      <c r="K74" t="b">
        <v>0</v>
      </c>
      <c r="L74" t="b">
        <v>0</v>
      </c>
      <c r="M74" t="b">
        <v>0</v>
      </c>
      <c r="N74" t="b">
        <v>0</v>
      </c>
      <c r="O74" t="b">
        <v>0</v>
      </c>
      <c r="P74" t="b">
        <v>0</v>
      </c>
      <c r="Q74" t="b">
        <v>0</v>
      </c>
      <c r="R74" t="b">
        <v>0</v>
      </c>
      <c r="S74" t="b">
        <v>0</v>
      </c>
      <c r="T74" t="b">
        <v>0</v>
      </c>
      <c r="U74" t="b">
        <v>1</v>
      </c>
      <c r="V74" t="b">
        <v>0</v>
      </c>
      <c r="W74" t="b">
        <v>0</v>
      </c>
      <c r="X74" t="b">
        <v>0</v>
      </c>
      <c r="Y74" t="b">
        <v>0</v>
      </c>
      <c r="Z74" t="b">
        <v>1</v>
      </c>
      <c r="AA74" t="b">
        <v>0</v>
      </c>
      <c r="AB74" t="b">
        <v>0</v>
      </c>
      <c r="AC74" t="s">
        <v>171</v>
      </c>
      <c r="AD74" t="s">
        <v>171</v>
      </c>
      <c r="AE74" t="s">
        <v>173</v>
      </c>
      <c r="AF74" t="s">
        <v>173</v>
      </c>
      <c r="AG74" t="s">
        <v>173</v>
      </c>
      <c r="AH74" t="s">
        <v>177</v>
      </c>
      <c r="AI74" t="s">
        <v>173</v>
      </c>
      <c r="AJ74" t="s">
        <v>171</v>
      </c>
      <c r="AK74" t="s">
        <v>173</v>
      </c>
      <c r="AL74" t="s">
        <v>173</v>
      </c>
      <c r="AM74" t="s">
        <v>173</v>
      </c>
      <c r="AN74" t="s">
        <v>173</v>
      </c>
      <c r="AO74" t="s">
        <v>175</v>
      </c>
      <c r="AP74" t="s">
        <v>173</v>
      </c>
      <c r="AQ74" t="s">
        <v>175</v>
      </c>
      <c r="AR74" t="s">
        <v>173</v>
      </c>
      <c r="AS74" t="s">
        <v>173</v>
      </c>
      <c r="AT74" t="s">
        <v>171</v>
      </c>
      <c r="AU74" t="s">
        <v>173</v>
      </c>
      <c r="AV74" t="s">
        <v>183</v>
      </c>
      <c r="AW74" t="s">
        <v>173</v>
      </c>
      <c r="AX74" t="s">
        <v>192</v>
      </c>
      <c r="AY74" t="s">
        <v>196</v>
      </c>
      <c r="AZ74" t="s">
        <v>183</v>
      </c>
      <c r="BA74" t="s">
        <v>183</v>
      </c>
      <c r="BB74" t="s">
        <v>183</v>
      </c>
      <c r="BC74" t="s">
        <v>183</v>
      </c>
      <c r="BD74" t="s">
        <v>183</v>
      </c>
    </row>
    <row r="75" spans="1:65">
      <c r="A75">
        <v>74</v>
      </c>
      <c r="B75" t="s">
        <v>284</v>
      </c>
      <c r="C75" s="10">
        <v>2022</v>
      </c>
      <c r="D75" s="10">
        <v>2018</v>
      </c>
      <c r="E75" s="10">
        <v>2020</v>
      </c>
      <c r="F75" s="10" t="s">
        <v>241</v>
      </c>
      <c r="G75" s="10" t="s">
        <v>249</v>
      </c>
      <c r="H75" s="10" t="s">
        <v>243</v>
      </c>
      <c r="I75" s="10" t="s">
        <v>278</v>
      </c>
      <c r="J75" s="10" t="s">
        <v>285</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1</v>
      </c>
      <c r="AC75" s="10" t="s">
        <v>173</v>
      </c>
      <c r="AD75" t="s">
        <v>171</v>
      </c>
      <c r="AE75" t="s">
        <v>173</v>
      </c>
      <c r="AF75" t="s">
        <v>175</v>
      </c>
      <c r="AG75" t="s">
        <v>171</v>
      </c>
      <c r="AH75" t="s">
        <v>171</v>
      </c>
      <c r="AI75" t="s">
        <v>171</v>
      </c>
      <c r="AJ75" t="s">
        <v>171</v>
      </c>
      <c r="AK75" t="s">
        <v>171</v>
      </c>
      <c r="AL75" t="s">
        <v>171</v>
      </c>
      <c r="AM75" t="s">
        <v>171</v>
      </c>
      <c r="AN75" t="s">
        <v>171</v>
      </c>
      <c r="AO75" t="s">
        <v>171</v>
      </c>
      <c r="AP75" t="s">
        <v>171</v>
      </c>
      <c r="AQ75" t="s">
        <v>171</v>
      </c>
      <c r="AR75" t="s">
        <v>171</v>
      </c>
      <c r="AS75" t="s">
        <v>171</v>
      </c>
      <c r="AT75" t="s">
        <v>171</v>
      </c>
      <c r="AU75" t="s">
        <v>171</v>
      </c>
      <c r="AV75" t="s">
        <v>175</v>
      </c>
      <c r="AX75" t="s">
        <v>193</v>
      </c>
      <c r="AY75" t="s">
        <v>200</v>
      </c>
      <c r="AZ75" t="s">
        <v>207</v>
      </c>
      <c r="BA75" t="s">
        <v>207</v>
      </c>
      <c r="BB75" t="s">
        <v>207</v>
      </c>
      <c r="BC75" t="s">
        <v>207</v>
      </c>
      <c r="BD75" t="s">
        <v>207</v>
      </c>
      <c r="BE75" t="str">
        <f>IF(AY75="","Unknown",AY75)</f>
        <v>26-30</v>
      </c>
      <c r="BF75" s="11" t="str">
        <f>IF(AZ75="","unknown",AZ75)</f>
        <v>NO</v>
      </c>
      <c r="BG75" s="11" t="str">
        <f>IF(BA75="","UNKNOWN",BA75)</f>
        <v>NO</v>
      </c>
      <c r="BH75" s="11" t="str">
        <f>IF(BB75="","unknown",BB75)</f>
        <v>NO</v>
      </c>
      <c r="BI75" s="11" t="str">
        <f>IF(BC75="","Unknon",BC75)</f>
        <v>NO</v>
      </c>
      <c r="BJ75" s="11" t="str">
        <f>IF(BD75="","Unknown",BD75)</f>
        <v>NO</v>
      </c>
      <c r="BK75" s="11">
        <f>VALUE(C75)-VALUE(D75)</f>
        <v>4</v>
      </c>
      <c r="BM75" s="11"/>
    </row>
    <row r="76" hidden="1" spans="1:56">
      <c r="A76">
        <v>75</v>
      </c>
      <c r="B76" t="s">
        <v>259</v>
      </c>
      <c r="C76">
        <v>2022</v>
      </c>
      <c r="D76">
        <v>1984</v>
      </c>
      <c r="E76">
        <v>1984</v>
      </c>
      <c r="F76" t="s">
        <v>256</v>
      </c>
      <c r="G76" t="s">
        <v>257</v>
      </c>
      <c r="H76" t="s">
        <v>267</v>
      </c>
      <c r="I76"/>
      <c r="J76" t="s">
        <v>252</v>
      </c>
      <c r="K76" t="b">
        <v>0</v>
      </c>
      <c r="L76" t="b">
        <v>0</v>
      </c>
      <c r="M76" t="b">
        <v>0</v>
      </c>
      <c r="N76" t="b">
        <v>0</v>
      </c>
      <c r="O76" t="b">
        <v>1</v>
      </c>
      <c r="P76" t="b">
        <v>0</v>
      </c>
      <c r="Q76" t="b">
        <v>0</v>
      </c>
      <c r="R76" t="b">
        <v>0</v>
      </c>
      <c r="S76" t="b">
        <v>0</v>
      </c>
      <c r="T76" t="b">
        <v>0</v>
      </c>
      <c r="U76" t="b">
        <v>0</v>
      </c>
      <c r="V76" t="b">
        <v>0</v>
      </c>
      <c r="W76" t="b">
        <v>0</v>
      </c>
      <c r="X76" t="b">
        <v>0</v>
      </c>
      <c r="Y76" t="b">
        <v>0</v>
      </c>
      <c r="Z76" t="b">
        <v>1</v>
      </c>
      <c r="AA76" t="b">
        <v>0</v>
      </c>
      <c r="AB76" t="b">
        <v>0</v>
      </c>
      <c r="AC76" t="s">
        <v>173</v>
      </c>
      <c r="AD76" t="s">
        <v>173</v>
      </c>
      <c r="AE76" t="s">
        <v>179</v>
      </c>
      <c r="AF76" t="s">
        <v>179</v>
      </c>
      <c r="AG76" t="s">
        <v>179</v>
      </c>
      <c r="AH76" t="s">
        <v>179</v>
      </c>
      <c r="AI76" t="s">
        <v>179</v>
      </c>
      <c r="AJ76" t="s">
        <v>179</v>
      </c>
      <c r="AK76" t="s">
        <v>175</v>
      </c>
      <c r="AL76" t="s">
        <v>173</v>
      </c>
      <c r="AM76" t="s">
        <v>173</v>
      </c>
      <c r="AN76" t="s">
        <v>175</v>
      </c>
      <c r="AO76" t="s">
        <v>173</v>
      </c>
      <c r="AP76" t="s">
        <v>179</v>
      </c>
      <c r="AQ76" t="s">
        <v>175</v>
      </c>
      <c r="AR76" t="s">
        <v>179</v>
      </c>
      <c r="AS76" t="s">
        <v>179</v>
      </c>
      <c r="AT76" t="s">
        <v>175</v>
      </c>
      <c r="AU76" t="s">
        <v>175</v>
      </c>
      <c r="AV76" t="s">
        <v>179</v>
      </c>
      <c r="AW76" t="s">
        <v>179</v>
      </c>
      <c r="AX76" t="s">
        <v>192</v>
      </c>
      <c r="AY76" t="s">
        <v>196</v>
      </c>
      <c r="AZ76" t="s">
        <v>183</v>
      </c>
      <c r="BA76" t="s">
        <v>183</v>
      </c>
      <c r="BB76" t="s">
        <v>183</v>
      </c>
      <c r="BC76" t="s">
        <v>183</v>
      </c>
      <c r="BD76" t="s">
        <v>183</v>
      </c>
    </row>
    <row r="77" spans="1:65">
      <c r="A77">
        <v>76</v>
      </c>
      <c r="B77" t="s">
        <v>284</v>
      </c>
      <c r="C77" s="10">
        <v>2022</v>
      </c>
      <c r="D77" s="10">
        <v>2019</v>
      </c>
      <c r="E77" s="10">
        <v>2021</v>
      </c>
      <c r="F77" s="10" t="s">
        <v>241</v>
      </c>
      <c r="G77" s="10" t="s">
        <v>242</v>
      </c>
      <c r="H77" s="10" t="s">
        <v>243</v>
      </c>
      <c r="I77" s="10" t="s">
        <v>278</v>
      </c>
      <c r="J77" s="10" t="s">
        <v>285</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1</v>
      </c>
      <c r="AC77" s="10" t="s">
        <v>173</v>
      </c>
      <c r="AD77" t="s">
        <v>173</v>
      </c>
      <c r="AE77" t="s">
        <v>175</v>
      </c>
      <c r="AF77" t="s">
        <v>173</v>
      </c>
      <c r="AG77" t="s">
        <v>173</v>
      </c>
      <c r="AH77" t="s">
        <v>173</v>
      </c>
      <c r="AI77" t="s">
        <v>173</v>
      </c>
      <c r="AJ77" t="s">
        <v>173</v>
      </c>
      <c r="AK77" t="s">
        <v>173</v>
      </c>
      <c r="AL77" t="s">
        <v>171</v>
      </c>
      <c r="AM77" t="s">
        <v>173</v>
      </c>
      <c r="AN77" t="s">
        <v>175</v>
      </c>
      <c r="AO77" t="s">
        <v>173</v>
      </c>
      <c r="AP77" t="s">
        <v>173</v>
      </c>
      <c r="AQ77" t="s">
        <v>173</v>
      </c>
      <c r="AR77" t="s">
        <v>173</v>
      </c>
      <c r="AS77" t="s">
        <v>173</v>
      </c>
      <c r="AT77" t="s">
        <v>173</v>
      </c>
      <c r="AU77" t="s">
        <v>173</v>
      </c>
      <c r="AV77" t="s">
        <v>173</v>
      </c>
      <c r="AW77" t="s">
        <v>173</v>
      </c>
      <c r="AX77" t="s">
        <v>193</v>
      </c>
      <c r="AY77" t="s">
        <v>200</v>
      </c>
      <c r="AZ77" t="s">
        <v>207</v>
      </c>
      <c r="BA77" t="s">
        <v>207</v>
      </c>
      <c r="BB77" t="s">
        <v>207</v>
      </c>
      <c r="BC77" t="s">
        <v>207</v>
      </c>
      <c r="BD77" t="s">
        <v>208</v>
      </c>
      <c r="BE77" t="str">
        <f>IF(AY77="","Unknown",AY77)</f>
        <v>26-30</v>
      </c>
      <c r="BF77" s="11" t="str">
        <f>IF(AZ77="","unknown",AZ77)</f>
        <v>NO</v>
      </c>
      <c r="BG77" s="11" t="str">
        <f>IF(BA77="","UNKNOWN",BA77)</f>
        <v>NO</v>
      </c>
      <c r="BH77" s="11" t="str">
        <f>IF(BB77="","unknown",BB77)</f>
        <v>NO</v>
      </c>
      <c r="BI77" s="11" t="str">
        <f>IF(BC77="","Unknon",BC77)</f>
        <v>NO</v>
      </c>
      <c r="BJ77" s="11" t="str">
        <f>IF(BD77="","Unknown",BD77)</f>
        <v>Yes</v>
      </c>
      <c r="BK77" s="11">
        <f>VALUE(C77)-VALUE(D77)</f>
        <v>3</v>
      </c>
      <c r="BM77" s="11"/>
    </row>
    <row r="78" hidden="1" spans="1:56">
      <c r="A78">
        <v>77</v>
      </c>
      <c r="B78" t="s">
        <v>280</v>
      </c>
      <c r="C78">
        <v>2022</v>
      </c>
      <c r="D78">
        <v>1993</v>
      </c>
      <c r="E78">
        <v>2019</v>
      </c>
      <c r="F78" t="s">
        <v>256</v>
      </c>
      <c r="G78" t="s">
        <v>257</v>
      </c>
      <c r="H78" t="s">
        <v>264</v>
      </c>
      <c r="I78"/>
      <c r="J78" t="s">
        <v>252</v>
      </c>
      <c r="K78" t="b">
        <v>0</v>
      </c>
      <c r="L78" t="b">
        <v>0</v>
      </c>
      <c r="M78" t="b">
        <v>0</v>
      </c>
      <c r="N78" t="b">
        <v>0</v>
      </c>
      <c r="O78" t="b">
        <v>0</v>
      </c>
      <c r="P78" t="b">
        <v>0</v>
      </c>
      <c r="Q78" t="b">
        <v>0</v>
      </c>
      <c r="R78" t="b">
        <v>0</v>
      </c>
      <c r="S78" t="b">
        <v>0</v>
      </c>
      <c r="T78" t="b">
        <v>0</v>
      </c>
      <c r="U78" t="b">
        <v>0</v>
      </c>
      <c r="V78" t="b">
        <v>0</v>
      </c>
      <c r="W78" t="b">
        <v>0</v>
      </c>
      <c r="X78" t="b">
        <v>1</v>
      </c>
      <c r="Y78" t="b">
        <v>0</v>
      </c>
      <c r="Z78" t="b">
        <v>0</v>
      </c>
      <c r="AA78" t="b">
        <v>0</v>
      </c>
      <c r="AB78" t="b">
        <v>0</v>
      </c>
      <c r="AC78" t="s">
        <v>171</v>
      </c>
      <c r="AD78" t="s">
        <v>171</v>
      </c>
      <c r="AE78" t="s">
        <v>173</v>
      </c>
      <c r="AF78" t="s">
        <v>173</v>
      </c>
      <c r="AG78" t="s">
        <v>175</v>
      </c>
      <c r="AH78" t="s">
        <v>173</v>
      </c>
      <c r="AI78" t="s">
        <v>173</v>
      </c>
      <c r="AJ78" t="s">
        <v>171</v>
      </c>
      <c r="AK78" t="s">
        <v>171</v>
      </c>
      <c r="AL78" t="s">
        <v>171</v>
      </c>
      <c r="AM78" t="s">
        <v>171</v>
      </c>
      <c r="AN78" t="s">
        <v>171</v>
      </c>
      <c r="AO78" t="s">
        <v>171</v>
      </c>
      <c r="AP78" t="s">
        <v>173</v>
      </c>
      <c r="AQ78" t="s">
        <v>171</v>
      </c>
      <c r="AR78" t="s">
        <v>173</v>
      </c>
      <c r="AS78" t="s">
        <v>173</v>
      </c>
      <c r="AT78" t="s">
        <v>173</v>
      </c>
      <c r="AU78" t="s">
        <v>173</v>
      </c>
      <c r="AV78" t="s">
        <v>175</v>
      </c>
      <c r="AW78" t="s">
        <v>175</v>
      </c>
      <c r="AX78" t="s">
        <v>192</v>
      </c>
      <c r="AY78" t="s">
        <v>196</v>
      </c>
      <c r="AZ78" t="s">
        <v>183</v>
      </c>
      <c r="BA78" t="s">
        <v>183</v>
      </c>
      <c r="BB78" t="s">
        <v>183</v>
      </c>
      <c r="BC78" t="s">
        <v>183</v>
      </c>
      <c r="BD78" t="s">
        <v>183</v>
      </c>
    </row>
    <row r="79" spans="1:65">
      <c r="A79">
        <v>78</v>
      </c>
      <c r="B79" t="s">
        <v>286</v>
      </c>
      <c r="C79" s="10">
        <v>2022</v>
      </c>
      <c r="D79" s="10">
        <v>2016</v>
      </c>
      <c r="E79" s="10">
        <v>2016</v>
      </c>
      <c r="F79" s="10" t="s">
        <v>241</v>
      </c>
      <c r="G79" s="10" t="s">
        <v>249</v>
      </c>
      <c r="H79" s="10" t="s">
        <v>243</v>
      </c>
      <c r="I79" s="10" t="s">
        <v>278</v>
      </c>
      <c r="J79" s="10" t="s">
        <v>285</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1</v>
      </c>
      <c r="AC79" s="10" t="s">
        <v>175</v>
      </c>
      <c r="AD79" t="s">
        <v>179</v>
      </c>
      <c r="AE79" t="s">
        <v>175</v>
      </c>
      <c r="AF79" t="s">
        <v>175</v>
      </c>
      <c r="AG79" t="s">
        <v>173</v>
      </c>
      <c r="AH79" t="s">
        <v>173</v>
      </c>
      <c r="AI79" t="s">
        <v>173</v>
      </c>
      <c r="AJ79" t="s">
        <v>171</v>
      </c>
      <c r="AK79" t="s">
        <v>173</v>
      </c>
      <c r="AL79" t="s">
        <v>179</v>
      </c>
      <c r="AM79" t="s">
        <v>179</v>
      </c>
      <c r="AN79" t="s">
        <v>177</v>
      </c>
      <c r="AO79" t="s">
        <v>173</v>
      </c>
      <c r="AP79" t="s">
        <v>173</v>
      </c>
      <c r="AQ79" t="s">
        <v>177</v>
      </c>
      <c r="AR79" t="s">
        <v>173</v>
      </c>
      <c r="AS79" t="s">
        <v>173</v>
      </c>
      <c r="AT79" t="s">
        <v>173</v>
      </c>
      <c r="AU79" t="s">
        <v>173</v>
      </c>
      <c r="AV79" t="s">
        <v>175</v>
      </c>
      <c r="AW79" t="s">
        <v>175</v>
      </c>
      <c r="AX79" t="s">
        <v>193</v>
      </c>
      <c r="AY79" t="s">
        <v>197</v>
      </c>
      <c r="AZ79" t="s">
        <v>207</v>
      </c>
      <c r="BA79" t="s">
        <v>207</v>
      </c>
      <c r="BB79" t="s">
        <v>207</v>
      </c>
      <c r="BC79" t="s">
        <v>207</v>
      </c>
      <c r="BD79" t="s">
        <v>207</v>
      </c>
      <c r="BE79" t="str">
        <f>IF(AY79="","Unknown",AY79)</f>
        <v>51-55</v>
      </c>
      <c r="BF79" s="11" t="str">
        <f>IF(AZ79="","unknown",AZ79)</f>
        <v>NO</v>
      </c>
      <c r="BG79" s="11" t="str">
        <f>IF(BA79="","UNKNOWN",BA79)</f>
        <v>NO</v>
      </c>
      <c r="BH79" s="11" t="str">
        <f>IF(BB79="","unknown",BB79)</f>
        <v>NO</v>
      </c>
      <c r="BI79" s="11" t="str">
        <f>IF(BC79="","Unknon",BC79)</f>
        <v>NO</v>
      </c>
      <c r="BJ79" s="11" t="str">
        <f>IF(BD79="","Unknown",BD79)</f>
        <v>NO</v>
      </c>
      <c r="BK79" s="11">
        <f>VALUE(C79)-VALUE(D79)</f>
        <v>6</v>
      </c>
      <c r="BM79" s="11"/>
    </row>
    <row r="80" spans="1:65">
      <c r="A80">
        <v>79</v>
      </c>
      <c r="B80" t="s">
        <v>284</v>
      </c>
      <c r="C80" s="10">
        <v>2022</v>
      </c>
      <c r="D80" s="10">
        <v>2017</v>
      </c>
      <c r="E80" s="10">
        <v>2021</v>
      </c>
      <c r="F80" s="10" t="s">
        <v>241</v>
      </c>
      <c r="G80" s="10" t="s">
        <v>249</v>
      </c>
      <c r="H80" s="10" t="s">
        <v>243</v>
      </c>
      <c r="I80" s="10" t="s">
        <v>278</v>
      </c>
      <c r="J80" s="10" t="s">
        <v>285</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1</v>
      </c>
      <c r="AC80" s="10" t="s">
        <v>173</v>
      </c>
      <c r="AD80" t="s">
        <v>173</v>
      </c>
      <c r="AE80" t="s">
        <v>175</v>
      </c>
      <c r="AF80" t="s">
        <v>173</v>
      </c>
      <c r="AG80" t="s">
        <v>173</v>
      </c>
      <c r="AH80" t="s">
        <v>171</v>
      </c>
      <c r="AI80" t="s">
        <v>171</v>
      </c>
      <c r="AJ80" t="s">
        <v>173</v>
      </c>
      <c r="AK80" t="s">
        <v>171</v>
      </c>
      <c r="AL80" t="s">
        <v>171</v>
      </c>
      <c r="AM80" t="s">
        <v>171</v>
      </c>
      <c r="AN80" t="s">
        <v>173</v>
      </c>
      <c r="AO80" t="s">
        <v>171</v>
      </c>
      <c r="AP80" t="s">
        <v>171</v>
      </c>
      <c r="AQ80" t="s">
        <v>171</v>
      </c>
      <c r="AR80" t="s">
        <v>171</v>
      </c>
      <c r="AS80" t="s">
        <v>171</v>
      </c>
      <c r="AT80" t="s">
        <v>173</v>
      </c>
      <c r="AU80" t="s">
        <v>173</v>
      </c>
      <c r="AV80" t="s">
        <v>173</v>
      </c>
      <c r="AW80" t="s">
        <v>171</v>
      </c>
      <c r="AX80" t="s">
        <v>193</v>
      </c>
      <c r="AY80" t="s">
        <v>202</v>
      </c>
      <c r="AZ80" t="s">
        <v>207</v>
      </c>
      <c r="BA80" t="s">
        <v>207</v>
      </c>
      <c r="BB80" t="s">
        <v>207</v>
      </c>
      <c r="BC80" t="s">
        <v>207</v>
      </c>
      <c r="BD80" t="s">
        <v>207</v>
      </c>
      <c r="BE80" t="str">
        <f>IF(AY80="","Unknown",AY80)</f>
        <v>21-25</v>
      </c>
      <c r="BF80" s="11" t="str">
        <f>IF(AZ80="","unknown",AZ80)</f>
        <v>NO</v>
      </c>
      <c r="BG80" s="11" t="str">
        <f>IF(BA80="","UNKNOWN",BA80)</f>
        <v>NO</v>
      </c>
      <c r="BH80" s="11" t="str">
        <f>IF(BB80="","unknown",BB80)</f>
        <v>NO</v>
      </c>
      <c r="BI80" s="11" t="str">
        <f>IF(BC80="","Unknon",BC80)</f>
        <v>NO</v>
      </c>
      <c r="BJ80" s="11" t="str">
        <f>IF(BD80="","Unknown",BD80)</f>
        <v>NO</v>
      </c>
      <c r="BK80" s="11">
        <f>VALUE(C80)-VALUE(D80)</f>
        <v>5</v>
      </c>
      <c r="BM80" s="11"/>
    </row>
    <row r="81" spans="1:65">
      <c r="A81">
        <v>80</v>
      </c>
      <c r="B81" t="s">
        <v>286</v>
      </c>
      <c r="C81" s="10">
        <v>2022</v>
      </c>
      <c r="D81" s="10">
        <v>2016</v>
      </c>
      <c r="E81" s="10">
        <v>2020</v>
      </c>
      <c r="F81" s="10" t="s">
        <v>241</v>
      </c>
      <c r="G81" s="10" t="s">
        <v>249</v>
      </c>
      <c r="H81" s="10" t="s">
        <v>243</v>
      </c>
      <c r="I81" s="10" t="s">
        <v>278</v>
      </c>
      <c r="J81" s="10" t="s">
        <v>285</v>
      </c>
      <c r="K81" t="b">
        <v>0</v>
      </c>
      <c r="L81" t="b">
        <v>0</v>
      </c>
      <c r="M81" t="b">
        <v>0</v>
      </c>
      <c r="N81" t="b">
        <v>0</v>
      </c>
      <c r="O81" t="b">
        <v>0</v>
      </c>
      <c r="P81" t="b">
        <v>0</v>
      </c>
      <c r="Q81" t="b">
        <v>0</v>
      </c>
      <c r="R81" t="b">
        <v>0</v>
      </c>
      <c r="S81" t="b">
        <v>0</v>
      </c>
      <c r="T81" t="b">
        <v>0</v>
      </c>
      <c r="U81" t="b">
        <v>0</v>
      </c>
      <c r="V81" t="b">
        <v>0</v>
      </c>
      <c r="W81" t="b">
        <v>0</v>
      </c>
      <c r="X81" t="b">
        <v>0</v>
      </c>
      <c r="Y81" t="b">
        <v>1</v>
      </c>
      <c r="Z81" t="b">
        <v>0</v>
      </c>
      <c r="AA81" t="b">
        <v>0</v>
      </c>
      <c r="AB81" t="b">
        <v>0</v>
      </c>
      <c r="AC81" s="10" t="s">
        <v>173</v>
      </c>
      <c r="AD81" t="s">
        <v>173</v>
      </c>
      <c r="AE81" t="s">
        <v>173</v>
      </c>
      <c r="AF81" t="s">
        <v>173</v>
      </c>
      <c r="AG81" t="s">
        <v>171</v>
      </c>
      <c r="AH81" t="s">
        <v>173</v>
      </c>
      <c r="AI81" t="s">
        <v>173</v>
      </c>
      <c r="AJ81" t="s">
        <v>173</v>
      </c>
      <c r="AK81" t="s">
        <v>173</v>
      </c>
      <c r="AL81" t="s">
        <v>173</v>
      </c>
      <c r="AM81" t="s">
        <v>171</v>
      </c>
      <c r="AN81" t="s">
        <v>177</v>
      </c>
      <c r="AO81" t="s">
        <v>173</v>
      </c>
      <c r="AP81" t="s">
        <v>173</v>
      </c>
      <c r="AQ81" t="s">
        <v>173</v>
      </c>
      <c r="AR81" t="s">
        <v>173</v>
      </c>
      <c r="AS81" t="s">
        <v>173</v>
      </c>
      <c r="AT81" t="s">
        <v>173</v>
      </c>
      <c r="AU81" t="s">
        <v>173</v>
      </c>
      <c r="AV81" t="s">
        <v>175</v>
      </c>
      <c r="AW81" t="s">
        <v>175</v>
      </c>
      <c r="AX81" t="s">
        <v>193</v>
      </c>
      <c r="AY81" t="s">
        <v>200</v>
      </c>
      <c r="AZ81" t="s">
        <v>207</v>
      </c>
      <c r="BA81" t="s">
        <v>207</v>
      </c>
      <c r="BB81" t="s">
        <v>207</v>
      </c>
      <c r="BC81" t="s">
        <v>207</v>
      </c>
      <c r="BD81" t="s">
        <v>207</v>
      </c>
      <c r="BE81" t="str">
        <f>IF(AY81="","Unknown",AY81)</f>
        <v>26-30</v>
      </c>
      <c r="BF81" s="11" t="str">
        <f>IF(AZ81="","unknown",AZ81)</f>
        <v>NO</v>
      </c>
      <c r="BG81" s="11" t="str">
        <f>IF(BA81="","UNKNOWN",BA81)</f>
        <v>NO</v>
      </c>
      <c r="BH81" s="11" t="str">
        <f>IF(BB81="","unknown",BB81)</f>
        <v>NO</v>
      </c>
      <c r="BI81" s="11" t="str">
        <f>IF(BC81="","Unknon",BC81)</f>
        <v>NO</v>
      </c>
      <c r="BJ81" s="11" t="str">
        <f>IF(BD81="","Unknown",BD81)</f>
        <v>NO</v>
      </c>
      <c r="BK81" s="11">
        <f>VALUE(C81)-VALUE(D81)</f>
        <v>6</v>
      </c>
      <c r="BM81" s="11"/>
    </row>
    <row r="82" spans="1:65">
      <c r="A82">
        <v>81</v>
      </c>
      <c r="B82" t="s">
        <v>284</v>
      </c>
      <c r="C82" s="10">
        <v>2022</v>
      </c>
      <c r="D82" s="10">
        <v>1977</v>
      </c>
      <c r="E82" s="10">
        <v>2013</v>
      </c>
      <c r="F82" s="10" t="s">
        <v>241</v>
      </c>
      <c r="G82" s="10" t="s">
        <v>249</v>
      </c>
      <c r="H82" s="10" t="s">
        <v>243</v>
      </c>
      <c r="I82" s="10" t="s">
        <v>282</v>
      </c>
      <c r="J82" s="10" t="s">
        <v>287</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1</v>
      </c>
      <c r="AC82" s="10" t="s">
        <v>175</v>
      </c>
      <c r="AD82" t="s">
        <v>175</v>
      </c>
      <c r="AE82" t="s">
        <v>175</v>
      </c>
      <c r="AF82" t="s">
        <v>177</v>
      </c>
      <c r="AG82" t="s">
        <v>175</v>
      </c>
      <c r="AH82" t="s">
        <v>175</v>
      </c>
      <c r="AI82" t="s">
        <v>175</v>
      </c>
      <c r="AJ82" t="s">
        <v>177</v>
      </c>
      <c r="AK82" t="s">
        <v>173</v>
      </c>
      <c r="AL82" t="s">
        <v>175</v>
      </c>
      <c r="AM82" t="s">
        <v>175</v>
      </c>
      <c r="AN82" t="s">
        <v>177</v>
      </c>
      <c r="AO82" t="s">
        <v>177</v>
      </c>
      <c r="AP82" t="s">
        <v>177</v>
      </c>
      <c r="AQ82" t="s">
        <v>177</v>
      </c>
      <c r="AR82" t="s">
        <v>177</v>
      </c>
      <c r="AS82" t="s">
        <v>175</v>
      </c>
      <c r="AT82" t="s">
        <v>175</v>
      </c>
      <c r="AU82" t="s">
        <v>177</v>
      </c>
      <c r="AV82" t="s">
        <v>175</v>
      </c>
      <c r="AW82" t="s">
        <v>177</v>
      </c>
      <c r="AX82" t="s">
        <v>192</v>
      </c>
      <c r="AY82" t="s">
        <v>204</v>
      </c>
      <c r="AZ82" t="s">
        <v>207</v>
      </c>
      <c r="BA82" t="s">
        <v>207</v>
      </c>
      <c r="BB82" t="s">
        <v>207</v>
      </c>
      <c r="BC82" t="s">
        <v>207</v>
      </c>
      <c r="BD82" t="s">
        <v>207</v>
      </c>
      <c r="BE82" t="str">
        <f>IF(AY82="","Unknown",AY82)</f>
        <v>61Not StatedorNot Statedolder</v>
      </c>
      <c r="BF82" s="11" t="str">
        <f>IF(AZ82="","unknown",AZ82)</f>
        <v>NO</v>
      </c>
      <c r="BG82" s="11" t="str">
        <f>IF(BA82="","UNKNOWN",BA82)</f>
        <v>NO</v>
      </c>
      <c r="BH82" s="11" t="str">
        <f>IF(BB82="","unknown",BB82)</f>
        <v>NO</v>
      </c>
      <c r="BI82" s="11" t="str">
        <f>IF(BC82="","Unknon",BC82)</f>
        <v>NO</v>
      </c>
      <c r="BJ82" s="11" t="str">
        <f>IF(BD82="","Unknown",BD82)</f>
        <v>NO</v>
      </c>
      <c r="BK82" s="11">
        <f>VALUE(C82)-VALUE(D82)</f>
        <v>45</v>
      </c>
      <c r="BM82" s="11"/>
    </row>
    <row r="83" hidden="1" spans="1:56">
      <c r="A83">
        <v>82</v>
      </c>
      <c r="B83" t="s">
        <v>288</v>
      </c>
      <c r="C83">
        <v>2022</v>
      </c>
      <c r="D83">
        <v>2020</v>
      </c>
      <c r="E83">
        <v>2020</v>
      </c>
      <c r="F83" t="s">
        <v>289</v>
      </c>
      <c r="G83"/>
      <c r="H83" t="s">
        <v>250</v>
      </c>
      <c r="I83" t="s">
        <v>254</v>
      </c>
      <c r="J83" t="s">
        <v>290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1</v>
      </c>
      <c r="AC83" t="s">
        <v>175</v>
      </c>
      <c r="AD83" t="s">
        <v>175</v>
      </c>
      <c r="AE83" t="s">
        <v>171</v>
      </c>
      <c r="AF83" t="s">
        <v>175</v>
      </c>
      <c r="AG83" t="s">
        <v>171</v>
      </c>
      <c r="AH83" t="s">
        <v>173</v>
      </c>
      <c r="AI83" t="s">
        <v>177</v>
      </c>
      <c r="AJ83" t="s">
        <v>171</v>
      </c>
      <c r="AK83" t="s">
        <v>171</v>
      </c>
      <c r="AL83" t="s">
        <v>173</v>
      </c>
      <c r="AM83" t="s">
        <v>171</v>
      </c>
      <c r="AN83" t="s">
        <v>171</v>
      </c>
      <c r="AO83" t="s">
        <v>175</v>
      </c>
      <c r="AP83" t="s">
        <v>173</v>
      </c>
      <c r="AQ83" t="s">
        <v>175</v>
      </c>
      <c r="AR83" t="s">
        <v>173</v>
      </c>
      <c r="AS83" t="s">
        <v>175</v>
      </c>
      <c r="AT83" t="s">
        <v>173</v>
      </c>
      <c r="AU83" t="s">
        <v>175</v>
      </c>
      <c r="AV83" t="s">
        <v>175</v>
      </c>
      <c r="AW83" t="s">
        <v>183</v>
      </c>
      <c r="AX83" t="s">
        <v>192</v>
      </c>
      <c r="AY83" t="s">
        <v>202</v>
      </c>
      <c r="AZ83" t="s">
        <v>183</v>
      </c>
      <c r="BA83" t="s">
        <v>183</v>
      </c>
      <c r="BB83" t="s">
        <v>183</v>
      </c>
      <c r="BC83" t="s">
        <v>208</v>
      </c>
      <c r="BD83" t="s">
        <v>183</v>
      </c>
    </row>
    <row r="84" hidden="1" spans="1:56">
      <c r="A84">
        <v>83</v>
      </c>
      <c r="B84" t="s">
        <v>246</v>
      </c>
      <c r="C84">
        <v>2022</v>
      </c>
      <c r="D84">
        <v>2000</v>
      </c>
      <c r="E84">
        <v>2019</v>
      </c>
      <c r="F84" t="s">
        <v>291</v>
      </c>
      <c r="G84"/>
      <c r="H84" t="s">
        <v>247</v>
      </c>
      <c r="I84"/>
      <c r="J84" t="s">
        <v>252</v>
      </c>
      <c r="K84" t="b">
        <v>0</v>
      </c>
      <c r="L84" t="b">
        <v>0</v>
      </c>
      <c r="M84" t="b">
        <v>1</v>
      </c>
      <c r="N84" t="b">
        <v>1</v>
      </c>
      <c r="O84" t="b">
        <v>0</v>
      </c>
      <c r="P84" t="b">
        <v>0</v>
      </c>
      <c r="Q84" t="b">
        <v>1</v>
      </c>
      <c r="R84" t="b">
        <v>0</v>
      </c>
      <c r="S84" t="b">
        <v>0</v>
      </c>
      <c r="T84" t="b">
        <v>0</v>
      </c>
      <c r="U84" t="b">
        <v>0</v>
      </c>
      <c r="V84" t="b">
        <v>0</v>
      </c>
      <c r="W84" t="b">
        <v>0</v>
      </c>
      <c r="X84" t="b">
        <v>0</v>
      </c>
      <c r="Y84" t="b">
        <v>0</v>
      </c>
      <c r="Z84" t="b">
        <v>0</v>
      </c>
      <c r="AA84" t="b">
        <v>0</v>
      </c>
      <c r="AB84" t="b">
        <v>0</v>
      </c>
      <c r="AC84" t="s">
        <v>175</v>
      </c>
      <c r="AD84" t="s">
        <v>175</v>
      </c>
      <c r="AE84" t="s">
        <v>179</v>
      </c>
      <c r="AF84" t="s">
        <v>179</v>
      </c>
      <c r="AG84" t="s">
        <v>173</v>
      </c>
      <c r="AH84" t="s">
        <v>177</v>
      </c>
      <c r="AI84" t="s">
        <v>179</v>
      </c>
      <c r="AJ84" t="s">
        <v>179</v>
      </c>
      <c r="AK84" t="s">
        <v>179</v>
      </c>
      <c r="AL84" t="s">
        <v>179</v>
      </c>
      <c r="AM84" t="s">
        <v>179</v>
      </c>
      <c r="AN84" t="s">
        <v>179</v>
      </c>
      <c r="AO84" t="s">
        <v>175</v>
      </c>
      <c r="AP84" t="s">
        <v>179</v>
      </c>
      <c r="AQ84" t="s">
        <v>175</v>
      </c>
      <c r="AR84" t="s">
        <v>179</v>
      </c>
      <c r="AS84" t="s">
        <v>179</v>
      </c>
      <c r="AT84" t="s">
        <v>179</v>
      </c>
      <c r="AU84" t="s">
        <v>179</v>
      </c>
      <c r="AV84" t="s">
        <v>175</v>
      </c>
      <c r="AW84" t="s">
        <v>173</v>
      </c>
      <c r="AX84" t="s">
        <v>192</v>
      </c>
      <c r="AY84" t="s">
        <v>197</v>
      </c>
      <c r="AZ84" t="s">
        <v>208</v>
      </c>
      <c r="BA84" t="s">
        <v>183</v>
      </c>
      <c r="BB84" t="s">
        <v>183</v>
      </c>
      <c r="BC84" t="s">
        <v>183</v>
      </c>
      <c r="BD84" t="s">
        <v>183</v>
      </c>
    </row>
    <row r="85" hidden="1" spans="1:56">
      <c r="A85">
        <v>84</v>
      </c>
      <c r="B85" t="s">
        <v>288</v>
      </c>
      <c r="C85">
        <v>2022</v>
      </c>
      <c r="D85">
        <v>2020</v>
      </c>
      <c r="E85">
        <v>2021</v>
      </c>
      <c r="F85" t="s">
        <v>248</v>
      </c>
      <c r="G85" t="s">
        <v>242</v>
      </c>
      <c r="H85" t="s">
        <v>274</v>
      </c>
      <c r="I85"/>
      <c r="J85" t="s">
        <v>290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s">
        <v>171</v>
      </c>
      <c r="AD85" t="s">
        <v>175</v>
      </c>
      <c r="AE85" t="s">
        <v>171</v>
      </c>
      <c r="AF85" t="s">
        <v>171</v>
      </c>
      <c r="AG85" t="s">
        <v>171</v>
      </c>
      <c r="AH85" t="s">
        <v>171</v>
      </c>
      <c r="AI85" t="s">
        <v>171</v>
      </c>
      <c r="AJ85" t="s">
        <v>171</v>
      </c>
      <c r="AK85" t="s">
        <v>171</v>
      </c>
      <c r="AL85" t="s">
        <v>171</v>
      </c>
      <c r="AM85" t="s">
        <v>171</v>
      </c>
      <c r="AN85" t="s">
        <v>171</v>
      </c>
      <c r="AO85" t="s">
        <v>171</v>
      </c>
      <c r="AP85" t="s">
        <v>171</v>
      </c>
      <c r="AQ85" t="s">
        <v>171</v>
      </c>
      <c r="AR85" t="s">
        <v>171</v>
      </c>
      <c r="AS85" t="s">
        <v>171</v>
      </c>
      <c r="AT85" t="s">
        <v>171</v>
      </c>
      <c r="AU85" t="s">
        <v>171</v>
      </c>
      <c r="AV85" t="s">
        <v>177</v>
      </c>
      <c r="AW85" t="s">
        <v>173</v>
      </c>
      <c r="AX85" t="s">
        <v>192</v>
      </c>
      <c r="AY85" t="s">
        <v>199</v>
      </c>
      <c r="AZ85" t="s">
        <v>183</v>
      </c>
      <c r="BA85" t="s">
        <v>183</v>
      </c>
      <c r="BB85" t="s">
        <v>183</v>
      </c>
      <c r="BC85" t="s">
        <v>183</v>
      </c>
      <c r="BD85" t="s">
        <v>208</v>
      </c>
    </row>
    <row r="86" hidden="1" spans="1:56">
      <c r="A86">
        <v>85</v>
      </c>
      <c r="B86" t="s">
        <v>286</v>
      </c>
      <c r="C86">
        <v>2022</v>
      </c>
      <c r="D86">
        <v>2019</v>
      </c>
      <c r="E86">
        <v>2019</v>
      </c>
      <c r="F86" t="s">
        <v>248</v>
      </c>
      <c r="G86" t="s">
        <v>249</v>
      </c>
      <c r="H86" t="s">
        <v>247</v>
      </c>
      <c r="I86"/>
      <c r="J86" t="s">
        <v>290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1</v>
      </c>
      <c r="AC86" t="s">
        <v>171</v>
      </c>
      <c r="AD86" t="s">
        <v>173</v>
      </c>
      <c r="AE86" t="s">
        <v>173</v>
      </c>
      <c r="AF86" t="s">
        <v>173</v>
      </c>
      <c r="AG86" t="s">
        <v>173</v>
      </c>
      <c r="AH86" t="s">
        <v>171</v>
      </c>
      <c r="AI86" t="s">
        <v>171</v>
      </c>
      <c r="AJ86" t="s">
        <v>173</v>
      </c>
      <c r="AK86" t="s">
        <v>171</v>
      </c>
      <c r="AL86" t="s">
        <v>171</v>
      </c>
      <c r="AM86" t="s">
        <v>171</v>
      </c>
      <c r="AN86" t="s">
        <v>173</v>
      </c>
      <c r="AO86" t="s">
        <v>173</v>
      </c>
      <c r="AP86" t="s">
        <v>173</v>
      </c>
      <c r="AQ86" t="s">
        <v>173</v>
      </c>
      <c r="AR86" t="s">
        <v>173</v>
      </c>
      <c r="AS86" t="s">
        <v>173</v>
      </c>
      <c r="AT86" t="s">
        <v>173</v>
      </c>
      <c r="AU86" t="s">
        <v>173</v>
      </c>
      <c r="AV86" t="s">
        <v>173</v>
      </c>
      <c r="AW86" t="s">
        <v>181</v>
      </c>
      <c r="AX86" t="s">
        <v>192</v>
      </c>
      <c r="AY86" t="s">
        <v>196</v>
      </c>
      <c r="AZ86" t="s">
        <v>183</v>
      </c>
      <c r="BA86" t="s">
        <v>183</v>
      </c>
      <c r="BB86" t="s">
        <v>183</v>
      </c>
      <c r="BC86" t="s">
        <v>183</v>
      </c>
      <c r="BD86" t="s">
        <v>183</v>
      </c>
    </row>
    <row r="87" hidden="1" spans="1:56">
      <c r="A87">
        <v>86</v>
      </c>
      <c r="B87" t="s">
        <v>259</v>
      </c>
      <c r="C87">
        <v>2022</v>
      </c>
      <c r="D87">
        <v>1980</v>
      </c>
      <c r="E87">
        <v>1984</v>
      </c>
      <c r="F87" t="s">
        <v>292</v>
      </c>
      <c r="G87"/>
      <c r="H87" t="s">
        <v>274</v>
      </c>
      <c r="I87"/>
      <c r="J87" t="s">
        <v>252</v>
      </c>
      <c r="K87" t="b">
        <v>0</v>
      </c>
      <c r="L87" t="b">
        <v>0</v>
      </c>
      <c r="M87" t="b">
        <v>0</v>
      </c>
      <c r="N87" t="b">
        <v>0</v>
      </c>
      <c r="O87" t="b">
        <v>1</v>
      </c>
      <c r="P87" t="b">
        <v>0</v>
      </c>
      <c r="Q87" t="b">
        <v>1</v>
      </c>
      <c r="R87" t="b">
        <v>0</v>
      </c>
      <c r="S87" t="b">
        <v>0</v>
      </c>
      <c r="T87" t="b">
        <v>0</v>
      </c>
      <c r="U87" t="b">
        <v>0</v>
      </c>
      <c r="V87" t="b">
        <v>0</v>
      </c>
      <c r="W87" t="b">
        <v>0</v>
      </c>
      <c r="X87" t="b">
        <v>0</v>
      </c>
      <c r="Y87" t="b">
        <v>0</v>
      </c>
      <c r="Z87" t="b">
        <v>0</v>
      </c>
      <c r="AA87" t="b">
        <v>1</v>
      </c>
      <c r="AB87" t="b">
        <v>0</v>
      </c>
      <c r="AC87" t="s">
        <v>177</v>
      </c>
      <c r="AD87" t="s">
        <v>177</v>
      </c>
      <c r="AE87" t="s">
        <v>179</v>
      </c>
      <c r="AF87" t="s">
        <v>177</v>
      </c>
      <c r="AG87" t="s">
        <v>179</v>
      </c>
      <c r="AH87" t="s">
        <v>177</v>
      </c>
      <c r="AI87" t="s">
        <v>179</v>
      </c>
      <c r="AJ87" t="s">
        <v>179</v>
      </c>
      <c r="AK87" t="s">
        <v>177</v>
      </c>
      <c r="AL87" t="s">
        <v>179</v>
      </c>
      <c r="AM87" t="s">
        <v>177</v>
      </c>
      <c r="AN87" t="s">
        <v>173</v>
      </c>
      <c r="AO87" t="s">
        <v>179</v>
      </c>
      <c r="AP87" t="s">
        <v>179</v>
      </c>
      <c r="AQ87" t="s">
        <v>179</v>
      </c>
      <c r="AR87" t="s">
        <v>171</v>
      </c>
      <c r="AS87" t="s">
        <v>179</v>
      </c>
      <c r="AT87" t="s">
        <v>179</v>
      </c>
      <c r="AU87" t="s">
        <v>177</v>
      </c>
      <c r="AV87" t="s">
        <v>171</v>
      </c>
      <c r="AW87" t="s">
        <v>171</v>
      </c>
      <c r="AX87" t="s">
        <v>193</v>
      </c>
      <c r="AY87" t="s">
        <v>196</v>
      </c>
      <c r="AZ87" t="s">
        <v>183</v>
      </c>
      <c r="BA87" t="s">
        <v>183</v>
      </c>
      <c r="BB87" t="s">
        <v>183</v>
      </c>
      <c r="BC87" t="s">
        <v>183</v>
      </c>
      <c r="BD87" t="s">
        <v>183</v>
      </c>
    </row>
    <row r="88" hidden="1" spans="1:56">
      <c r="A88">
        <v>87</v>
      </c>
      <c r="B88" t="s">
        <v>286</v>
      </c>
      <c r="C88">
        <v>2022</v>
      </c>
      <c r="D88">
        <v>2020</v>
      </c>
      <c r="E88">
        <v>2020</v>
      </c>
      <c r="F88" t="s">
        <v>248</v>
      </c>
      <c r="G88" t="s">
        <v>242</v>
      </c>
      <c r="H88" t="s">
        <v>261</v>
      </c>
      <c r="I88"/>
      <c r="J88" t="s">
        <v>290</v>
      </c>
      <c r="K88" t="b">
        <v>0</v>
      </c>
      <c r="L88" t="b">
        <v>0</v>
      </c>
      <c r="M88" t="b">
        <v>0</v>
      </c>
      <c r="N88" t="b">
        <v>0</v>
      </c>
      <c r="O88" t="b">
        <v>0</v>
      </c>
      <c r="P88" t="b">
        <v>0</v>
      </c>
      <c r="Q88" t="b">
        <v>0</v>
      </c>
      <c r="R88" t="b">
        <v>0</v>
      </c>
      <c r="S88" t="b">
        <v>0</v>
      </c>
      <c r="T88" t="b">
        <v>0</v>
      </c>
      <c r="U88" t="b">
        <v>0</v>
      </c>
      <c r="V88" t="b">
        <v>0</v>
      </c>
      <c r="W88" t="b">
        <v>0</v>
      </c>
      <c r="X88" t="b">
        <v>0</v>
      </c>
      <c r="Y88" t="b">
        <v>1</v>
      </c>
      <c r="Z88" t="b">
        <v>0</v>
      </c>
      <c r="AA88" t="b">
        <v>0</v>
      </c>
      <c r="AB88" t="b">
        <v>0</v>
      </c>
      <c r="AC88" t="s">
        <v>175</v>
      </c>
      <c r="AD88" t="s">
        <v>175</v>
      </c>
      <c r="AE88" t="s">
        <v>173</v>
      </c>
      <c r="AF88" t="s">
        <v>173</v>
      </c>
      <c r="AG88" t="s">
        <v>173</v>
      </c>
      <c r="AH88" t="s">
        <v>173</v>
      </c>
      <c r="AI88" t="s">
        <v>173</v>
      </c>
      <c r="AJ88" t="s">
        <v>173</v>
      </c>
      <c r="AK88" t="s">
        <v>173</v>
      </c>
      <c r="AL88" t="s">
        <v>173</v>
      </c>
      <c r="AM88" t="s">
        <v>175</v>
      </c>
      <c r="AN88" t="s">
        <v>177</v>
      </c>
      <c r="AO88" t="s">
        <v>173</v>
      </c>
      <c r="AP88" t="s">
        <v>173</v>
      </c>
      <c r="AQ88" t="s">
        <v>173</v>
      </c>
      <c r="AR88" t="s">
        <v>173</v>
      </c>
      <c r="AS88" t="s">
        <v>173</v>
      </c>
      <c r="AT88" t="s">
        <v>173</v>
      </c>
      <c r="AU88" t="s">
        <v>173</v>
      </c>
      <c r="AV88" t="s">
        <v>173</v>
      </c>
      <c r="AW88" t="s">
        <v>173</v>
      </c>
      <c r="AX88" t="s">
        <v>192</v>
      </c>
      <c r="AY88" t="s">
        <v>196</v>
      </c>
      <c r="AZ88" t="s">
        <v>183</v>
      </c>
      <c r="BA88" t="s">
        <v>183</v>
      </c>
      <c r="BB88" t="s">
        <v>183</v>
      </c>
      <c r="BC88" t="s">
        <v>183</v>
      </c>
      <c r="BD88" t="s">
        <v>183</v>
      </c>
    </row>
    <row r="89" hidden="1" spans="1:56">
      <c r="A89">
        <v>88</v>
      </c>
      <c r="B89" t="s">
        <v>272</v>
      </c>
      <c r="C89">
        <v>2022</v>
      </c>
      <c r="D89">
        <v>2016</v>
      </c>
      <c r="E89">
        <v>2016</v>
      </c>
      <c r="F89" t="s">
        <v>256</v>
      </c>
      <c r="G89" t="s">
        <v>263</v>
      </c>
      <c r="H89" t="s">
        <v>258</v>
      </c>
      <c r="I89"/>
      <c r="J89" t="s">
        <v>252</v>
      </c>
      <c r="K89" t="b">
        <v>0</v>
      </c>
      <c r="L89" t="b">
        <v>0</v>
      </c>
      <c r="M89" t="b">
        <v>0</v>
      </c>
      <c r="N89" t="b">
        <v>0</v>
      </c>
      <c r="O89" t="b">
        <v>0</v>
      </c>
      <c r="P89" t="b">
        <v>0</v>
      </c>
      <c r="Q89" t="b">
        <v>0</v>
      </c>
      <c r="R89" t="b">
        <v>0</v>
      </c>
      <c r="S89" t="b">
        <v>0</v>
      </c>
      <c r="T89" t="b">
        <v>0</v>
      </c>
      <c r="U89" t="b">
        <v>0</v>
      </c>
      <c r="V89" t="b">
        <v>1</v>
      </c>
      <c r="W89" t="b">
        <v>1</v>
      </c>
      <c r="X89" t="b">
        <v>0</v>
      </c>
      <c r="Y89" t="b">
        <v>0</v>
      </c>
      <c r="Z89" t="b">
        <v>0</v>
      </c>
      <c r="AA89" t="b">
        <v>0</v>
      </c>
      <c r="AB89" t="b">
        <v>0</v>
      </c>
      <c r="AC89" t="s">
        <v>173</v>
      </c>
      <c r="AD89" t="s">
        <v>173</v>
      </c>
      <c r="AE89" t="s">
        <v>173</v>
      </c>
      <c r="AF89" t="s">
        <v>173</v>
      </c>
      <c r="AG89" t="s">
        <v>173</v>
      </c>
      <c r="AH89" t="s">
        <v>173</v>
      </c>
      <c r="AI89" t="s">
        <v>173</v>
      </c>
      <c r="AJ89" t="s">
        <v>173</v>
      </c>
      <c r="AK89" t="s">
        <v>173</v>
      </c>
      <c r="AL89" t="s">
        <v>173</v>
      </c>
      <c r="AM89" t="s">
        <v>173</v>
      </c>
      <c r="AN89" t="s">
        <v>173</v>
      </c>
      <c r="AO89" t="s">
        <v>173</v>
      </c>
      <c r="AP89" t="s">
        <v>173</v>
      </c>
      <c r="AQ89" t="s">
        <v>173</v>
      </c>
      <c r="AR89" t="s">
        <v>173</v>
      </c>
      <c r="AS89" t="s">
        <v>173</v>
      </c>
      <c r="AT89" t="s">
        <v>173</v>
      </c>
      <c r="AU89" t="s">
        <v>173</v>
      </c>
      <c r="AV89" t="s">
        <v>183</v>
      </c>
      <c r="AW89" t="s">
        <v>173</v>
      </c>
      <c r="AX89" t="s">
        <v>192</v>
      </c>
      <c r="AY89" t="s">
        <v>200</v>
      </c>
      <c r="AZ89" t="s">
        <v>183</v>
      </c>
      <c r="BA89" t="s">
        <v>183</v>
      </c>
      <c r="BB89" t="s">
        <v>183</v>
      </c>
      <c r="BC89" t="s">
        <v>183</v>
      </c>
      <c r="BD89" t="s">
        <v>183</v>
      </c>
    </row>
    <row r="90" hidden="1" spans="1:56">
      <c r="A90">
        <v>89</v>
      </c>
      <c r="B90" t="s">
        <v>286</v>
      </c>
      <c r="C90">
        <v>2022</v>
      </c>
      <c r="D90">
        <v>2011</v>
      </c>
      <c r="E90">
        <v>2020</v>
      </c>
      <c r="F90" t="s">
        <v>248</v>
      </c>
      <c r="G90" t="s">
        <v>249</v>
      </c>
      <c r="H90" t="s">
        <v>274</v>
      </c>
      <c r="I90"/>
      <c r="J90" t="s">
        <v>290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1</v>
      </c>
      <c r="AC90" t="s">
        <v>177</v>
      </c>
      <c r="AD90" t="s">
        <v>171</v>
      </c>
      <c r="AE90" t="s">
        <v>171</v>
      </c>
      <c r="AF90" t="s">
        <v>171</v>
      </c>
      <c r="AG90" t="s">
        <v>171</v>
      </c>
      <c r="AH90" t="s">
        <v>177</v>
      </c>
      <c r="AI90" t="s">
        <v>181</v>
      </c>
      <c r="AJ90" t="s">
        <v>171</v>
      </c>
      <c r="AK90" t="s">
        <v>171</v>
      </c>
      <c r="AL90" t="s">
        <v>171</v>
      </c>
      <c r="AM90" t="s">
        <v>171</v>
      </c>
      <c r="AN90" t="s">
        <v>183</v>
      </c>
      <c r="AO90" t="s">
        <v>171</v>
      </c>
      <c r="AP90" t="s">
        <v>171</v>
      </c>
      <c r="AQ90" t="s">
        <v>177</v>
      </c>
      <c r="AR90" t="s">
        <v>171</v>
      </c>
      <c r="AS90" t="s">
        <v>171</v>
      </c>
      <c r="AT90" t="s">
        <v>171</v>
      </c>
      <c r="AU90" t="s">
        <v>173</v>
      </c>
      <c r="AV90" t="s">
        <v>171</v>
      </c>
      <c r="AW90" t="s">
        <v>171</v>
      </c>
      <c r="AX90" t="s">
        <v>193</v>
      </c>
      <c r="AY90" t="s">
        <v>198</v>
      </c>
      <c r="AZ90" t="s">
        <v>183</v>
      </c>
      <c r="BA90" t="s">
        <v>183</v>
      </c>
      <c r="BB90" t="s">
        <v>183</v>
      </c>
      <c r="BC90" t="s">
        <v>183</v>
      </c>
      <c r="BD90" t="s">
        <v>183</v>
      </c>
    </row>
    <row r="91" hidden="1" spans="1:56">
      <c r="A91">
        <v>90</v>
      </c>
      <c r="B91" t="s">
        <v>259</v>
      </c>
      <c r="C91">
        <v>2023</v>
      </c>
      <c r="D91">
        <v>1981</v>
      </c>
      <c r="E91">
        <v>1984</v>
      </c>
      <c r="F91" t="s">
        <v>256</v>
      </c>
      <c r="G91" t="s">
        <v>257</v>
      </c>
      <c r="H91" t="s">
        <v>258</v>
      </c>
      <c r="I91"/>
      <c r="J91" t="s">
        <v>265</v>
      </c>
      <c r="K91" t="b">
        <v>0</v>
      </c>
      <c r="L91" t="b">
        <v>0</v>
      </c>
      <c r="M91" t="b">
        <v>0</v>
      </c>
      <c r="N91" t="b">
        <v>0</v>
      </c>
      <c r="O91" t="b">
        <v>0</v>
      </c>
      <c r="P91" t="b">
        <v>0</v>
      </c>
      <c r="Q91" t="b">
        <v>0</v>
      </c>
      <c r="R91" t="b">
        <v>0</v>
      </c>
      <c r="S91" t="b">
        <v>0</v>
      </c>
      <c r="T91" t="b">
        <v>0</v>
      </c>
      <c r="U91" t="b">
        <v>0</v>
      </c>
      <c r="V91" t="b">
        <v>0</v>
      </c>
      <c r="W91" t="b">
        <v>0</v>
      </c>
      <c r="X91" t="b">
        <v>1</v>
      </c>
      <c r="Y91" t="b">
        <v>0</v>
      </c>
      <c r="Z91" t="b">
        <v>1</v>
      </c>
      <c r="AA91" t="b">
        <v>0</v>
      </c>
      <c r="AB91" t="b">
        <v>0</v>
      </c>
      <c r="AC91" t="s">
        <v>171</v>
      </c>
      <c r="AD91" t="s">
        <v>171</v>
      </c>
      <c r="AE91" t="s">
        <v>173</v>
      </c>
      <c r="AF91" t="s">
        <v>173</v>
      </c>
      <c r="AG91" t="s">
        <v>173</v>
      </c>
      <c r="AH91" t="s">
        <v>177</v>
      </c>
      <c r="AI91" t="s">
        <v>177</v>
      </c>
      <c r="AJ91" t="s">
        <v>173</v>
      </c>
      <c r="AK91" t="s">
        <v>173</v>
      </c>
      <c r="AL91" t="s">
        <v>173</v>
      </c>
      <c r="AM91" t="s">
        <v>173</v>
      </c>
      <c r="AN91" t="s">
        <v>183</v>
      </c>
      <c r="AO91" t="s">
        <v>173</v>
      </c>
      <c r="AP91" t="s">
        <v>173</v>
      </c>
      <c r="AQ91" t="s">
        <v>173</v>
      </c>
      <c r="AR91" t="s">
        <v>173</v>
      </c>
      <c r="AS91" t="s">
        <v>173</v>
      </c>
      <c r="AT91" t="s">
        <v>173</v>
      </c>
      <c r="AU91" t="s">
        <v>173</v>
      </c>
      <c r="AV91" t="s">
        <v>171</v>
      </c>
      <c r="AW91" t="s">
        <v>171</v>
      </c>
      <c r="AX91" t="s">
        <v>192</v>
      </c>
      <c r="AY91" t="s">
        <v>196</v>
      </c>
      <c r="AZ91" t="s">
        <v>183</v>
      </c>
      <c r="BA91" t="s">
        <v>183</v>
      </c>
      <c r="BB91" t="s">
        <v>183</v>
      </c>
      <c r="BC91" t="s">
        <v>183</v>
      </c>
      <c r="BD91" t="s">
        <v>183</v>
      </c>
    </row>
    <row r="92" hidden="1" spans="1:56">
      <c r="A92">
        <v>91</v>
      </c>
      <c r="B92" t="s">
        <v>269</v>
      </c>
      <c r="C92">
        <v>2022</v>
      </c>
      <c r="D92">
        <v>1995</v>
      </c>
      <c r="E92">
        <v>1995</v>
      </c>
      <c r="F92" t="s">
        <v>266</v>
      </c>
      <c r="G92"/>
      <c r="H92" t="s">
        <v>267</v>
      </c>
      <c r="I92"/>
      <c r="J92" t="s">
        <v>265</v>
      </c>
      <c r="K92" t="b">
        <v>1</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s">
        <v>175</v>
      </c>
      <c r="AD92" t="s">
        <v>175</v>
      </c>
      <c r="AE92" t="s">
        <v>175</v>
      </c>
      <c r="AF92" t="s">
        <v>175</v>
      </c>
      <c r="AG92" t="s">
        <v>175</v>
      </c>
      <c r="AH92" t="s">
        <v>175</v>
      </c>
      <c r="AI92" t="s">
        <v>175</v>
      </c>
      <c r="AJ92" t="s">
        <v>175</v>
      </c>
      <c r="AK92" t="s">
        <v>171</v>
      </c>
      <c r="AL92" t="s">
        <v>171</v>
      </c>
      <c r="AM92" t="s">
        <v>175</v>
      </c>
      <c r="AN92" t="s">
        <v>175</v>
      </c>
      <c r="AO92" t="s">
        <v>171</v>
      </c>
      <c r="AP92" t="s">
        <v>171</v>
      </c>
      <c r="AQ92" t="s">
        <v>171</v>
      </c>
      <c r="AR92" t="s">
        <v>171</v>
      </c>
      <c r="AS92" t="s">
        <v>171</v>
      </c>
      <c r="AT92" t="s">
        <v>171</v>
      </c>
      <c r="AU92" t="s">
        <v>171</v>
      </c>
      <c r="AV92" t="s">
        <v>173</v>
      </c>
      <c r="AW92" t="s">
        <v>173</v>
      </c>
      <c r="AX92" t="s">
        <v>192</v>
      </c>
      <c r="AY92" t="s">
        <v>199</v>
      </c>
      <c r="AZ92" t="s">
        <v>183</v>
      </c>
      <c r="BA92" t="s">
        <v>183</v>
      </c>
      <c r="BB92" t="s">
        <v>183</v>
      </c>
      <c r="BC92" t="s">
        <v>183</v>
      </c>
      <c r="BD92" t="s">
        <v>183</v>
      </c>
    </row>
    <row r="93" hidden="1" spans="1:56">
      <c r="A93">
        <v>92</v>
      </c>
      <c r="B93" t="s">
        <v>259</v>
      </c>
      <c r="C93">
        <v>2022</v>
      </c>
      <c r="D93">
        <v>1984</v>
      </c>
      <c r="E93">
        <v>1987</v>
      </c>
      <c r="F93" t="s">
        <v>256</v>
      </c>
      <c r="G93" t="s">
        <v>257</v>
      </c>
      <c r="H93" t="s">
        <v>267</v>
      </c>
      <c r="I93"/>
      <c r="J93" t="s">
        <v>252</v>
      </c>
      <c r="K93" t="b">
        <v>0</v>
      </c>
      <c r="L93" t="b">
        <v>0</v>
      </c>
      <c r="M93" t="b">
        <v>0</v>
      </c>
      <c r="N93" t="b">
        <v>0</v>
      </c>
      <c r="O93" t="b">
        <v>0</v>
      </c>
      <c r="P93" t="b">
        <v>0</v>
      </c>
      <c r="Q93" t="b">
        <v>0</v>
      </c>
      <c r="R93" t="b">
        <v>0</v>
      </c>
      <c r="S93" t="b">
        <v>0</v>
      </c>
      <c r="T93" t="b">
        <v>0</v>
      </c>
      <c r="U93" t="b">
        <v>0</v>
      </c>
      <c r="V93" t="b">
        <v>0</v>
      </c>
      <c r="W93" t="b">
        <v>0</v>
      </c>
      <c r="X93" t="b">
        <v>1</v>
      </c>
      <c r="Y93" t="b">
        <v>0</v>
      </c>
      <c r="Z93" t="b">
        <v>1</v>
      </c>
      <c r="AA93" t="b">
        <v>0</v>
      </c>
      <c r="AB93" t="b">
        <v>0</v>
      </c>
      <c r="AC93" t="s">
        <v>173</v>
      </c>
      <c r="AD93" t="s">
        <v>177</v>
      </c>
      <c r="AE93" t="s">
        <v>175</v>
      </c>
      <c r="AF93" t="s">
        <v>173</v>
      </c>
      <c r="AG93" t="s">
        <v>173</v>
      </c>
      <c r="AH93" t="s">
        <v>173</v>
      </c>
      <c r="AI93" t="s">
        <v>173</v>
      </c>
      <c r="AJ93" t="s">
        <v>177</v>
      </c>
      <c r="AK93" t="s">
        <v>173</v>
      </c>
      <c r="AL93" t="s">
        <v>173</v>
      </c>
      <c r="AM93" t="s">
        <v>173</v>
      </c>
      <c r="AN93" t="s">
        <v>177</v>
      </c>
      <c r="AO93" t="s">
        <v>177</v>
      </c>
      <c r="AP93" t="s">
        <v>173</v>
      </c>
      <c r="AQ93" t="s">
        <v>173</v>
      </c>
      <c r="AR93" t="s">
        <v>173</v>
      </c>
      <c r="AS93" t="s">
        <v>177</v>
      </c>
      <c r="AT93" t="s">
        <v>173</v>
      </c>
      <c r="AU93" t="s">
        <v>173</v>
      </c>
      <c r="AV93" t="s">
        <v>177</v>
      </c>
      <c r="AW93" t="s">
        <v>173</v>
      </c>
      <c r="AX93" t="s">
        <v>193</v>
      </c>
      <c r="AY93" t="s">
        <v>196</v>
      </c>
      <c r="AZ93" t="s">
        <v>183</v>
      </c>
      <c r="BA93" t="s">
        <v>183</v>
      </c>
      <c r="BB93" t="s">
        <v>183</v>
      </c>
      <c r="BC93" t="s">
        <v>183</v>
      </c>
      <c r="BD93" t="s">
        <v>183</v>
      </c>
    </row>
    <row r="94" hidden="1" spans="1:56">
      <c r="A94">
        <v>93</v>
      </c>
      <c r="B94" t="s">
        <v>259</v>
      </c>
      <c r="C94">
        <v>2022</v>
      </c>
      <c r="D94">
        <v>1981</v>
      </c>
      <c r="E94">
        <v>2017</v>
      </c>
      <c r="F94" t="s">
        <v>260</v>
      </c>
      <c r="G94"/>
      <c r="H94" t="s">
        <v>264</v>
      </c>
      <c r="I94"/>
      <c r="J94" t="s">
        <v>252</v>
      </c>
      <c r="K94" t="b">
        <v>0</v>
      </c>
      <c r="L94" t="b">
        <v>0</v>
      </c>
      <c r="M94" t="b">
        <v>0</v>
      </c>
      <c r="N94" t="b">
        <v>0</v>
      </c>
      <c r="O94" t="b">
        <v>0</v>
      </c>
      <c r="P94" t="b">
        <v>0</v>
      </c>
      <c r="Q94" t="b">
        <v>0</v>
      </c>
      <c r="R94" t="b">
        <v>0</v>
      </c>
      <c r="S94" t="b">
        <v>0</v>
      </c>
      <c r="T94" t="b">
        <v>0</v>
      </c>
      <c r="U94" t="b">
        <v>0</v>
      </c>
      <c r="V94" t="b">
        <v>0</v>
      </c>
      <c r="W94" t="b">
        <v>0</v>
      </c>
      <c r="X94" t="b">
        <v>0</v>
      </c>
      <c r="Y94" t="b">
        <v>0</v>
      </c>
      <c r="Z94" t="b">
        <v>1</v>
      </c>
      <c r="AA94" t="b">
        <v>0</v>
      </c>
      <c r="AB94" t="b">
        <v>0</v>
      </c>
      <c r="AC94" t="s">
        <v>173</v>
      </c>
      <c r="AD94" t="s">
        <v>171</v>
      </c>
      <c r="AE94" t="s">
        <v>173</v>
      </c>
      <c r="AF94" t="s">
        <v>173</v>
      </c>
      <c r="AG94" t="s">
        <v>171</v>
      </c>
      <c r="AH94" t="s">
        <v>173</v>
      </c>
      <c r="AI94" t="s">
        <v>173</v>
      </c>
      <c r="AJ94" t="s">
        <v>173</v>
      </c>
      <c r="AK94" t="s">
        <v>173</v>
      </c>
      <c r="AL94" t="s">
        <v>173</v>
      </c>
      <c r="AM94" t="s">
        <v>173</v>
      </c>
      <c r="AN94" t="s">
        <v>173</v>
      </c>
      <c r="AO94" t="s">
        <v>173</v>
      </c>
      <c r="AP94" t="s">
        <v>173</v>
      </c>
      <c r="AQ94" t="s">
        <v>173</v>
      </c>
      <c r="AR94" t="s">
        <v>173</v>
      </c>
      <c r="AS94" t="s">
        <v>173</v>
      </c>
      <c r="AT94" t="s">
        <v>173</v>
      </c>
      <c r="AU94" t="s">
        <v>173</v>
      </c>
      <c r="AV94" t="s">
        <v>173</v>
      </c>
      <c r="AW94" t="s">
        <v>173</v>
      </c>
      <c r="AX94" t="s">
        <v>192</v>
      </c>
      <c r="AY94" t="s">
        <v>196</v>
      </c>
      <c r="AZ94" t="s">
        <v>183</v>
      </c>
      <c r="BA94" t="s">
        <v>183</v>
      </c>
      <c r="BB94" t="s">
        <v>183</v>
      </c>
      <c r="BC94" t="s">
        <v>183</v>
      </c>
      <c r="BD94" t="s">
        <v>183</v>
      </c>
    </row>
    <row r="95" hidden="1" spans="1:56">
      <c r="A95">
        <v>94</v>
      </c>
      <c r="B95" t="s">
        <v>272</v>
      </c>
      <c r="C95">
        <v>2022</v>
      </c>
      <c r="D95">
        <v>2011</v>
      </c>
      <c r="E95">
        <v>2011</v>
      </c>
      <c r="F95" t="s">
        <v>256</v>
      </c>
      <c r="G95" t="s">
        <v>263</v>
      </c>
      <c r="H95" t="s">
        <v>261</v>
      </c>
      <c r="I95"/>
      <c r="J95" t="s">
        <v>252</v>
      </c>
      <c r="K95" t="b">
        <v>0</v>
      </c>
      <c r="L95" t="b">
        <v>0</v>
      </c>
      <c r="M95" t="b">
        <v>0</v>
      </c>
      <c r="N95" t="b">
        <v>1</v>
      </c>
      <c r="O95" t="b">
        <v>0</v>
      </c>
      <c r="P95" t="b">
        <v>0</v>
      </c>
      <c r="Q95" t="b">
        <v>1</v>
      </c>
      <c r="R95" t="b">
        <v>0</v>
      </c>
      <c r="S95" t="b">
        <v>0</v>
      </c>
      <c r="T95" t="b">
        <v>0</v>
      </c>
      <c r="U95" t="b">
        <v>0</v>
      </c>
      <c r="V95" t="b">
        <v>0</v>
      </c>
      <c r="W95" t="b">
        <v>0</v>
      </c>
      <c r="X95" t="b">
        <v>0</v>
      </c>
      <c r="Y95" t="b">
        <v>0</v>
      </c>
      <c r="Z95" t="b">
        <v>1</v>
      </c>
      <c r="AA95" t="b">
        <v>0</v>
      </c>
      <c r="AB95" t="b">
        <v>0</v>
      </c>
      <c r="AC95" t="s">
        <v>175</v>
      </c>
      <c r="AD95" t="s">
        <v>175</v>
      </c>
      <c r="AE95" t="s">
        <v>179</v>
      </c>
      <c r="AF95" t="s">
        <v>179</v>
      </c>
      <c r="AG95" t="s">
        <v>173</v>
      </c>
      <c r="AH95" t="s">
        <v>179</v>
      </c>
      <c r="AI95" t="s">
        <v>179</v>
      </c>
      <c r="AJ95" t="s">
        <v>179</v>
      </c>
      <c r="AK95" t="s">
        <v>173</v>
      </c>
      <c r="AL95" t="s">
        <v>175</v>
      </c>
      <c r="AM95" t="s">
        <v>175</v>
      </c>
      <c r="AN95" t="s">
        <v>177</v>
      </c>
      <c r="AO95" t="s">
        <v>173</v>
      </c>
      <c r="AP95" t="s">
        <v>173</v>
      </c>
      <c r="AQ95" t="s">
        <v>173</v>
      </c>
      <c r="AR95" t="s">
        <v>173</v>
      </c>
      <c r="AS95" t="s">
        <v>175</v>
      </c>
      <c r="AT95" t="s">
        <v>175</v>
      </c>
      <c r="AU95" t="s">
        <v>175</v>
      </c>
      <c r="AV95" t="s">
        <v>175</v>
      </c>
      <c r="AW95" t="s">
        <v>175</v>
      </c>
      <c r="AX95" t="s">
        <v>192</v>
      </c>
      <c r="AY95" t="s">
        <v>199</v>
      </c>
      <c r="AZ95" t="s">
        <v>183</v>
      </c>
      <c r="BA95" t="s">
        <v>183</v>
      </c>
      <c r="BB95" t="s">
        <v>183</v>
      </c>
      <c r="BC95" t="s">
        <v>183</v>
      </c>
      <c r="BD95" t="s">
        <v>183</v>
      </c>
    </row>
    <row r="96" hidden="1" spans="1:56">
      <c r="A96">
        <v>95</v>
      </c>
      <c r="B96" t="s">
        <v>246</v>
      </c>
      <c r="C96">
        <v>2022</v>
      </c>
      <c r="D96">
        <v>1982</v>
      </c>
      <c r="E96">
        <v>1985</v>
      </c>
      <c r="F96" t="s">
        <v>256</v>
      </c>
      <c r="G96" t="s">
        <v>257</v>
      </c>
      <c r="H96" t="s">
        <v>261</v>
      </c>
      <c r="I96"/>
      <c r="J96" t="s">
        <v>252</v>
      </c>
      <c r="K96" t="b">
        <v>0</v>
      </c>
      <c r="L96" t="b">
        <v>0</v>
      </c>
      <c r="M96" t="b">
        <v>0</v>
      </c>
      <c r="N96" t="b">
        <v>0</v>
      </c>
      <c r="O96" t="b">
        <v>0</v>
      </c>
      <c r="P96" t="b">
        <v>0</v>
      </c>
      <c r="Q96" t="b">
        <v>0</v>
      </c>
      <c r="R96" t="b">
        <v>0</v>
      </c>
      <c r="S96" t="b">
        <v>0</v>
      </c>
      <c r="T96" t="b">
        <v>0</v>
      </c>
      <c r="U96" t="b">
        <v>0</v>
      </c>
      <c r="V96" t="b">
        <v>0</v>
      </c>
      <c r="W96" t="b">
        <v>0</v>
      </c>
      <c r="X96" t="b">
        <v>0</v>
      </c>
      <c r="Y96" t="b">
        <v>0</v>
      </c>
      <c r="Z96" t="b">
        <v>1</v>
      </c>
      <c r="AA96" t="b">
        <v>1</v>
      </c>
      <c r="AB96" t="b">
        <v>0</v>
      </c>
      <c r="AC96" t="s">
        <v>173</v>
      </c>
      <c r="AD96" t="s">
        <v>175</v>
      </c>
      <c r="AE96" t="s">
        <v>179</v>
      </c>
      <c r="AF96" t="s">
        <v>177</v>
      </c>
      <c r="AG96" t="s">
        <v>175</v>
      </c>
      <c r="AH96" t="s">
        <v>179</v>
      </c>
      <c r="AI96" t="s">
        <v>179</v>
      </c>
      <c r="AJ96" t="s">
        <v>177</v>
      </c>
      <c r="AK96" t="s">
        <v>175</v>
      </c>
      <c r="AL96" t="s">
        <v>175</v>
      </c>
      <c r="AM96" t="s">
        <v>175</v>
      </c>
      <c r="AN96" t="s">
        <v>175</v>
      </c>
      <c r="AO96" t="s">
        <v>177</v>
      </c>
      <c r="AP96" t="s">
        <v>175</v>
      </c>
      <c r="AQ96" t="s">
        <v>175</v>
      </c>
      <c r="AR96" t="s">
        <v>177</v>
      </c>
      <c r="AS96" t="s">
        <v>177</v>
      </c>
      <c r="AT96" t="s">
        <v>175</v>
      </c>
      <c r="AU96" t="s">
        <v>175</v>
      </c>
      <c r="AV96" t="s">
        <v>177</v>
      </c>
      <c r="AW96" t="s">
        <v>177</v>
      </c>
      <c r="AX96" t="s">
        <v>192</v>
      </c>
      <c r="AY96" t="s">
        <v>197</v>
      </c>
      <c r="AZ96" t="s">
        <v>183</v>
      </c>
      <c r="BA96" t="s">
        <v>183</v>
      </c>
      <c r="BB96" t="s">
        <v>183</v>
      </c>
      <c r="BC96" t="s">
        <v>183</v>
      </c>
      <c r="BD96" t="s">
        <v>208</v>
      </c>
    </row>
    <row r="97" hidden="1" spans="1:56">
      <c r="A97">
        <v>96</v>
      </c>
      <c r="B97" t="s">
        <v>259</v>
      </c>
      <c r="C97">
        <v>2022</v>
      </c>
      <c r="D97">
        <v>1988</v>
      </c>
      <c r="E97">
        <v>2017</v>
      </c>
      <c r="F97" t="s">
        <v>256</v>
      </c>
      <c r="G97" t="s">
        <v>257</v>
      </c>
      <c r="H97" t="s">
        <v>258</v>
      </c>
      <c r="I97"/>
      <c r="J97" t="s">
        <v>252</v>
      </c>
      <c r="K97" t="b">
        <v>0</v>
      </c>
      <c r="L97" t="b">
        <v>0</v>
      </c>
      <c r="M97" t="b">
        <v>0</v>
      </c>
      <c r="N97" t="b">
        <v>1</v>
      </c>
      <c r="O97" t="b">
        <v>1</v>
      </c>
      <c r="P97" t="b">
        <v>0</v>
      </c>
      <c r="Q97" t="b">
        <v>0</v>
      </c>
      <c r="R97" t="b">
        <v>0</v>
      </c>
      <c r="S97" t="b">
        <v>0</v>
      </c>
      <c r="T97" t="b">
        <v>0</v>
      </c>
      <c r="U97" t="b">
        <v>0</v>
      </c>
      <c r="V97" t="b">
        <v>0</v>
      </c>
      <c r="W97" t="b">
        <v>0</v>
      </c>
      <c r="X97" t="b">
        <v>0</v>
      </c>
      <c r="Y97" t="b">
        <v>0</v>
      </c>
      <c r="Z97" t="b">
        <v>0</v>
      </c>
      <c r="AA97" t="b">
        <v>0</v>
      </c>
      <c r="AB97" t="b">
        <v>0</v>
      </c>
      <c r="AC97" t="s">
        <v>173</v>
      </c>
      <c r="AD97" t="s">
        <v>173</v>
      </c>
      <c r="AE97" t="s">
        <v>177</v>
      </c>
      <c r="AF97" t="s">
        <v>173</v>
      </c>
      <c r="AG97" t="s">
        <v>177</v>
      </c>
      <c r="AH97" t="s">
        <v>173</v>
      </c>
      <c r="AI97" t="s">
        <v>175</v>
      </c>
      <c r="AJ97" t="s">
        <v>177</v>
      </c>
      <c r="AK97" t="s">
        <v>173</v>
      </c>
      <c r="AL97" t="s">
        <v>173</v>
      </c>
      <c r="AM97" t="s">
        <v>173</v>
      </c>
      <c r="AN97" t="s">
        <v>177</v>
      </c>
      <c r="AO97" t="s">
        <v>177</v>
      </c>
      <c r="AP97" t="s">
        <v>177</v>
      </c>
      <c r="AQ97" t="s">
        <v>175</v>
      </c>
      <c r="AR97" t="s">
        <v>173</v>
      </c>
      <c r="AS97" t="s">
        <v>177</v>
      </c>
      <c r="AT97" t="s">
        <v>175</v>
      </c>
      <c r="AU97" t="s">
        <v>173</v>
      </c>
      <c r="AV97" t="s">
        <v>177</v>
      </c>
      <c r="AW97" t="s">
        <v>173</v>
      </c>
      <c r="AX97" t="s">
        <v>193</v>
      </c>
      <c r="AY97" t="s">
        <v>197</v>
      </c>
      <c r="AZ97" t="s">
        <v>183</v>
      </c>
      <c r="BA97" t="s">
        <v>183</v>
      </c>
      <c r="BB97" t="s">
        <v>183</v>
      </c>
      <c r="BC97" t="s">
        <v>183</v>
      </c>
      <c r="BD97" t="s">
        <v>183</v>
      </c>
    </row>
    <row r="98" hidden="1" spans="1:56">
      <c r="A98">
        <v>97</v>
      </c>
      <c r="B98" t="s">
        <v>259</v>
      </c>
      <c r="C98">
        <v>2022</v>
      </c>
      <c r="D98">
        <v>1980</v>
      </c>
      <c r="E98">
        <v>2017</v>
      </c>
      <c r="F98" t="s">
        <v>256</v>
      </c>
      <c r="G98" t="s">
        <v>257</v>
      </c>
      <c r="H98" t="s">
        <v>267</v>
      </c>
      <c r="I98"/>
      <c r="J98" t="s">
        <v>252</v>
      </c>
      <c r="K98" t="b">
        <v>0</v>
      </c>
      <c r="L98" t="b">
        <v>0</v>
      </c>
      <c r="M98" t="b">
        <v>0</v>
      </c>
      <c r="N98" t="b">
        <v>0</v>
      </c>
      <c r="O98" t="b">
        <v>0</v>
      </c>
      <c r="P98" t="b">
        <v>0</v>
      </c>
      <c r="Q98" t="b">
        <v>0</v>
      </c>
      <c r="R98" t="b">
        <v>0</v>
      </c>
      <c r="S98" t="b">
        <v>0</v>
      </c>
      <c r="T98" t="b">
        <v>0</v>
      </c>
      <c r="U98" t="b">
        <v>0</v>
      </c>
      <c r="V98" t="b">
        <v>0</v>
      </c>
      <c r="W98" t="b">
        <v>0</v>
      </c>
      <c r="X98" t="b">
        <v>0</v>
      </c>
      <c r="Y98" t="b">
        <v>0</v>
      </c>
      <c r="Z98" t="b">
        <v>1</v>
      </c>
      <c r="AA98" t="b">
        <v>0</v>
      </c>
      <c r="AB98" t="b">
        <v>0</v>
      </c>
      <c r="AC98" t="s">
        <v>175</v>
      </c>
      <c r="AD98" t="s">
        <v>173</v>
      </c>
      <c r="AE98" t="s">
        <v>177</v>
      </c>
      <c r="AF98" t="s">
        <v>177</v>
      </c>
      <c r="AG98" t="s">
        <v>173</v>
      </c>
      <c r="AH98" t="s">
        <v>173</v>
      </c>
      <c r="AI98" t="s">
        <v>175</v>
      </c>
      <c r="AJ98" t="s">
        <v>173</v>
      </c>
      <c r="AK98" t="s">
        <v>171</v>
      </c>
      <c r="AL98" t="s">
        <v>175</v>
      </c>
      <c r="AM98" t="s">
        <v>173</v>
      </c>
      <c r="AN98" t="s">
        <v>173</v>
      </c>
      <c r="AO98" t="s">
        <v>175</v>
      </c>
      <c r="AP98" t="s">
        <v>183</v>
      </c>
      <c r="AQ98" t="s">
        <v>173</v>
      </c>
      <c r="AR98" t="s">
        <v>173</v>
      </c>
      <c r="AS98" t="s">
        <v>173</v>
      </c>
      <c r="AT98" t="s">
        <v>173</v>
      </c>
      <c r="AU98" t="s">
        <v>175</v>
      </c>
      <c r="AV98" t="s">
        <v>175</v>
      </c>
      <c r="AW98" t="s">
        <v>173</v>
      </c>
      <c r="AX98" t="s">
        <v>193</v>
      </c>
      <c r="AY98" t="s">
        <v>196</v>
      </c>
      <c r="AZ98" t="s">
        <v>183</v>
      </c>
      <c r="BA98" t="s">
        <v>183</v>
      </c>
      <c r="BB98" t="s">
        <v>183</v>
      </c>
      <c r="BC98" t="s">
        <v>183</v>
      </c>
      <c r="BD98" t="s">
        <v>183</v>
      </c>
    </row>
    <row r="99" hidden="1" spans="1:56">
      <c r="A99">
        <v>98</v>
      </c>
      <c r="B99" t="s">
        <v>259</v>
      </c>
      <c r="C99">
        <v>2022</v>
      </c>
      <c r="D99">
        <v>1987</v>
      </c>
      <c r="E99">
        <v>2005</v>
      </c>
      <c r="F99"/>
      <c r="G99"/>
      <c r="H99" t="s">
        <v>267</v>
      </c>
      <c r="I99"/>
      <c r="J99" t="s">
        <v>252</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1</v>
      </c>
      <c r="AC99" t="s">
        <v>173</v>
      </c>
      <c r="AD99" t="s">
        <v>171</v>
      </c>
      <c r="AE99" t="s">
        <v>173</v>
      </c>
      <c r="AF99" t="s">
        <v>173</v>
      </c>
      <c r="AG99" t="s">
        <v>173</v>
      </c>
      <c r="AH99" t="s">
        <v>173</v>
      </c>
      <c r="AI99" t="s">
        <v>173</v>
      </c>
      <c r="AJ99" t="s">
        <v>171</v>
      </c>
      <c r="AK99" t="s">
        <v>171</v>
      </c>
      <c r="AL99" t="s">
        <v>171</v>
      </c>
      <c r="AM99" t="s">
        <v>173</v>
      </c>
      <c r="AN99" t="s">
        <v>173</v>
      </c>
      <c r="AO99" t="s">
        <v>173</v>
      </c>
      <c r="AP99" t="s">
        <v>171</v>
      </c>
      <c r="AQ99" t="s">
        <v>173</v>
      </c>
      <c r="AR99" t="s">
        <v>173</v>
      </c>
      <c r="AS99" t="s">
        <v>171</v>
      </c>
      <c r="AT99" t="s">
        <v>171</v>
      </c>
      <c r="AU99" t="s">
        <v>171</v>
      </c>
      <c r="AV99" t="s">
        <v>173</v>
      </c>
      <c r="AW99" t="s">
        <v>173</v>
      </c>
      <c r="AX99" t="s">
        <v>193</v>
      </c>
      <c r="AY99" t="s">
        <v>196</v>
      </c>
      <c r="AZ99" t="s">
        <v>183</v>
      </c>
      <c r="BA99" t="s">
        <v>183</v>
      </c>
      <c r="BB99" t="s">
        <v>183</v>
      </c>
      <c r="BC99" t="s">
        <v>183</v>
      </c>
      <c r="BD99" t="s">
        <v>183</v>
      </c>
    </row>
    <row r="100" hidden="1" spans="1:56">
      <c r="A100">
        <v>99</v>
      </c>
      <c r="B100" t="s">
        <v>259</v>
      </c>
      <c r="C100">
        <v>2022</v>
      </c>
      <c r="D100">
        <v>2011</v>
      </c>
      <c r="E100">
        <v>2013</v>
      </c>
      <c r="F100" t="s">
        <v>253</v>
      </c>
      <c r="G100"/>
      <c r="H100" t="s">
        <v>268</v>
      </c>
      <c r="I100"/>
      <c r="J100" t="s">
        <v>252</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1</v>
      </c>
      <c r="AB100" t="b">
        <v>0</v>
      </c>
      <c r="AC100" t="s">
        <v>177</v>
      </c>
      <c r="AD100" t="s">
        <v>177</v>
      </c>
      <c r="AE100" t="s">
        <v>177</v>
      </c>
      <c r="AF100" t="s">
        <v>173</v>
      </c>
      <c r="AG100" t="s">
        <v>173</v>
      </c>
      <c r="AH100" t="s">
        <v>173</v>
      </c>
      <c r="AI100" t="s">
        <v>175</v>
      </c>
      <c r="AJ100" t="s">
        <v>173</v>
      </c>
      <c r="AK100" t="s">
        <v>177</v>
      </c>
      <c r="AL100" t="s">
        <v>171</v>
      </c>
      <c r="AM100" t="s">
        <v>171</v>
      </c>
      <c r="AN100" t="s">
        <v>177</v>
      </c>
      <c r="AO100" t="s">
        <v>175</v>
      </c>
      <c r="AP100" t="s">
        <v>173</v>
      </c>
      <c r="AQ100" t="s">
        <v>175</v>
      </c>
      <c r="AR100" t="s">
        <v>179</v>
      </c>
      <c r="AS100" t="s">
        <v>179</v>
      </c>
      <c r="AT100" t="s">
        <v>179</v>
      </c>
      <c r="AU100" t="s">
        <v>179</v>
      </c>
      <c r="AV100" t="s">
        <v>173</v>
      </c>
      <c r="AW100" t="s">
        <v>177</v>
      </c>
      <c r="AX100" t="s">
        <v>193</v>
      </c>
      <c r="AY100" t="s">
        <v>195</v>
      </c>
      <c r="AZ100" t="s">
        <v>183</v>
      </c>
      <c r="BA100" t="s">
        <v>183</v>
      </c>
      <c r="BB100" t="s">
        <v>183</v>
      </c>
      <c r="BC100" t="s">
        <v>183</v>
      </c>
      <c r="BD100" t="s">
        <v>183</v>
      </c>
    </row>
    <row r="101" hidden="1" spans="1:56">
      <c r="A101">
        <v>100</v>
      </c>
      <c r="B101" t="s">
        <v>272</v>
      </c>
      <c r="C101">
        <v>2022</v>
      </c>
      <c r="D101">
        <v>2020</v>
      </c>
      <c r="E101">
        <v>2020</v>
      </c>
      <c r="F101" t="s">
        <v>256</v>
      </c>
      <c r="G101" t="s">
        <v>263</v>
      </c>
      <c r="H101" t="s">
        <v>264</v>
      </c>
      <c r="I101"/>
      <c r="J101" t="s">
        <v>252</v>
      </c>
      <c r="K101" t="b">
        <v>0</v>
      </c>
      <c r="L101" t="b">
        <v>0</v>
      </c>
      <c r="M101" t="b">
        <v>0</v>
      </c>
      <c r="N101" t="b">
        <v>0</v>
      </c>
      <c r="O101" t="b">
        <v>0</v>
      </c>
      <c r="P101" t="b">
        <v>0</v>
      </c>
      <c r="Q101" t="b">
        <v>0</v>
      </c>
      <c r="R101" t="b">
        <v>0</v>
      </c>
      <c r="S101" t="b">
        <v>0</v>
      </c>
      <c r="T101" t="b">
        <v>0</v>
      </c>
      <c r="U101" t="b">
        <v>1</v>
      </c>
      <c r="V101" t="b">
        <v>0</v>
      </c>
      <c r="W101" t="b">
        <v>0</v>
      </c>
      <c r="X101" t="b">
        <v>0</v>
      </c>
      <c r="Y101" t="b">
        <v>0</v>
      </c>
      <c r="Z101" t="b">
        <v>1</v>
      </c>
      <c r="AA101" t="b">
        <v>0</v>
      </c>
      <c r="AB101" t="b">
        <v>0</v>
      </c>
      <c r="AC101" t="s">
        <v>177</v>
      </c>
      <c r="AD101" t="s">
        <v>183</v>
      </c>
      <c r="AE101" t="s">
        <v>175</v>
      </c>
      <c r="AF101" t="s">
        <v>183</v>
      </c>
      <c r="AG101" t="s">
        <v>177</v>
      </c>
      <c r="AH101" t="s">
        <v>175</v>
      </c>
      <c r="AI101" t="s">
        <v>175</v>
      </c>
      <c r="AJ101" t="s">
        <v>175</v>
      </c>
      <c r="AK101" t="s">
        <v>175</v>
      </c>
      <c r="AL101" t="s">
        <v>171</v>
      </c>
      <c r="AM101" t="s">
        <v>173</v>
      </c>
      <c r="AN101" t="s">
        <v>175</v>
      </c>
      <c r="AO101" t="s">
        <v>175</v>
      </c>
      <c r="AP101" t="s">
        <v>175</v>
      </c>
      <c r="AQ101" t="s">
        <v>175</v>
      </c>
      <c r="AR101" t="s">
        <v>175</v>
      </c>
      <c r="AS101" t="s">
        <v>173</v>
      </c>
      <c r="AT101" t="s">
        <v>173</v>
      </c>
      <c r="AU101" t="s">
        <v>173</v>
      </c>
      <c r="AV101" t="s">
        <v>177</v>
      </c>
      <c r="AW101" t="s">
        <v>175</v>
      </c>
      <c r="AX101" t="s">
        <v>193</v>
      </c>
      <c r="AY101" t="s">
        <v>203</v>
      </c>
      <c r="AZ101" t="s">
        <v>183</v>
      </c>
      <c r="BA101" t="s">
        <v>183</v>
      </c>
      <c r="BB101" t="s">
        <v>183</v>
      </c>
      <c r="BC101" t="s">
        <v>183</v>
      </c>
      <c r="BD101" t="s">
        <v>183</v>
      </c>
    </row>
    <row r="102" hidden="1" spans="1:56">
      <c r="A102">
        <v>101</v>
      </c>
      <c r="B102" t="s">
        <v>255</v>
      </c>
      <c r="C102">
        <v>2022</v>
      </c>
      <c r="D102">
        <v>2015</v>
      </c>
      <c r="E102">
        <v>2017</v>
      </c>
      <c r="F102" t="s">
        <v>266</v>
      </c>
      <c r="G102"/>
      <c r="H102" t="s">
        <v>247</v>
      </c>
      <c r="I102"/>
      <c r="J102" t="s">
        <v>265</v>
      </c>
      <c r="K102" t="b">
        <v>0</v>
      </c>
      <c r="L102" t="b">
        <v>0</v>
      </c>
      <c r="M102" t="b">
        <v>0</v>
      </c>
      <c r="N102" t="b">
        <v>1</v>
      </c>
      <c r="O102" t="b">
        <v>1</v>
      </c>
      <c r="P102" t="b">
        <v>0</v>
      </c>
      <c r="Q102" t="b">
        <v>0</v>
      </c>
      <c r="R102" t="b">
        <v>0</v>
      </c>
      <c r="S102" t="b">
        <v>0</v>
      </c>
      <c r="T102" t="b">
        <v>0</v>
      </c>
      <c r="U102" t="b">
        <v>0</v>
      </c>
      <c r="V102" t="b">
        <v>0</v>
      </c>
      <c r="W102" t="b">
        <v>0</v>
      </c>
      <c r="X102" t="b">
        <v>0</v>
      </c>
      <c r="Y102" t="b">
        <v>0</v>
      </c>
      <c r="Z102" t="b">
        <v>1</v>
      </c>
      <c r="AA102" t="b">
        <v>0</v>
      </c>
      <c r="AB102" t="b">
        <v>0</v>
      </c>
      <c r="AC102" t="s">
        <v>173</v>
      </c>
      <c r="AD102" t="s">
        <v>175</v>
      </c>
      <c r="AE102" t="s">
        <v>175</v>
      </c>
      <c r="AF102" t="s">
        <v>177</v>
      </c>
      <c r="AG102" t="s">
        <v>173</v>
      </c>
      <c r="AH102" t="s">
        <v>177</v>
      </c>
      <c r="AI102" t="s">
        <v>177</v>
      </c>
      <c r="AJ102" t="s">
        <v>177</v>
      </c>
      <c r="AK102" t="s">
        <v>175</v>
      </c>
      <c r="AL102" t="s">
        <v>175</v>
      </c>
      <c r="AM102" t="s">
        <v>173</v>
      </c>
      <c r="AN102" t="s">
        <v>173</v>
      </c>
      <c r="AO102" t="s">
        <v>177</v>
      </c>
      <c r="AP102" t="s">
        <v>179</v>
      </c>
      <c r="AQ102" t="s">
        <v>175</v>
      </c>
      <c r="AR102" t="s">
        <v>179</v>
      </c>
      <c r="AS102" t="s">
        <v>175</v>
      </c>
      <c r="AT102" t="s">
        <v>175</v>
      </c>
      <c r="AU102" t="s">
        <v>177</v>
      </c>
      <c r="AV102" t="s">
        <v>177</v>
      </c>
      <c r="AW102" t="s">
        <v>177</v>
      </c>
      <c r="AX102" t="s">
        <v>192</v>
      </c>
      <c r="AY102" t="s">
        <v>201</v>
      </c>
      <c r="AZ102" t="s">
        <v>183</v>
      </c>
      <c r="BA102" t="s">
        <v>183</v>
      </c>
      <c r="BB102" t="s">
        <v>183</v>
      </c>
      <c r="BC102" t="s">
        <v>183</v>
      </c>
      <c r="BD102" t="s">
        <v>183</v>
      </c>
    </row>
    <row r="103" hidden="1" spans="1:56">
      <c r="A103">
        <v>102</v>
      </c>
      <c r="B103" t="s">
        <v>259</v>
      </c>
      <c r="C103">
        <v>2022</v>
      </c>
      <c r="D103">
        <v>1987</v>
      </c>
      <c r="E103">
        <v>2010</v>
      </c>
      <c r="F103" t="s">
        <v>256</v>
      </c>
      <c r="G103" t="s">
        <v>257</v>
      </c>
      <c r="H103" t="s">
        <v>274</v>
      </c>
      <c r="I103"/>
      <c r="J103" t="s">
        <v>252</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1</v>
      </c>
      <c r="AC103" t="s">
        <v>171</v>
      </c>
      <c r="AD103" t="s">
        <v>171</v>
      </c>
      <c r="AE103" t="s">
        <v>179</v>
      </c>
      <c r="AF103" t="s">
        <v>171</v>
      </c>
      <c r="AG103" t="s">
        <v>173</v>
      </c>
      <c r="AH103" t="s">
        <v>173</v>
      </c>
      <c r="AI103" t="s">
        <v>173</v>
      </c>
      <c r="AJ103" t="s">
        <v>173</v>
      </c>
      <c r="AK103" t="s">
        <v>175</v>
      </c>
      <c r="AL103" t="s">
        <v>171</v>
      </c>
      <c r="AM103" t="s">
        <v>171</v>
      </c>
      <c r="AN103" t="s">
        <v>173</v>
      </c>
      <c r="AO103" t="s">
        <v>171</v>
      </c>
      <c r="AP103" t="s">
        <v>175</v>
      </c>
      <c r="AQ103" t="s">
        <v>171</v>
      </c>
      <c r="AR103" t="s">
        <v>173</v>
      </c>
      <c r="AS103" t="s">
        <v>173</v>
      </c>
      <c r="AT103" t="s">
        <v>173</v>
      </c>
      <c r="AU103" t="s">
        <v>173</v>
      </c>
      <c r="AV103" t="s">
        <v>173</v>
      </c>
      <c r="AW103" t="s">
        <v>173</v>
      </c>
      <c r="AX103" t="s">
        <v>192</v>
      </c>
      <c r="AY103" t="s">
        <v>197</v>
      </c>
      <c r="AZ103" t="s">
        <v>183</v>
      </c>
      <c r="BA103" t="s">
        <v>183</v>
      </c>
      <c r="BB103" t="s">
        <v>183</v>
      </c>
      <c r="BC103" t="s">
        <v>183</v>
      </c>
      <c r="BD103" t="s">
        <v>183</v>
      </c>
    </row>
    <row r="104" hidden="1" spans="1:56">
      <c r="A104">
        <v>103</v>
      </c>
      <c r="B104" t="s">
        <v>255</v>
      </c>
      <c r="C104">
        <v>2022</v>
      </c>
      <c r="D104">
        <v>2011</v>
      </c>
      <c r="E104">
        <v>2016</v>
      </c>
      <c r="F104" t="s">
        <v>256</v>
      </c>
      <c r="G104" t="s">
        <v>257</v>
      </c>
      <c r="H104" t="s">
        <v>264</v>
      </c>
      <c r="I104"/>
      <c r="J104" t="s">
        <v>265</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1</v>
      </c>
      <c r="AC104" t="s">
        <v>177</v>
      </c>
      <c r="AD104" t="s">
        <v>177</v>
      </c>
      <c r="AE104" t="s">
        <v>179</v>
      </c>
      <c r="AF104" t="s">
        <v>179</v>
      </c>
      <c r="AG104" t="s">
        <v>175</v>
      </c>
      <c r="AH104" t="s">
        <v>179</v>
      </c>
      <c r="AI104" t="s">
        <v>179</v>
      </c>
      <c r="AJ104" t="s">
        <v>179</v>
      </c>
      <c r="AK104" t="s">
        <v>173</v>
      </c>
      <c r="AL104" t="s">
        <v>179</v>
      </c>
      <c r="AM104" t="s">
        <v>179</v>
      </c>
      <c r="AN104" t="s">
        <v>175</v>
      </c>
      <c r="AO104" t="s">
        <v>179</v>
      </c>
      <c r="AP104" t="s">
        <v>179</v>
      </c>
      <c r="AQ104" t="s">
        <v>179</v>
      </c>
      <c r="AR104" t="s">
        <v>179</v>
      </c>
      <c r="AS104" t="s">
        <v>179</v>
      </c>
      <c r="AT104" t="s">
        <v>179</v>
      </c>
      <c r="AU104" t="s">
        <v>179</v>
      </c>
      <c r="AV104" t="s">
        <v>179</v>
      </c>
      <c r="AW104" t="s">
        <v>179</v>
      </c>
      <c r="AX104" t="s">
        <v>192</v>
      </c>
      <c r="AY104" t="s">
        <v>197</v>
      </c>
      <c r="AZ104" t="s">
        <v>183</v>
      </c>
      <c r="BA104" t="s">
        <v>183</v>
      </c>
      <c r="BB104" t="s">
        <v>183</v>
      </c>
      <c r="BC104" t="s">
        <v>183</v>
      </c>
      <c r="BD104" t="s">
        <v>183</v>
      </c>
    </row>
    <row r="105" hidden="1" spans="1:56">
      <c r="A105">
        <v>104</v>
      </c>
      <c r="B105" t="s">
        <v>255</v>
      </c>
      <c r="C105">
        <v>2022</v>
      </c>
      <c r="D105">
        <v>2013</v>
      </c>
      <c r="E105">
        <v>2017</v>
      </c>
      <c r="F105"/>
      <c r="G105"/>
      <c r="H105" t="s">
        <v>274</v>
      </c>
      <c r="I105"/>
      <c r="J105" t="s">
        <v>265</v>
      </c>
      <c r="K105" t="b">
        <v>0</v>
      </c>
      <c r="L105" t="b">
        <v>0</v>
      </c>
      <c r="M105" t="b">
        <v>0</v>
      </c>
      <c r="N105" t="b">
        <v>1</v>
      </c>
      <c r="O105" t="b">
        <v>1</v>
      </c>
      <c r="P105" t="b">
        <v>0</v>
      </c>
      <c r="Q105" t="b">
        <v>1</v>
      </c>
      <c r="R105" t="b">
        <v>0</v>
      </c>
      <c r="S105" t="b">
        <v>0</v>
      </c>
      <c r="T105" t="b">
        <v>0</v>
      </c>
      <c r="U105" t="b">
        <v>0</v>
      </c>
      <c r="V105" t="b">
        <v>0</v>
      </c>
      <c r="W105" t="b">
        <v>0</v>
      </c>
      <c r="X105" t="b">
        <v>0</v>
      </c>
      <c r="Y105" t="b">
        <v>0</v>
      </c>
      <c r="Z105" t="b">
        <v>0</v>
      </c>
      <c r="AA105" t="b">
        <v>0</v>
      </c>
      <c r="AB105" t="b">
        <v>0</v>
      </c>
      <c r="AC105" t="s">
        <v>177</v>
      </c>
      <c r="AD105" t="s">
        <v>179</v>
      </c>
      <c r="AE105" t="s">
        <v>179</v>
      </c>
      <c r="AF105" t="s">
        <v>179</v>
      </c>
      <c r="AG105" t="s">
        <v>173</v>
      </c>
      <c r="AH105" t="s">
        <v>173</v>
      </c>
      <c r="AI105" t="s">
        <v>181</v>
      </c>
      <c r="AJ105" t="s">
        <v>179</v>
      </c>
      <c r="AK105" t="s">
        <v>173</v>
      </c>
      <c r="AL105" t="s">
        <v>179</v>
      </c>
      <c r="AM105" t="s">
        <v>179</v>
      </c>
      <c r="AN105" t="s">
        <v>179</v>
      </c>
      <c r="AO105" t="s">
        <v>177</v>
      </c>
      <c r="AP105" t="s">
        <v>179</v>
      </c>
      <c r="AQ105" t="s">
        <v>179</v>
      </c>
      <c r="AR105" t="s">
        <v>179</v>
      </c>
      <c r="AS105" t="s">
        <v>179</v>
      </c>
      <c r="AT105" t="s">
        <v>179</v>
      </c>
      <c r="AU105" t="s">
        <v>179</v>
      </c>
      <c r="AV105" t="s">
        <v>179</v>
      </c>
      <c r="AW105" t="s">
        <v>179</v>
      </c>
      <c r="AX105" t="s">
        <v>192</v>
      </c>
      <c r="AY105" t="s">
        <v>197</v>
      </c>
      <c r="AZ105" t="s">
        <v>183</v>
      </c>
      <c r="BA105" t="s">
        <v>183</v>
      </c>
      <c r="BB105" t="s">
        <v>183</v>
      </c>
      <c r="BC105" t="s">
        <v>183</v>
      </c>
      <c r="BD105" t="s">
        <v>183</v>
      </c>
    </row>
    <row r="106" hidden="1" spans="1:56">
      <c r="A106">
        <v>105</v>
      </c>
      <c r="B106" t="s">
        <v>259</v>
      </c>
      <c r="C106">
        <v>2022</v>
      </c>
      <c r="D106">
        <v>1988</v>
      </c>
      <c r="E106">
        <v>1988</v>
      </c>
      <c r="F106" t="s">
        <v>275</v>
      </c>
      <c r="G106"/>
      <c r="H106" t="s">
        <v>247</v>
      </c>
      <c r="I106"/>
      <c r="J106" t="s">
        <v>265</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1</v>
      </c>
      <c r="AC106" t="s">
        <v>173</v>
      </c>
      <c r="AD106" t="s">
        <v>183</v>
      </c>
      <c r="AE106" t="s">
        <v>173</v>
      </c>
      <c r="AF106" t="s">
        <v>173</v>
      </c>
      <c r="AG106" t="s">
        <v>173</v>
      </c>
      <c r="AH106" t="s">
        <v>171</v>
      </c>
      <c r="AI106" t="s">
        <v>173</v>
      </c>
      <c r="AJ106" t="s">
        <v>171</v>
      </c>
      <c r="AK106" t="s">
        <v>173</v>
      </c>
      <c r="AL106" t="s">
        <v>173</v>
      </c>
      <c r="AM106" t="s">
        <v>173</v>
      </c>
      <c r="AN106" t="s">
        <v>183</v>
      </c>
      <c r="AO106" t="s">
        <v>183</v>
      </c>
      <c r="AP106" t="s">
        <v>183</v>
      </c>
      <c r="AQ106" t="s">
        <v>183</v>
      </c>
      <c r="AR106" t="s">
        <v>173</v>
      </c>
      <c r="AS106" t="s">
        <v>173</v>
      </c>
      <c r="AT106" t="s">
        <v>173</v>
      </c>
      <c r="AU106" t="s">
        <v>173</v>
      </c>
      <c r="AV106" t="s">
        <v>183</v>
      </c>
      <c r="AW106" t="s">
        <v>173</v>
      </c>
      <c r="AX106" t="s">
        <v>192</v>
      </c>
      <c r="AY106" t="s">
        <v>195</v>
      </c>
      <c r="AZ106" t="s">
        <v>183</v>
      </c>
      <c r="BA106" t="s">
        <v>183</v>
      </c>
      <c r="BB106" t="s">
        <v>183</v>
      </c>
      <c r="BC106" t="s">
        <v>183</v>
      </c>
      <c r="BD106" t="s">
        <v>183</v>
      </c>
    </row>
    <row r="107" hidden="1" spans="1:56">
      <c r="A107">
        <v>106</v>
      </c>
      <c r="B107" t="s">
        <v>259</v>
      </c>
      <c r="C107">
        <v>2022</v>
      </c>
      <c r="D107">
        <v>2009</v>
      </c>
      <c r="E107">
        <v>2009</v>
      </c>
      <c r="F107" t="s">
        <v>266</v>
      </c>
      <c r="G107"/>
      <c r="H107" t="s">
        <v>267</v>
      </c>
      <c r="I107"/>
      <c r="J107" t="s">
        <v>265</v>
      </c>
      <c r="K107" t="b">
        <v>0</v>
      </c>
      <c r="L107" t="b">
        <v>0</v>
      </c>
      <c r="M107" t="b">
        <v>0</v>
      </c>
      <c r="N107" t="b">
        <v>1</v>
      </c>
      <c r="O107" t="b">
        <v>0</v>
      </c>
      <c r="P107" t="b">
        <v>0</v>
      </c>
      <c r="Q107" t="b">
        <v>0</v>
      </c>
      <c r="R107" t="b">
        <v>0</v>
      </c>
      <c r="S107" t="b">
        <v>0</v>
      </c>
      <c r="T107" t="b">
        <v>0</v>
      </c>
      <c r="U107" t="b">
        <v>0</v>
      </c>
      <c r="V107" t="b">
        <v>0</v>
      </c>
      <c r="W107" t="b">
        <v>0</v>
      </c>
      <c r="X107" t="b">
        <v>0</v>
      </c>
      <c r="Y107" t="b">
        <v>0</v>
      </c>
      <c r="Z107" t="b">
        <v>1</v>
      </c>
      <c r="AA107" t="b">
        <v>0</v>
      </c>
      <c r="AB107" t="b">
        <v>0</v>
      </c>
      <c r="AC107" t="s">
        <v>183</v>
      </c>
      <c r="AD107" t="s">
        <v>183</v>
      </c>
      <c r="AE107" t="s">
        <v>177</v>
      </c>
      <c r="AF107" t="s">
        <v>177</v>
      </c>
      <c r="AG107" t="s">
        <v>175</v>
      </c>
      <c r="AH107" t="s">
        <v>173</v>
      </c>
      <c r="AI107" t="s">
        <v>177</v>
      </c>
      <c r="AJ107" t="s">
        <v>175</v>
      </c>
      <c r="AK107" t="s">
        <v>173</v>
      </c>
      <c r="AL107" t="s">
        <v>173</v>
      </c>
      <c r="AM107" t="s">
        <v>173</v>
      </c>
      <c r="AN107" t="s">
        <v>179</v>
      </c>
      <c r="AO107" t="s">
        <v>183</v>
      </c>
      <c r="AP107" t="s">
        <v>173</v>
      </c>
      <c r="AQ107" t="s">
        <v>183</v>
      </c>
      <c r="AR107" t="s">
        <v>177</v>
      </c>
      <c r="AS107" t="s">
        <v>177</v>
      </c>
      <c r="AT107" t="s">
        <v>177</v>
      </c>
      <c r="AU107" t="s">
        <v>177</v>
      </c>
      <c r="AV107" t="s">
        <v>183</v>
      </c>
      <c r="AW107" t="s">
        <v>183</v>
      </c>
      <c r="AX107" t="s">
        <v>192</v>
      </c>
      <c r="AY107" t="s">
        <v>196</v>
      </c>
      <c r="AZ107" t="s">
        <v>183</v>
      </c>
      <c r="BA107" t="s">
        <v>183</v>
      </c>
      <c r="BB107" t="s">
        <v>183</v>
      </c>
      <c r="BC107" t="s">
        <v>183</v>
      </c>
      <c r="BD107" t="s">
        <v>183</v>
      </c>
    </row>
    <row r="108" hidden="1" spans="1:56">
      <c r="A108">
        <v>107</v>
      </c>
      <c r="B108" t="s">
        <v>255</v>
      </c>
      <c r="C108">
        <v>2022</v>
      </c>
      <c r="D108" t="s">
        <v>247</v>
      </c>
      <c r="E108" t="s">
        <v>247</v>
      </c>
      <c r="F108" t="s">
        <v>266</v>
      </c>
      <c r="G108"/>
      <c r="H108" t="s">
        <v>250</v>
      </c>
      <c r="I108" t="s">
        <v>293</v>
      </c>
      <c r="J108" t="s">
        <v>281</v>
      </c>
      <c r="K108" t="b">
        <v>0</v>
      </c>
      <c r="L108" t="b">
        <v>0</v>
      </c>
      <c r="M108" t="b">
        <v>0</v>
      </c>
      <c r="N108" t="b">
        <v>0</v>
      </c>
      <c r="O108" t="b">
        <v>0</v>
      </c>
      <c r="P108" t="b">
        <v>0</v>
      </c>
      <c r="Q108" t="b">
        <v>0</v>
      </c>
      <c r="R108" t="b">
        <v>1</v>
      </c>
      <c r="S108" t="b">
        <v>0</v>
      </c>
      <c r="T108" t="b">
        <v>1</v>
      </c>
      <c r="U108" t="b">
        <v>0</v>
      </c>
      <c r="V108" t="b">
        <v>0</v>
      </c>
      <c r="W108" t="b">
        <v>0</v>
      </c>
      <c r="X108" t="b">
        <v>0</v>
      </c>
      <c r="Y108" t="b">
        <v>0</v>
      </c>
      <c r="Z108" t="b">
        <v>1</v>
      </c>
      <c r="AA108" t="b">
        <v>0</v>
      </c>
      <c r="AB108" t="b">
        <v>0</v>
      </c>
      <c r="AC108" t="s">
        <v>171</v>
      </c>
      <c r="AD108" t="s">
        <v>179</v>
      </c>
      <c r="AE108" t="s">
        <v>173</v>
      </c>
      <c r="AF108" t="s">
        <v>173</v>
      </c>
      <c r="AG108" t="s">
        <v>173</v>
      </c>
      <c r="AH108" t="s">
        <v>179</v>
      </c>
      <c r="AI108" t="s">
        <v>173</v>
      </c>
      <c r="AJ108" t="s">
        <v>173</v>
      </c>
      <c r="AK108" t="s">
        <v>173</v>
      </c>
      <c r="AL108" t="s">
        <v>173</v>
      </c>
      <c r="AM108" t="s">
        <v>177</v>
      </c>
      <c r="AN108" t="s">
        <v>173</v>
      </c>
      <c r="AO108" t="s">
        <v>177</v>
      </c>
      <c r="AP108" t="s">
        <v>177</v>
      </c>
      <c r="AQ108" t="s">
        <v>177</v>
      </c>
      <c r="AR108" t="s">
        <v>173</v>
      </c>
      <c r="AS108" t="s">
        <v>173</v>
      </c>
      <c r="AT108" t="s">
        <v>175</v>
      </c>
      <c r="AU108" t="s">
        <v>175</v>
      </c>
      <c r="AV108" t="s">
        <v>173</v>
      </c>
      <c r="AW108" t="s">
        <v>173</v>
      </c>
      <c r="AX108" t="s">
        <v>192</v>
      </c>
      <c r="AY108" t="s">
        <v>198</v>
      </c>
      <c r="AZ108" t="s">
        <v>183</v>
      </c>
      <c r="BA108" t="s">
        <v>183</v>
      </c>
      <c r="BB108" t="s">
        <v>208</v>
      </c>
      <c r="BC108" t="s">
        <v>183</v>
      </c>
      <c r="BD108" t="s">
        <v>183</v>
      </c>
    </row>
    <row r="109" hidden="1" spans="1:56">
      <c r="A109">
        <v>108</v>
      </c>
      <c r="B109" t="s">
        <v>280</v>
      </c>
      <c r="C109">
        <v>2022</v>
      </c>
      <c r="D109">
        <v>2007</v>
      </c>
      <c r="E109">
        <v>2011</v>
      </c>
      <c r="F109" t="s">
        <v>256</v>
      </c>
      <c r="G109" t="s">
        <v>279</v>
      </c>
      <c r="H109" t="s">
        <v>274</v>
      </c>
      <c r="I109"/>
      <c r="J109" t="s">
        <v>265</v>
      </c>
      <c r="K109" t="b">
        <v>0</v>
      </c>
      <c r="L109" t="b">
        <v>0</v>
      </c>
      <c r="M109" t="b">
        <v>0</v>
      </c>
      <c r="N109" t="b">
        <v>0</v>
      </c>
      <c r="O109" t="b">
        <v>0</v>
      </c>
      <c r="P109" t="b">
        <v>0</v>
      </c>
      <c r="Q109" t="b">
        <v>0</v>
      </c>
      <c r="R109" t="b">
        <v>0</v>
      </c>
      <c r="S109" t="b">
        <v>0</v>
      </c>
      <c r="T109" t="b">
        <v>0</v>
      </c>
      <c r="U109" t="b">
        <v>0</v>
      </c>
      <c r="V109" t="b">
        <v>0</v>
      </c>
      <c r="W109" t="b">
        <v>0</v>
      </c>
      <c r="X109" t="b">
        <v>1</v>
      </c>
      <c r="Y109" t="b">
        <v>0</v>
      </c>
      <c r="Z109" t="b">
        <v>1</v>
      </c>
      <c r="AA109" t="b">
        <v>0</v>
      </c>
      <c r="AB109" t="b">
        <v>0</v>
      </c>
      <c r="AC109" t="s">
        <v>175</v>
      </c>
      <c r="AD109" t="s">
        <v>175</v>
      </c>
      <c r="AE109" t="s">
        <v>177</v>
      </c>
      <c r="AF109" t="s">
        <v>175</v>
      </c>
      <c r="AG109" t="s">
        <v>175</v>
      </c>
      <c r="AH109" t="s">
        <v>179</v>
      </c>
      <c r="AI109" t="s">
        <v>177</v>
      </c>
      <c r="AJ109" t="s">
        <v>177</v>
      </c>
      <c r="AK109" t="s">
        <v>177</v>
      </c>
      <c r="AL109" t="s">
        <v>173</v>
      </c>
      <c r="AM109" t="s">
        <v>177</v>
      </c>
      <c r="AN109" t="s">
        <v>175</v>
      </c>
      <c r="AO109" t="s">
        <v>177</v>
      </c>
      <c r="AP109" t="s">
        <v>175</v>
      </c>
      <c r="AQ109" t="s">
        <v>175</v>
      </c>
      <c r="AR109" t="s">
        <v>177</v>
      </c>
      <c r="AS109" t="s">
        <v>175</v>
      </c>
      <c r="AT109" t="s">
        <v>175</v>
      </c>
      <c r="AU109" t="s">
        <v>175</v>
      </c>
      <c r="AV109" t="s">
        <v>175</v>
      </c>
      <c r="AW109" t="s">
        <v>173</v>
      </c>
      <c r="AX109" t="s">
        <v>192</v>
      </c>
      <c r="AY109" t="s">
        <v>196</v>
      </c>
      <c r="AZ109" t="s">
        <v>183</v>
      </c>
      <c r="BA109" t="s">
        <v>183</v>
      </c>
      <c r="BB109" t="s">
        <v>183</v>
      </c>
      <c r="BC109" t="s">
        <v>183</v>
      </c>
      <c r="BD109" t="s">
        <v>183</v>
      </c>
    </row>
    <row r="110" hidden="1" spans="1:56">
      <c r="A110">
        <v>109</v>
      </c>
      <c r="B110" t="s">
        <v>255</v>
      </c>
      <c r="C110">
        <v>2022</v>
      </c>
      <c r="D110">
        <v>2017</v>
      </c>
      <c r="E110">
        <v>2018</v>
      </c>
      <c r="F110" t="s">
        <v>289</v>
      </c>
      <c r="G110"/>
      <c r="H110" t="s">
        <v>258</v>
      </c>
      <c r="I110"/>
      <c r="J110" t="s">
        <v>265</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s">
        <v>173</v>
      </c>
      <c r="AD110" t="s">
        <v>181</v>
      </c>
      <c r="AE110" t="s">
        <v>175</v>
      </c>
      <c r="AF110" t="s">
        <v>175</v>
      </c>
      <c r="AG110" t="s">
        <v>173</v>
      </c>
      <c r="AH110" t="s">
        <v>173</v>
      </c>
      <c r="AI110" t="s">
        <v>171</v>
      </c>
      <c r="AJ110" t="s">
        <v>177</v>
      </c>
      <c r="AK110" t="s">
        <v>173</v>
      </c>
      <c r="AL110" t="s">
        <v>173</v>
      </c>
      <c r="AM110" t="s">
        <v>171</v>
      </c>
      <c r="AN110" t="s">
        <v>173</v>
      </c>
      <c r="AO110" t="s">
        <v>177</v>
      </c>
      <c r="AP110" t="s">
        <v>173</v>
      </c>
      <c r="AQ110" t="s">
        <v>175</v>
      </c>
      <c r="AR110" t="s">
        <v>175</v>
      </c>
      <c r="AS110" t="s">
        <v>173</v>
      </c>
      <c r="AT110" t="s">
        <v>175</v>
      </c>
      <c r="AU110" t="s">
        <v>173</v>
      </c>
      <c r="AV110" t="s">
        <v>173</v>
      </c>
      <c r="AW110" t="s">
        <v>173</v>
      </c>
      <c r="AX110" t="s">
        <v>192</v>
      </c>
      <c r="AY110" t="s">
        <v>203</v>
      </c>
      <c r="AZ110" t="s">
        <v>183</v>
      </c>
      <c r="BA110" t="s">
        <v>183</v>
      </c>
      <c r="BB110" t="s">
        <v>183</v>
      </c>
      <c r="BC110" t="s">
        <v>183</v>
      </c>
      <c r="BD110" t="s">
        <v>183</v>
      </c>
    </row>
    <row r="111" hidden="1" spans="1:56">
      <c r="A111">
        <v>110</v>
      </c>
      <c r="B111" t="s">
        <v>259</v>
      </c>
      <c r="C111">
        <v>2022</v>
      </c>
      <c r="D111">
        <v>1999</v>
      </c>
      <c r="E111" t="s">
        <v>247</v>
      </c>
      <c r="F111" t="s">
        <v>248</v>
      </c>
      <c r="G111" t="s">
        <v>242</v>
      </c>
      <c r="H111" t="s">
        <v>274</v>
      </c>
      <c r="I111"/>
      <c r="J111" t="s">
        <v>252</v>
      </c>
      <c r="K111" t="b">
        <v>0</v>
      </c>
      <c r="L111" t="b">
        <v>0</v>
      </c>
      <c r="M111" t="b">
        <v>0</v>
      </c>
      <c r="N111" t="b">
        <v>0</v>
      </c>
      <c r="O111" t="b">
        <v>0</v>
      </c>
      <c r="P111" t="b">
        <v>0</v>
      </c>
      <c r="Q111" t="b">
        <v>0</v>
      </c>
      <c r="R111" t="b">
        <v>0</v>
      </c>
      <c r="S111" t="b">
        <v>0</v>
      </c>
      <c r="T111" t="b">
        <v>0</v>
      </c>
      <c r="U111" t="b">
        <v>0</v>
      </c>
      <c r="V111" t="b">
        <v>0</v>
      </c>
      <c r="W111" t="b">
        <v>0</v>
      </c>
      <c r="X111" t="b">
        <v>0</v>
      </c>
      <c r="Y111" t="b">
        <v>0</v>
      </c>
      <c r="Z111" t="b">
        <v>1</v>
      </c>
      <c r="AA111" t="b">
        <v>0</v>
      </c>
      <c r="AB111" t="b">
        <v>0</v>
      </c>
      <c r="AC111" t="s">
        <v>173</v>
      </c>
      <c r="AD111" t="s">
        <v>173</v>
      </c>
      <c r="AE111" t="s">
        <v>173</v>
      </c>
      <c r="AF111" t="s">
        <v>173</v>
      </c>
      <c r="AG111" t="s">
        <v>173</v>
      </c>
      <c r="AH111" t="s">
        <v>173</v>
      </c>
      <c r="AI111" t="s">
        <v>173</v>
      </c>
      <c r="AJ111" t="s">
        <v>173</v>
      </c>
      <c r="AK111" t="s">
        <v>173</v>
      </c>
      <c r="AL111" t="s">
        <v>173</v>
      </c>
      <c r="AM111" t="s">
        <v>173</v>
      </c>
      <c r="AN111" t="s">
        <v>173</v>
      </c>
      <c r="AO111" t="s">
        <v>173</v>
      </c>
      <c r="AP111" t="s">
        <v>173</v>
      </c>
      <c r="AQ111" t="s">
        <v>173</v>
      </c>
      <c r="AR111" t="s">
        <v>173</v>
      </c>
      <c r="AS111" t="s">
        <v>173</v>
      </c>
      <c r="AT111" t="s">
        <v>173</v>
      </c>
      <c r="AU111" t="s">
        <v>173</v>
      </c>
      <c r="AV111" t="s">
        <v>173</v>
      </c>
      <c r="AW111" t="s">
        <v>173</v>
      </c>
      <c r="AX111" t="s">
        <v>192</v>
      </c>
      <c r="AY111" t="s">
        <v>195</v>
      </c>
      <c r="AZ111" t="s">
        <v>183</v>
      </c>
      <c r="BA111" t="s">
        <v>183</v>
      </c>
      <c r="BB111" t="s">
        <v>183</v>
      </c>
      <c r="BC111" t="s">
        <v>183</v>
      </c>
      <c r="BD111" t="s">
        <v>183</v>
      </c>
    </row>
    <row r="112" hidden="1" spans="1:56">
      <c r="A112">
        <v>111</v>
      </c>
      <c r="B112" t="s">
        <v>280</v>
      </c>
      <c r="C112">
        <v>2022</v>
      </c>
      <c r="D112">
        <v>2000</v>
      </c>
      <c r="E112">
        <v>2005</v>
      </c>
      <c r="F112" t="s">
        <v>256</v>
      </c>
      <c r="G112" t="s">
        <v>257</v>
      </c>
      <c r="H112" t="s">
        <v>247</v>
      </c>
      <c r="I112"/>
      <c r="J112" t="s">
        <v>265</v>
      </c>
      <c r="K112" t="b">
        <v>0</v>
      </c>
      <c r="L112" t="b">
        <v>0</v>
      </c>
      <c r="M112" t="b">
        <v>0</v>
      </c>
      <c r="N112" t="b">
        <v>1</v>
      </c>
      <c r="O112" t="b">
        <v>0</v>
      </c>
      <c r="P112" t="b">
        <v>0</v>
      </c>
      <c r="Q112" t="b">
        <v>0</v>
      </c>
      <c r="R112" t="b">
        <v>0</v>
      </c>
      <c r="S112" t="b">
        <v>0</v>
      </c>
      <c r="T112" t="b">
        <v>0</v>
      </c>
      <c r="U112" t="b">
        <v>0</v>
      </c>
      <c r="V112" t="b">
        <v>0</v>
      </c>
      <c r="W112" t="b">
        <v>0</v>
      </c>
      <c r="X112" t="b">
        <v>1</v>
      </c>
      <c r="Y112" t="b">
        <v>0</v>
      </c>
      <c r="Z112" t="b">
        <v>1</v>
      </c>
      <c r="AA112" t="b">
        <v>0</v>
      </c>
      <c r="AB112" t="b">
        <v>0</v>
      </c>
      <c r="AC112" t="s">
        <v>173</v>
      </c>
      <c r="AD112" t="s">
        <v>175</v>
      </c>
      <c r="AE112" t="s">
        <v>177</v>
      </c>
      <c r="AF112" t="s">
        <v>173</v>
      </c>
      <c r="AG112" t="s">
        <v>173</v>
      </c>
      <c r="AH112" t="s">
        <v>175</v>
      </c>
      <c r="AI112" t="s">
        <v>177</v>
      </c>
      <c r="AJ112" t="s">
        <v>175</v>
      </c>
      <c r="AK112" t="s">
        <v>175</v>
      </c>
      <c r="AL112" t="s">
        <v>175</v>
      </c>
      <c r="AM112" t="s">
        <v>173</v>
      </c>
      <c r="AN112" t="s">
        <v>173</v>
      </c>
      <c r="AO112" t="s">
        <v>177</v>
      </c>
      <c r="AP112" t="s">
        <v>173</v>
      </c>
      <c r="AQ112" t="s">
        <v>177</v>
      </c>
      <c r="AR112" t="s">
        <v>175</v>
      </c>
      <c r="AS112" t="s">
        <v>173</v>
      </c>
      <c r="AT112" t="s">
        <v>173</v>
      </c>
      <c r="AU112" t="s">
        <v>173</v>
      </c>
      <c r="AV112" t="s">
        <v>177</v>
      </c>
      <c r="AW112" t="s">
        <v>175</v>
      </c>
      <c r="AX112" t="s">
        <v>192</v>
      </c>
      <c r="AY112" t="s">
        <v>195</v>
      </c>
      <c r="AZ112" t="s">
        <v>183</v>
      </c>
      <c r="BA112" t="s">
        <v>183</v>
      </c>
      <c r="BB112" t="s">
        <v>183</v>
      </c>
      <c r="BC112" t="s">
        <v>183</v>
      </c>
      <c r="BD112" t="s">
        <v>183</v>
      </c>
    </row>
    <row r="113" hidden="1" spans="1:56">
      <c r="A113">
        <v>112</v>
      </c>
      <c r="B113" t="s">
        <v>255</v>
      </c>
      <c r="C113">
        <v>2022</v>
      </c>
      <c r="D113">
        <v>2013</v>
      </c>
      <c r="E113">
        <v>2013</v>
      </c>
      <c r="F113" t="s">
        <v>256</v>
      </c>
      <c r="G113" t="s">
        <v>279</v>
      </c>
      <c r="H113" t="s">
        <v>273</v>
      </c>
      <c r="I113"/>
      <c r="J113" t="s">
        <v>252</v>
      </c>
      <c r="K113" t="b">
        <v>1</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s">
        <v>175</v>
      </c>
      <c r="AD113" t="s">
        <v>175</v>
      </c>
      <c r="AE113" t="s">
        <v>175</v>
      </c>
      <c r="AF113" t="s">
        <v>175</v>
      </c>
      <c r="AG113" t="s">
        <v>175</v>
      </c>
      <c r="AH113" t="s">
        <v>175</v>
      </c>
      <c r="AI113" t="s">
        <v>175</v>
      </c>
      <c r="AJ113" t="s">
        <v>175</v>
      </c>
      <c r="AK113" t="s">
        <v>175</v>
      </c>
      <c r="AL113" t="s">
        <v>175</v>
      </c>
      <c r="AM113" t="s">
        <v>175</v>
      </c>
      <c r="AN113" t="s">
        <v>175</v>
      </c>
      <c r="AO113" t="s">
        <v>175</v>
      </c>
      <c r="AP113" t="s">
        <v>175</v>
      </c>
      <c r="AQ113" t="s">
        <v>175</v>
      </c>
      <c r="AR113" t="s">
        <v>175</v>
      </c>
      <c r="AS113" t="s">
        <v>175</v>
      </c>
      <c r="AT113" t="s">
        <v>175</v>
      </c>
      <c r="AU113" t="s">
        <v>175</v>
      </c>
      <c r="AV113" t="s">
        <v>175</v>
      </c>
      <c r="AW113" t="s">
        <v>175</v>
      </c>
      <c r="AX113" t="s">
        <v>192</v>
      </c>
      <c r="AY113" t="s">
        <v>200</v>
      </c>
      <c r="AZ113" t="s">
        <v>183</v>
      </c>
      <c r="BA113" t="s">
        <v>183</v>
      </c>
      <c r="BB113" t="s">
        <v>183</v>
      </c>
      <c r="BC113" t="s">
        <v>183</v>
      </c>
      <c r="BD113" t="s">
        <v>183</v>
      </c>
    </row>
    <row r="114" hidden="1" spans="1:56">
      <c r="A114">
        <v>113</v>
      </c>
      <c r="B114" t="s">
        <v>255</v>
      </c>
      <c r="C114">
        <v>2022</v>
      </c>
      <c r="D114">
        <v>2016</v>
      </c>
      <c r="E114">
        <v>2016</v>
      </c>
      <c r="F114" t="s">
        <v>275</v>
      </c>
      <c r="G114"/>
      <c r="H114" t="s">
        <v>268</v>
      </c>
      <c r="I114"/>
      <c r="J114" t="s">
        <v>265</v>
      </c>
      <c r="K114" t="b">
        <v>0</v>
      </c>
      <c r="L114" t="b">
        <v>0</v>
      </c>
      <c r="M114" t="b">
        <v>0</v>
      </c>
      <c r="N114" t="b">
        <v>0</v>
      </c>
      <c r="O114" t="b">
        <v>0</v>
      </c>
      <c r="P114" t="b">
        <v>1</v>
      </c>
      <c r="Q114" t="b">
        <v>0</v>
      </c>
      <c r="R114" t="b">
        <v>0</v>
      </c>
      <c r="S114" t="b">
        <v>0</v>
      </c>
      <c r="T114" t="b">
        <v>0</v>
      </c>
      <c r="U114" t="b">
        <v>0</v>
      </c>
      <c r="V114" t="b">
        <v>0</v>
      </c>
      <c r="W114" t="b">
        <v>0</v>
      </c>
      <c r="X114" t="b">
        <v>0</v>
      </c>
      <c r="Y114" t="b">
        <v>0</v>
      </c>
      <c r="Z114" t="b">
        <v>0</v>
      </c>
      <c r="AA114" t="b">
        <v>0</v>
      </c>
      <c r="AB114" t="b">
        <v>0</v>
      </c>
      <c r="AC114" t="s">
        <v>171</v>
      </c>
      <c r="AD114" t="s">
        <v>171</v>
      </c>
      <c r="AE114" t="s">
        <v>171</v>
      </c>
      <c r="AF114" t="s">
        <v>171</v>
      </c>
      <c r="AG114" t="s">
        <v>171</v>
      </c>
      <c r="AH114" t="s">
        <v>171</v>
      </c>
      <c r="AI114" t="s">
        <v>171</v>
      </c>
      <c r="AJ114" t="s">
        <v>171</v>
      </c>
      <c r="AK114" t="s">
        <v>171</v>
      </c>
      <c r="AL114" t="s">
        <v>171</v>
      </c>
      <c r="AM114" t="s">
        <v>171</v>
      </c>
      <c r="AN114" t="s">
        <v>171</v>
      </c>
      <c r="AO114" t="s">
        <v>171</v>
      </c>
      <c r="AP114" t="s">
        <v>171</v>
      </c>
      <c r="AQ114" t="s">
        <v>171</v>
      </c>
      <c r="AR114" t="s">
        <v>171</v>
      </c>
      <c r="AS114" t="s">
        <v>171</v>
      </c>
      <c r="AT114" t="s">
        <v>171</v>
      </c>
      <c r="AU114" t="s">
        <v>171</v>
      </c>
      <c r="AV114" t="s">
        <v>183</v>
      </c>
      <c r="AW114" t="s">
        <v>183</v>
      </c>
      <c r="AX114" t="s">
        <v>192</v>
      </c>
      <c r="AY114" t="s">
        <v>196</v>
      </c>
      <c r="AZ114" t="s">
        <v>183</v>
      </c>
      <c r="BA114" t="s">
        <v>183</v>
      </c>
      <c r="BB114" t="s">
        <v>183</v>
      </c>
      <c r="BC114" t="s">
        <v>183</v>
      </c>
      <c r="BD114" t="s">
        <v>183</v>
      </c>
    </row>
    <row r="115" hidden="1" spans="1:56">
      <c r="A115">
        <v>114</v>
      </c>
      <c r="B115" t="s">
        <v>259</v>
      </c>
      <c r="C115">
        <v>2022</v>
      </c>
      <c r="D115">
        <v>2018</v>
      </c>
      <c r="E115">
        <v>2018</v>
      </c>
      <c r="F115" t="s">
        <v>253</v>
      </c>
      <c r="G115"/>
      <c r="H115" t="s">
        <v>247</v>
      </c>
      <c r="I115"/>
      <c r="J115" t="s">
        <v>290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1</v>
      </c>
      <c r="AC115" t="s">
        <v>181</v>
      </c>
      <c r="AD115" t="s">
        <v>181</v>
      </c>
      <c r="AE115" t="s">
        <v>181</v>
      </c>
      <c r="AF115" t="s">
        <v>181</v>
      </c>
      <c r="AG115" t="s">
        <v>181</v>
      </c>
      <c r="AH115" t="s">
        <v>181</v>
      </c>
      <c r="AI115" t="s">
        <v>181</v>
      </c>
      <c r="AJ115" t="s">
        <v>181</v>
      </c>
      <c r="AK115" t="s">
        <v>181</v>
      </c>
      <c r="AL115" t="s">
        <v>181</v>
      </c>
      <c r="AM115" t="s">
        <v>171</v>
      </c>
      <c r="AN115" t="s">
        <v>181</v>
      </c>
      <c r="AO115" t="s">
        <v>181</v>
      </c>
      <c r="AP115" t="s">
        <v>173</v>
      </c>
      <c r="AQ115" t="s">
        <v>181</v>
      </c>
      <c r="AR115" t="s">
        <v>171</v>
      </c>
      <c r="AS115" t="s">
        <v>171</v>
      </c>
      <c r="AT115" t="s">
        <v>175</v>
      </c>
      <c r="AU115" t="s">
        <v>171</v>
      </c>
      <c r="AV115" t="s">
        <v>181</v>
      </c>
      <c r="AW115" t="s">
        <v>181</v>
      </c>
      <c r="AX115" t="s">
        <v>193</v>
      </c>
      <c r="AY115" t="s">
        <v>196</v>
      </c>
      <c r="AZ115" t="s">
        <v>208</v>
      </c>
      <c r="BA115" t="s">
        <v>183</v>
      </c>
      <c r="BB115" t="s">
        <v>183</v>
      </c>
      <c r="BC115" t="s">
        <v>183</v>
      </c>
      <c r="BD115" t="s">
        <v>183</v>
      </c>
    </row>
    <row r="116" hidden="1" spans="1:56">
      <c r="A116">
        <v>115</v>
      </c>
      <c r="B116" t="s">
        <v>272</v>
      </c>
      <c r="C116">
        <v>2022</v>
      </c>
      <c r="D116">
        <v>2006</v>
      </c>
      <c r="E116">
        <v>2013</v>
      </c>
      <c r="F116" t="s">
        <v>262</v>
      </c>
      <c r="G116"/>
      <c r="H116" t="s">
        <v>264</v>
      </c>
      <c r="I116"/>
      <c r="J116" t="s">
        <v>252</v>
      </c>
      <c r="K116" t="b">
        <v>0</v>
      </c>
      <c r="L116" t="b">
        <v>0</v>
      </c>
      <c r="M116" t="b">
        <v>0</v>
      </c>
      <c r="N116" t="b">
        <v>0</v>
      </c>
      <c r="O116" t="b">
        <v>1</v>
      </c>
      <c r="P116" t="b">
        <v>0</v>
      </c>
      <c r="Q116" t="b">
        <v>0</v>
      </c>
      <c r="R116" t="b">
        <v>0</v>
      </c>
      <c r="S116" t="b">
        <v>0</v>
      </c>
      <c r="T116" t="b">
        <v>0</v>
      </c>
      <c r="U116" t="b">
        <v>0</v>
      </c>
      <c r="V116" t="b">
        <v>0</v>
      </c>
      <c r="W116" t="b">
        <v>0</v>
      </c>
      <c r="X116" t="b">
        <v>0</v>
      </c>
      <c r="Y116" t="b">
        <v>0</v>
      </c>
      <c r="Z116" t="b">
        <v>0</v>
      </c>
      <c r="AA116" t="b">
        <v>0</v>
      </c>
      <c r="AB116" t="b">
        <v>0</v>
      </c>
      <c r="AC116" t="s">
        <v>175</v>
      </c>
      <c r="AD116" t="s">
        <v>177</v>
      </c>
      <c r="AE116" t="s">
        <v>175</v>
      </c>
      <c r="AF116" t="s">
        <v>179</v>
      </c>
      <c r="AG116" t="s">
        <v>181</v>
      </c>
      <c r="AH116" t="s">
        <v>173</v>
      </c>
      <c r="AI116" t="s">
        <v>175</v>
      </c>
      <c r="AJ116" t="s">
        <v>175</v>
      </c>
      <c r="AK116" t="s">
        <v>173</v>
      </c>
      <c r="AL116" t="s">
        <v>173</v>
      </c>
      <c r="AM116" t="s">
        <v>173</v>
      </c>
      <c r="AN116" t="s">
        <v>177</v>
      </c>
      <c r="AO116" t="s">
        <v>171</v>
      </c>
      <c r="AP116" t="s">
        <v>171</v>
      </c>
      <c r="AQ116" t="s">
        <v>171</v>
      </c>
      <c r="AR116" t="s">
        <v>171</v>
      </c>
      <c r="AS116" t="s">
        <v>171</v>
      </c>
      <c r="AT116" t="s">
        <v>171</v>
      </c>
      <c r="AU116" t="s">
        <v>173</v>
      </c>
      <c r="AV116" t="s">
        <v>173</v>
      </c>
      <c r="AW116" t="s">
        <v>173</v>
      </c>
      <c r="AX116" t="s">
        <v>192</v>
      </c>
      <c r="AY116" t="s">
        <v>199</v>
      </c>
      <c r="AZ116" t="s">
        <v>183</v>
      </c>
      <c r="BA116" t="s">
        <v>183</v>
      </c>
      <c r="BB116" t="s">
        <v>183</v>
      </c>
      <c r="BC116" t="s">
        <v>183</v>
      </c>
      <c r="BD116" t="s">
        <v>183</v>
      </c>
    </row>
    <row r="117" hidden="1" spans="1:56">
      <c r="A117">
        <v>116</v>
      </c>
      <c r="B117" t="s">
        <v>259</v>
      </c>
      <c r="C117">
        <v>2022</v>
      </c>
      <c r="D117">
        <v>1983</v>
      </c>
      <c r="E117" t="s">
        <v>247</v>
      </c>
      <c r="F117" t="s">
        <v>256</v>
      </c>
      <c r="G117" t="s">
        <v>263</v>
      </c>
      <c r="H117" t="s">
        <v>274</v>
      </c>
      <c r="I117"/>
      <c r="J117" t="s">
        <v>252</v>
      </c>
      <c r="K117" t="b">
        <v>0</v>
      </c>
      <c r="L117" t="b">
        <v>0</v>
      </c>
      <c r="M117" t="b">
        <v>0</v>
      </c>
      <c r="N117" t="b">
        <v>0</v>
      </c>
      <c r="O117" t="b">
        <v>0</v>
      </c>
      <c r="P117" t="b">
        <v>0</v>
      </c>
      <c r="Q117" t="b">
        <v>0</v>
      </c>
      <c r="R117" t="b">
        <v>0</v>
      </c>
      <c r="S117" t="b">
        <v>0</v>
      </c>
      <c r="T117" t="b">
        <v>0</v>
      </c>
      <c r="U117" t="b">
        <v>0</v>
      </c>
      <c r="V117" t="b">
        <v>0</v>
      </c>
      <c r="W117" t="b">
        <v>0</v>
      </c>
      <c r="X117" t="b">
        <v>0</v>
      </c>
      <c r="Y117" t="b">
        <v>0</v>
      </c>
      <c r="Z117" t="b">
        <v>1</v>
      </c>
      <c r="AA117" t="b">
        <v>0</v>
      </c>
      <c r="AB117" t="b">
        <v>0</v>
      </c>
      <c r="AC117" t="s">
        <v>173</v>
      </c>
      <c r="AD117" t="s">
        <v>173</v>
      </c>
      <c r="AE117" t="s">
        <v>173</v>
      </c>
      <c r="AF117" t="s">
        <v>173</v>
      </c>
      <c r="AG117" t="s">
        <v>173</v>
      </c>
      <c r="AH117" t="s">
        <v>173</v>
      </c>
      <c r="AI117" t="s">
        <v>173</v>
      </c>
      <c r="AJ117" t="s">
        <v>173</v>
      </c>
      <c r="AK117" t="s">
        <v>173</v>
      </c>
      <c r="AL117" t="s">
        <v>173</v>
      </c>
      <c r="AM117" t="s">
        <v>173</v>
      </c>
      <c r="AN117" t="s">
        <v>173</v>
      </c>
      <c r="AO117" t="s">
        <v>171</v>
      </c>
      <c r="AP117" t="s">
        <v>171</v>
      </c>
      <c r="AQ117" t="s">
        <v>171</v>
      </c>
      <c r="AR117" t="s">
        <v>173</v>
      </c>
      <c r="AS117" t="s">
        <v>173</v>
      </c>
      <c r="AT117" t="s">
        <v>173</v>
      </c>
      <c r="AU117" t="s">
        <v>173</v>
      </c>
      <c r="AV117" t="s">
        <v>173</v>
      </c>
      <c r="AW117" t="s">
        <v>173</v>
      </c>
      <c r="AX117" t="s">
        <v>192</v>
      </c>
      <c r="AY117" t="s">
        <v>196</v>
      </c>
      <c r="AZ117" t="s">
        <v>183</v>
      </c>
      <c r="BA117" t="s">
        <v>183</v>
      </c>
      <c r="BB117" t="s">
        <v>183</v>
      </c>
      <c r="BC117" t="s">
        <v>183</v>
      </c>
      <c r="BD117" t="s">
        <v>183</v>
      </c>
    </row>
    <row r="118" hidden="1" spans="1:56">
      <c r="A118">
        <v>117</v>
      </c>
      <c r="B118" t="s">
        <v>255</v>
      </c>
      <c r="C118">
        <v>2022</v>
      </c>
      <c r="D118">
        <v>1985</v>
      </c>
      <c r="E118">
        <v>1985</v>
      </c>
      <c r="F118"/>
      <c r="G118"/>
      <c r="H118" t="s">
        <v>261</v>
      </c>
      <c r="I118"/>
      <c r="J118" t="s">
        <v>252</v>
      </c>
      <c r="K118" t="b">
        <v>0</v>
      </c>
      <c r="L118" t="b">
        <v>0</v>
      </c>
      <c r="M118" t="b">
        <v>1</v>
      </c>
      <c r="N118" t="b">
        <v>0</v>
      </c>
      <c r="O118" t="b">
        <v>1</v>
      </c>
      <c r="P118" t="b">
        <v>0</v>
      </c>
      <c r="Q118" t="b">
        <v>1</v>
      </c>
      <c r="R118" t="b">
        <v>0</v>
      </c>
      <c r="S118" t="b">
        <v>0</v>
      </c>
      <c r="T118" t="b">
        <v>0</v>
      </c>
      <c r="U118" t="b">
        <v>0</v>
      </c>
      <c r="V118" t="b">
        <v>0</v>
      </c>
      <c r="W118" t="b">
        <v>0</v>
      </c>
      <c r="X118" t="b">
        <v>0</v>
      </c>
      <c r="Y118" t="b">
        <v>0</v>
      </c>
      <c r="Z118" t="b">
        <v>0</v>
      </c>
      <c r="AA118" t="b">
        <v>0</v>
      </c>
      <c r="AB118" t="b">
        <v>0</v>
      </c>
      <c r="AC118" t="s">
        <v>177</v>
      </c>
      <c r="AD118" t="s">
        <v>179</v>
      </c>
      <c r="AE118" t="s">
        <v>179</v>
      </c>
      <c r="AF118" t="s">
        <v>179</v>
      </c>
      <c r="AG118" t="s">
        <v>173</v>
      </c>
      <c r="AH118" t="s">
        <v>173</v>
      </c>
      <c r="AI118" t="s">
        <v>179</v>
      </c>
      <c r="AJ118" t="s">
        <v>179</v>
      </c>
      <c r="AK118" t="s">
        <v>177</v>
      </c>
      <c r="AL118" t="s">
        <v>177</v>
      </c>
      <c r="AM118" t="s">
        <v>179</v>
      </c>
      <c r="AN118" t="s">
        <v>179</v>
      </c>
      <c r="AO118" t="s">
        <v>179</v>
      </c>
      <c r="AP118" t="s">
        <v>179</v>
      </c>
      <c r="AQ118" t="s">
        <v>179</v>
      </c>
      <c r="AR118" t="s">
        <v>177</v>
      </c>
      <c r="AS118" t="s">
        <v>177</v>
      </c>
      <c r="AT118" t="s">
        <v>177</v>
      </c>
      <c r="AU118" t="s">
        <v>177</v>
      </c>
      <c r="AV118" t="s">
        <v>175</v>
      </c>
      <c r="AW118" t="s">
        <v>173</v>
      </c>
      <c r="AX118" t="s">
        <v>193</v>
      </c>
      <c r="AY118" t="s">
        <v>196</v>
      </c>
      <c r="AZ118" t="s">
        <v>183</v>
      </c>
      <c r="BA118" t="s">
        <v>183</v>
      </c>
      <c r="BB118" t="s">
        <v>183</v>
      </c>
      <c r="BC118" t="s">
        <v>183</v>
      </c>
      <c r="BD118" t="s">
        <v>183</v>
      </c>
    </row>
    <row r="119" hidden="1" spans="1:56">
      <c r="A119">
        <v>118</v>
      </c>
      <c r="B119" t="s">
        <v>280</v>
      </c>
      <c r="C119">
        <v>2022</v>
      </c>
      <c r="D119">
        <v>1995</v>
      </c>
      <c r="E119">
        <v>1995</v>
      </c>
      <c r="F119" t="s">
        <v>266</v>
      </c>
      <c r="G119"/>
      <c r="H119" t="s">
        <v>274</v>
      </c>
      <c r="I119"/>
      <c r="J119" t="s">
        <v>265</v>
      </c>
      <c r="K119" t="b">
        <v>0</v>
      </c>
      <c r="L119" t="b">
        <v>0</v>
      </c>
      <c r="M119" t="b">
        <v>0</v>
      </c>
      <c r="N119" t="b">
        <v>1</v>
      </c>
      <c r="O119" t="b">
        <v>0</v>
      </c>
      <c r="P119" t="b">
        <v>0</v>
      </c>
      <c r="Q119" t="b">
        <v>0</v>
      </c>
      <c r="R119" t="b">
        <v>0</v>
      </c>
      <c r="S119" t="b">
        <v>0</v>
      </c>
      <c r="T119" t="b">
        <v>0</v>
      </c>
      <c r="U119" t="b">
        <v>0</v>
      </c>
      <c r="V119" t="b">
        <v>0</v>
      </c>
      <c r="W119" t="b">
        <v>0</v>
      </c>
      <c r="X119" t="b">
        <v>0</v>
      </c>
      <c r="Y119" t="b">
        <v>0</v>
      </c>
      <c r="Z119" t="b">
        <v>0</v>
      </c>
      <c r="AA119" t="b">
        <v>0</v>
      </c>
      <c r="AB119" t="b">
        <v>0</v>
      </c>
      <c r="AC119" t="s">
        <v>177</v>
      </c>
      <c r="AD119" t="s">
        <v>177</v>
      </c>
      <c r="AE119" t="s">
        <v>179</v>
      </c>
      <c r="AF119" t="s">
        <v>179</v>
      </c>
      <c r="AG119" t="s">
        <v>179</v>
      </c>
      <c r="AH119" t="s">
        <v>173</v>
      </c>
      <c r="AI119" t="s">
        <v>179</v>
      </c>
      <c r="AJ119" t="s">
        <v>179</v>
      </c>
      <c r="AK119" t="s">
        <v>179</v>
      </c>
      <c r="AL119" t="s">
        <v>179</v>
      </c>
      <c r="AM119" t="s">
        <v>179</v>
      </c>
      <c r="AN119" t="s">
        <v>179</v>
      </c>
      <c r="AO119" t="s">
        <v>183</v>
      </c>
      <c r="AP119" t="s">
        <v>175</v>
      </c>
      <c r="AQ119" t="s">
        <v>175</v>
      </c>
      <c r="AR119" t="s">
        <v>179</v>
      </c>
      <c r="AS119" t="s">
        <v>179</v>
      </c>
      <c r="AT119" t="s">
        <v>179</v>
      </c>
      <c r="AU119" t="s">
        <v>179</v>
      </c>
      <c r="AV119" t="s">
        <v>179</v>
      </c>
      <c r="AW119" t="s">
        <v>179</v>
      </c>
      <c r="AX119" t="s">
        <v>192</v>
      </c>
      <c r="AY119" t="s">
        <v>196</v>
      </c>
      <c r="AZ119" t="s">
        <v>183</v>
      </c>
      <c r="BA119" t="s">
        <v>183</v>
      </c>
      <c r="BB119" t="s">
        <v>183</v>
      </c>
      <c r="BC119" t="s">
        <v>183</v>
      </c>
      <c r="BD119" t="s">
        <v>183</v>
      </c>
    </row>
    <row r="120" hidden="1" spans="1:56">
      <c r="A120">
        <v>119</v>
      </c>
      <c r="B120" t="s">
        <v>269</v>
      </c>
      <c r="C120">
        <v>2022</v>
      </c>
      <c r="D120">
        <v>2019</v>
      </c>
      <c r="E120">
        <v>2019</v>
      </c>
      <c r="F120" t="s">
        <v>256</v>
      </c>
      <c r="G120" t="s">
        <v>263</v>
      </c>
      <c r="H120" t="s">
        <v>247</v>
      </c>
      <c r="I120"/>
      <c r="J120" t="s">
        <v>252</v>
      </c>
      <c r="K120" t="b">
        <v>1</v>
      </c>
      <c r="L120" t="b">
        <v>0</v>
      </c>
      <c r="M120" t="b">
        <v>0</v>
      </c>
      <c r="N120" t="b">
        <v>0</v>
      </c>
      <c r="O120" t="b">
        <v>0</v>
      </c>
      <c r="P120" t="b">
        <v>0</v>
      </c>
      <c r="Q120" t="b">
        <v>0</v>
      </c>
      <c r="R120" t="b">
        <v>0</v>
      </c>
      <c r="S120" t="b">
        <v>0</v>
      </c>
      <c r="T120" t="b">
        <v>0</v>
      </c>
      <c r="U120" t="b">
        <v>0</v>
      </c>
      <c r="V120" t="b">
        <v>0</v>
      </c>
      <c r="W120" t="b">
        <v>0</v>
      </c>
      <c r="X120" t="b">
        <v>0</v>
      </c>
      <c r="Y120" t="b">
        <v>0</v>
      </c>
      <c r="Z120" t="b">
        <v>1</v>
      </c>
      <c r="AA120" t="b">
        <v>1</v>
      </c>
      <c r="AB120" t="b">
        <v>0</v>
      </c>
      <c r="AC120" t="s">
        <v>171</v>
      </c>
      <c r="AD120" t="s">
        <v>175</v>
      </c>
      <c r="AE120" t="s">
        <v>173</v>
      </c>
      <c r="AF120" t="s">
        <v>175</v>
      </c>
      <c r="AG120" t="s">
        <v>177</v>
      </c>
      <c r="AH120" t="s">
        <v>177</v>
      </c>
      <c r="AI120" t="s">
        <v>175</v>
      </c>
      <c r="AJ120" t="s">
        <v>173</v>
      </c>
      <c r="AK120" t="s">
        <v>171</v>
      </c>
      <c r="AL120" t="s">
        <v>171</v>
      </c>
      <c r="AM120" t="s">
        <v>171</v>
      </c>
      <c r="AN120" t="s">
        <v>171</v>
      </c>
      <c r="AO120" t="s">
        <v>175</v>
      </c>
      <c r="AP120" t="s">
        <v>173</v>
      </c>
      <c r="AQ120" t="s">
        <v>171</v>
      </c>
      <c r="AR120" t="s">
        <v>173</v>
      </c>
      <c r="AS120" t="s">
        <v>173</v>
      </c>
      <c r="AT120" t="s">
        <v>171</v>
      </c>
      <c r="AU120" t="s">
        <v>173</v>
      </c>
      <c r="AV120" t="s">
        <v>175</v>
      </c>
      <c r="AW120" t="s">
        <v>175</v>
      </c>
      <c r="AX120" t="s">
        <v>192</v>
      </c>
      <c r="AY120" t="s">
        <v>198</v>
      </c>
      <c r="AZ120" t="s">
        <v>183</v>
      </c>
      <c r="BA120" t="s">
        <v>183</v>
      </c>
      <c r="BB120" t="s">
        <v>183</v>
      </c>
      <c r="BC120" t="s">
        <v>183</v>
      </c>
      <c r="BD120" t="s">
        <v>183</v>
      </c>
    </row>
    <row r="121" spans="1:65">
      <c r="A121">
        <v>120</v>
      </c>
      <c r="B121" t="s">
        <v>284</v>
      </c>
      <c r="C121" s="10">
        <v>2022</v>
      </c>
      <c r="D121" s="10">
        <v>2017</v>
      </c>
      <c r="E121" s="10">
        <v>2020</v>
      </c>
      <c r="F121" s="10" t="s">
        <v>241</v>
      </c>
      <c r="G121" s="10" t="s">
        <v>249</v>
      </c>
      <c r="H121" s="10" t="s">
        <v>243</v>
      </c>
      <c r="I121" s="10" t="s">
        <v>278</v>
      </c>
      <c r="J121" s="10" t="s">
        <v>285</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1</v>
      </c>
      <c r="AC121" s="10" t="s">
        <v>175</v>
      </c>
      <c r="AD121" t="s">
        <v>173</v>
      </c>
      <c r="AE121" t="s">
        <v>175</v>
      </c>
      <c r="AF121" t="s">
        <v>173</v>
      </c>
      <c r="AG121" t="s">
        <v>173</v>
      </c>
      <c r="AH121" t="s">
        <v>173</v>
      </c>
      <c r="AI121" t="s">
        <v>173</v>
      </c>
      <c r="AJ121" t="s">
        <v>173</v>
      </c>
      <c r="AK121" t="s">
        <v>173</v>
      </c>
      <c r="AL121" t="s">
        <v>173</v>
      </c>
      <c r="AM121" t="s">
        <v>175</v>
      </c>
      <c r="AN121" t="s">
        <v>173</v>
      </c>
      <c r="AO121" t="s">
        <v>173</v>
      </c>
      <c r="AP121" t="s">
        <v>173</v>
      </c>
      <c r="AQ121" t="s">
        <v>173</v>
      </c>
      <c r="AR121" t="s">
        <v>173</v>
      </c>
      <c r="AS121" t="s">
        <v>173</v>
      </c>
      <c r="AT121" t="s">
        <v>173</v>
      </c>
      <c r="AU121" t="s">
        <v>173</v>
      </c>
      <c r="AV121" t="s">
        <v>177</v>
      </c>
      <c r="AW121" t="s">
        <v>175</v>
      </c>
      <c r="AX121" t="s">
        <v>193</v>
      </c>
      <c r="AY121" t="s">
        <v>203</v>
      </c>
      <c r="AZ121" t="s">
        <v>207</v>
      </c>
      <c r="BA121" t="s">
        <v>207</v>
      </c>
      <c r="BB121" t="s">
        <v>207</v>
      </c>
      <c r="BC121" t="s">
        <v>207</v>
      </c>
      <c r="BD121" t="s">
        <v>207</v>
      </c>
      <c r="BE121" t="str">
        <f>IF(AY121="","Unknown",AY121)</f>
        <v>31-35</v>
      </c>
      <c r="BF121" s="11" t="str">
        <f>IF(AZ121="","unknown",AZ121)</f>
        <v>NO</v>
      </c>
      <c r="BG121" s="11" t="str">
        <f>IF(BA121="","UNKNOWN",BA121)</f>
        <v>NO</v>
      </c>
      <c r="BH121" s="11" t="str">
        <f>IF(BB121="","unknown",BB121)</f>
        <v>NO</v>
      </c>
      <c r="BI121" s="11" t="str">
        <f>IF(BC121="","Unknon",BC121)</f>
        <v>NO</v>
      </c>
      <c r="BJ121" s="11" t="str">
        <f>IF(BD121="","Unknown",BD121)</f>
        <v>NO</v>
      </c>
      <c r="BK121" s="11">
        <f>VALUE(C121)-VALUE(D121)</f>
        <v>5</v>
      </c>
      <c r="BM121" s="11"/>
    </row>
    <row r="122" spans="1:65">
      <c r="A122">
        <v>121</v>
      </c>
      <c r="B122" t="s">
        <v>286</v>
      </c>
      <c r="C122" s="10">
        <v>2022</v>
      </c>
      <c r="D122" s="10">
        <v>2018</v>
      </c>
      <c r="E122" s="10">
        <v>2018</v>
      </c>
      <c r="F122" s="10" t="s">
        <v>241</v>
      </c>
      <c r="G122" s="10" t="s">
        <v>249</v>
      </c>
      <c r="H122" s="10" t="s">
        <v>243</v>
      </c>
      <c r="I122" s="10" t="s">
        <v>271</v>
      </c>
      <c r="J122" s="10" t="s">
        <v>285</v>
      </c>
      <c r="K122" t="b">
        <v>0</v>
      </c>
      <c r="L122" t="b">
        <v>0</v>
      </c>
      <c r="M122" t="b">
        <v>0</v>
      </c>
      <c r="N122" t="b">
        <v>1</v>
      </c>
      <c r="O122" t="b">
        <v>0</v>
      </c>
      <c r="P122" t="b">
        <v>0</v>
      </c>
      <c r="Q122" t="b">
        <v>1</v>
      </c>
      <c r="R122" t="b">
        <v>0</v>
      </c>
      <c r="S122" t="b">
        <v>0</v>
      </c>
      <c r="T122" t="b">
        <v>1</v>
      </c>
      <c r="U122" t="b">
        <v>0</v>
      </c>
      <c r="V122" t="b">
        <v>0</v>
      </c>
      <c r="W122" t="b">
        <v>0</v>
      </c>
      <c r="X122" t="b">
        <v>0</v>
      </c>
      <c r="Y122" t="b">
        <v>0</v>
      </c>
      <c r="Z122" t="b">
        <v>0</v>
      </c>
      <c r="AA122" t="b">
        <v>0</v>
      </c>
      <c r="AB122" t="b">
        <v>0</v>
      </c>
      <c r="AC122" s="10" t="s">
        <v>175</v>
      </c>
      <c r="AD122" t="s">
        <v>177</v>
      </c>
      <c r="AE122" t="s">
        <v>179</v>
      </c>
      <c r="AF122" t="s">
        <v>179</v>
      </c>
      <c r="AG122" t="s">
        <v>173</v>
      </c>
      <c r="AH122" t="s">
        <v>175</v>
      </c>
      <c r="AI122" t="s">
        <v>175</v>
      </c>
      <c r="AJ122" t="s">
        <v>179</v>
      </c>
      <c r="AK122" t="s">
        <v>179</v>
      </c>
      <c r="AL122" t="s">
        <v>177</v>
      </c>
      <c r="AM122" t="s">
        <v>179</v>
      </c>
      <c r="AN122" t="s">
        <v>175</v>
      </c>
      <c r="AO122" t="s">
        <v>179</v>
      </c>
      <c r="AP122" t="s">
        <v>179</v>
      </c>
      <c r="AQ122" t="s">
        <v>179</v>
      </c>
      <c r="AR122" t="s">
        <v>177</v>
      </c>
      <c r="AS122" t="s">
        <v>179</v>
      </c>
      <c r="AT122" t="s">
        <v>179</v>
      </c>
      <c r="AU122" t="s">
        <v>179</v>
      </c>
      <c r="AV122" t="s">
        <v>179</v>
      </c>
      <c r="AW122" t="s">
        <v>177</v>
      </c>
      <c r="AX122" t="s">
        <v>192</v>
      </c>
      <c r="AY122" t="s">
        <v>200</v>
      </c>
      <c r="AZ122" t="s">
        <v>207</v>
      </c>
      <c r="BA122" t="s">
        <v>207</v>
      </c>
      <c r="BB122" t="s">
        <v>207</v>
      </c>
      <c r="BC122" t="s">
        <v>207</v>
      </c>
      <c r="BD122" t="s">
        <v>207</v>
      </c>
      <c r="BE122" t="str">
        <f>IF(AY122="","Unknown",AY122)</f>
        <v>26-30</v>
      </c>
      <c r="BF122" s="11" t="str">
        <f>IF(AZ122="","unknown",AZ122)</f>
        <v>NO</v>
      </c>
      <c r="BG122" s="11" t="str">
        <f>IF(BA122="","UNKNOWN",BA122)</f>
        <v>NO</v>
      </c>
      <c r="BH122" s="11" t="str">
        <f>IF(BB122="","unknown",BB122)</f>
        <v>NO</v>
      </c>
      <c r="BI122" s="11" t="str">
        <f>IF(BC122="","Unknon",BC122)</f>
        <v>NO</v>
      </c>
      <c r="BJ122" s="11" t="str">
        <f>IF(BD122="","Unknown",BD122)</f>
        <v>NO</v>
      </c>
      <c r="BK122" s="11">
        <f>VALUE(C122)-VALUE(D122)</f>
        <v>4</v>
      </c>
      <c r="BM122" s="11"/>
    </row>
    <row r="123" hidden="1" spans="1:56">
      <c r="A123">
        <v>122</v>
      </c>
      <c r="B123" t="s">
        <v>288</v>
      </c>
      <c r="C123">
        <v>2022</v>
      </c>
      <c r="D123" t="s">
        <v>247</v>
      </c>
      <c r="E123" t="s">
        <v>247</v>
      </c>
      <c r="F123" t="s">
        <v>248</v>
      </c>
      <c r="G123" t="s">
        <v>242</v>
      </c>
      <c r="H123" t="s">
        <v>261</v>
      </c>
      <c r="I123"/>
      <c r="J123" t="s">
        <v>290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1</v>
      </c>
      <c r="AC123" t="s">
        <v>179</v>
      </c>
      <c r="AD123" t="s">
        <v>177</v>
      </c>
      <c r="AE123" t="s">
        <v>179</v>
      </c>
      <c r="AF123" t="s">
        <v>179</v>
      </c>
      <c r="AG123" t="s">
        <v>177</v>
      </c>
      <c r="AH123" t="s">
        <v>177</v>
      </c>
      <c r="AI123" t="s">
        <v>177</v>
      </c>
      <c r="AJ123" t="s">
        <v>179</v>
      </c>
      <c r="AK123" t="s">
        <v>177</v>
      </c>
      <c r="AL123" t="s">
        <v>177</v>
      </c>
      <c r="AM123" t="s">
        <v>171</v>
      </c>
      <c r="AN123" t="s">
        <v>179</v>
      </c>
      <c r="AO123" t="s">
        <v>175</v>
      </c>
      <c r="AP123" t="s">
        <v>177</v>
      </c>
      <c r="AQ123" t="s">
        <v>177</v>
      </c>
      <c r="AR123" t="s">
        <v>179</v>
      </c>
      <c r="AS123" t="s">
        <v>179</v>
      </c>
      <c r="AT123" t="s">
        <v>179</v>
      </c>
      <c r="AU123" t="s">
        <v>179</v>
      </c>
      <c r="AV123" t="s">
        <v>179</v>
      </c>
      <c r="AW123" t="s">
        <v>179</v>
      </c>
      <c r="AX123" t="s">
        <v>193</v>
      </c>
      <c r="AY123" t="s">
        <v>203</v>
      </c>
      <c r="AZ123" t="s">
        <v>183</v>
      </c>
      <c r="BA123" t="s">
        <v>183</v>
      </c>
      <c r="BB123" t="s">
        <v>183</v>
      </c>
      <c r="BC123" t="s">
        <v>183</v>
      </c>
      <c r="BD123" t="s">
        <v>183</v>
      </c>
    </row>
    <row r="124" hidden="1" spans="1:56">
      <c r="A124">
        <v>123</v>
      </c>
      <c r="B124" t="s">
        <v>259</v>
      </c>
      <c r="C124">
        <v>2022</v>
      </c>
      <c r="D124">
        <v>1988</v>
      </c>
      <c r="E124">
        <v>1988</v>
      </c>
      <c r="F124" t="s">
        <v>256</v>
      </c>
      <c r="G124" t="s">
        <v>263</v>
      </c>
      <c r="H124" t="s">
        <v>274</v>
      </c>
      <c r="I124"/>
      <c r="J124" t="s">
        <v>252</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1</v>
      </c>
      <c r="AC124" t="s">
        <v>175</v>
      </c>
      <c r="AD124" t="s">
        <v>175</v>
      </c>
      <c r="AE124" t="s">
        <v>175</v>
      </c>
      <c r="AF124" t="s">
        <v>175</v>
      </c>
      <c r="AG124" t="s">
        <v>175</v>
      </c>
      <c r="AH124" t="s">
        <v>175</v>
      </c>
      <c r="AI124" t="s">
        <v>175</v>
      </c>
      <c r="AJ124" t="s">
        <v>175</v>
      </c>
      <c r="AK124" t="s">
        <v>175</v>
      </c>
      <c r="AL124" t="s">
        <v>175</v>
      </c>
      <c r="AM124" t="s">
        <v>175</v>
      </c>
      <c r="AN124" t="s">
        <v>175</v>
      </c>
      <c r="AO124" t="s">
        <v>175</v>
      </c>
      <c r="AP124" t="s">
        <v>175</v>
      </c>
      <c r="AQ124" t="s">
        <v>175</v>
      </c>
      <c r="AR124" t="s">
        <v>175</v>
      </c>
      <c r="AS124" t="s">
        <v>175</v>
      </c>
      <c r="AT124" t="s">
        <v>175</v>
      </c>
      <c r="AU124" t="s">
        <v>175</v>
      </c>
      <c r="AV124" t="s">
        <v>175</v>
      </c>
      <c r="AW124" t="s">
        <v>175</v>
      </c>
      <c r="AX124" t="s">
        <v>193</v>
      </c>
      <c r="AY124" t="s">
        <v>195</v>
      </c>
      <c r="AZ124" t="s">
        <v>183</v>
      </c>
      <c r="BA124" t="s">
        <v>183</v>
      </c>
      <c r="BB124" t="s">
        <v>183</v>
      </c>
      <c r="BC124" t="s">
        <v>183</v>
      </c>
      <c r="BD124" t="s">
        <v>183</v>
      </c>
    </row>
    <row r="125" hidden="1" spans="1:56">
      <c r="A125">
        <v>124</v>
      </c>
      <c r="B125" t="s">
        <v>280</v>
      </c>
      <c r="C125">
        <v>2022</v>
      </c>
      <c r="D125" t="s">
        <v>247</v>
      </c>
      <c r="E125" t="s">
        <v>247</v>
      </c>
      <c r="F125" t="s">
        <v>253</v>
      </c>
      <c r="G125"/>
      <c r="H125" t="s">
        <v>247</v>
      </c>
      <c r="I125"/>
      <c r="J125" t="s">
        <v>265</v>
      </c>
      <c r="K125" t="b">
        <v>0</v>
      </c>
      <c r="L125" t="b">
        <v>0</v>
      </c>
      <c r="M125" t="b">
        <v>0</v>
      </c>
      <c r="N125" t="b">
        <v>0</v>
      </c>
      <c r="O125" t="b">
        <v>0</v>
      </c>
      <c r="P125" t="b">
        <v>0</v>
      </c>
      <c r="Q125" t="b">
        <v>0</v>
      </c>
      <c r="R125" t="b">
        <v>0</v>
      </c>
      <c r="S125" t="b">
        <v>0</v>
      </c>
      <c r="T125" t="b">
        <v>0</v>
      </c>
      <c r="U125" t="b">
        <v>0</v>
      </c>
      <c r="V125" t="b">
        <v>0</v>
      </c>
      <c r="W125" t="b">
        <v>0</v>
      </c>
      <c r="X125" t="b">
        <v>1</v>
      </c>
      <c r="Y125" t="b">
        <v>0</v>
      </c>
      <c r="Z125" t="b">
        <v>0</v>
      </c>
      <c r="AA125" t="b">
        <v>0</v>
      </c>
      <c r="AB125" t="b">
        <v>0</v>
      </c>
      <c r="AC125" t="s">
        <v>173</v>
      </c>
      <c r="AD125" t="s">
        <v>179</v>
      </c>
      <c r="AE125" t="s">
        <v>179</v>
      </c>
      <c r="AF125" t="s">
        <v>173</v>
      </c>
      <c r="AG125" t="s">
        <v>179</v>
      </c>
      <c r="AH125" t="s">
        <v>173</v>
      </c>
      <c r="AI125" t="s">
        <v>173</v>
      </c>
      <c r="AJ125" t="s">
        <v>175</v>
      </c>
      <c r="AK125" t="s">
        <v>175</v>
      </c>
      <c r="AL125" t="s">
        <v>175</v>
      </c>
      <c r="AM125" t="s">
        <v>175</v>
      </c>
      <c r="AN125" t="s">
        <v>175</v>
      </c>
      <c r="AO125" t="s">
        <v>177</v>
      </c>
      <c r="AP125" t="s">
        <v>175</v>
      </c>
      <c r="AQ125" t="s">
        <v>175</v>
      </c>
      <c r="AR125" t="s">
        <v>181</v>
      </c>
      <c r="AS125" t="s">
        <v>181</v>
      </c>
      <c r="AT125" t="s">
        <v>181</v>
      </c>
      <c r="AU125" t="s">
        <v>181</v>
      </c>
      <c r="AV125" t="s">
        <v>181</v>
      </c>
      <c r="AW125" t="s">
        <v>181</v>
      </c>
      <c r="AZ125" t="s">
        <v>183</v>
      </c>
      <c r="BA125" t="s">
        <v>183</v>
      </c>
      <c r="BB125" t="s">
        <v>183</v>
      </c>
      <c r="BC125" t="s">
        <v>183</v>
      </c>
      <c r="BD125" t="s">
        <v>183</v>
      </c>
    </row>
    <row r="126" hidden="1" spans="1:56">
      <c r="A126">
        <v>125</v>
      </c>
      <c r="B126" t="s">
        <v>269</v>
      </c>
      <c r="C126">
        <v>2022</v>
      </c>
      <c r="D126">
        <v>2021</v>
      </c>
      <c r="E126">
        <v>2021</v>
      </c>
      <c r="F126" t="s">
        <v>248</v>
      </c>
      <c r="G126" t="s">
        <v>242</v>
      </c>
      <c r="H126" t="s">
        <v>264</v>
      </c>
      <c r="I126"/>
      <c r="J126" t="s">
        <v>265</v>
      </c>
      <c r="K126" t="b">
        <v>0</v>
      </c>
      <c r="L126" t="b">
        <v>1</v>
      </c>
      <c r="M126" t="b">
        <v>0</v>
      </c>
      <c r="N126" t="b">
        <v>0</v>
      </c>
      <c r="O126" t="b">
        <v>0</v>
      </c>
      <c r="P126" t="b">
        <v>1</v>
      </c>
      <c r="Q126" t="b">
        <v>0</v>
      </c>
      <c r="R126" t="b">
        <v>0</v>
      </c>
      <c r="S126" t="b">
        <v>0</v>
      </c>
      <c r="T126" t="b">
        <v>1</v>
      </c>
      <c r="U126" t="b">
        <v>0</v>
      </c>
      <c r="V126" t="b">
        <v>0</v>
      </c>
      <c r="W126" t="b">
        <v>0</v>
      </c>
      <c r="X126" t="b">
        <v>0</v>
      </c>
      <c r="Y126" t="b">
        <v>0</v>
      </c>
      <c r="Z126" t="b">
        <v>0</v>
      </c>
      <c r="AA126" t="b">
        <v>0</v>
      </c>
      <c r="AB126" t="b">
        <v>0</v>
      </c>
      <c r="AC126" t="s">
        <v>175</v>
      </c>
      <c r="AD126" t="s">
        <v>175</v>
      </c>
      <c r="AE126" t="s">
        <v>173</v>
      </c>
      <c r="AF126" t="s">
        <v>171</v>
      </c>
      <c r="AG126" t="s">
        <v>177</v>
      </c>
      <c r="AH126" t="s">
        <v>171</v>
      </c>
      <c r="AI126" t="s">
        <v>171</v>
      </c>
      <c r="AJ126" t="s">
        <v>171</v>
      </c>
      <c r="AK126" t="s">
        <v>171</v>
      </c>
      <c r="AL126" t="s">
        <v>171</v>
      </c>
      <c r="AM126" t="s">
        <v>171</v>
      </c>
      <c r="AN126" t="s">
        <v>175</v>
      </c>
      <c r="AO126" t="s">
        <v>175</v>
      </c>
      <c r="AP126" t="s">
        <v>175</v>
      </c>
      <c r="AQ126" t="s">
        <v>177</v>
      </c>
      <c r="AR126" t="s">
        <v>173</v>
      </c>
      <c r="AS126" t="s">
        <v>173</v>
      </c>
      <c r="AT126" t="s">
        <v>173</v>
      </c>
      <c r="AU126" t="s">
        <v>171</v>
      </c>
      <c r="AV126" t="s">
        <v>175</v>
      </c>
      <c r="AW126" t="s">
        <v>171</v>
      </c>
      <c r="AX126" t="s">
        <v>192</v>
      </c>
      <c r="AY126" t="s">
        <v>201</v>
      </c>
      <c r="AZ126" t="s">
        <v>183</v>
      </c>
      <c r="BA126" t="s">
        <v>183</v>
      </c>
      <c r="BB126" t="s">
        <v>183</v>
      </c>
      <c r="BC126" t="s">
        <v>183</v>
      </c>
      <c r="BD126" t="s">
        <v>183</v>
      </c>
    </row>
    <row r="127" hidden="1" spans="1:56">
      <c r="A127">
        <v>126</v>
      </c>
      <c r="B127" t="s">
        <v>259</v>
      </c>
      <c r="C127">
        <v>2022</v>
      </c>
      <c r="D127">
        <v>2000</v>
      </c>
      <c r="E127">
        <v>2000</v>
      </c>
      <c r="F127" t="s">
        <v>275</v>
      </c>
      <c r="G127"/>
      <c r="H127" t="s">
        <v>273</v>
      </c>
      <c r="I127"/>
      <c r="J127" t="s">
        <v>265</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1</v>
      </c>
      <c r="AC127" t="s">
        <v>171</v>
      </c>
      <c r="AD127" t="s">
        <v>173</v>
      </c>
      <c r="AE127" t="s">
        <v>173</v>
      </c>
      <c r="AF127" t="s">
        <v>171</v>
      </c>
      <c r="AG127" t="s">
        <v>171</v>
      </c>
      <c r="AH127" t="s">
        <v>171</v>
      </c>
      <c r="AI127" t="s">
        <v>173</v>
      </c>
      <c r="AJ127" t="s">
        <v>171</v>
      </c>
      <c r="AK127" t="s">
        <v>173</v>
      </c>
      <c r="AL127" t="s">
        <v>175</v>
      </c>
      <c r="AM127" t="s">
        <v>173</v>
      </c>
      <c r="AN127" t="s">
        <v>173</v>
      </c>
      <c r="AO127" t="s">
        <v>181</v>
      </c>
      <c r="AP127" t="s">
        <v>181</v>
      </c>
      <c r="AQ127" t="s">
        <v>171</v>
      </c>
      <c r="AR127" t="s">
        <v>173</v>
      </c>
      <c r="AS127" t="s">
        <v>171</v>
      </c>
      <c r="AT127" t="s">
        <v>171</v>
      </c>
      <c r="AU127" t="s">
        <v>171</v>
      </c>
      <c r="AV127" t="s">
        <v>181</v>
      </c>
      <c r="AW127" t="s">
        <v>173</v>
      </c>
      <c r="AX127" t="s">
        <v>193</v>
      </c>
      <c r="AY127" t="s">
        <v>195</v>
      </c>
      <c r="AZ127" t="s">
        <v>183</v>
      </c>
      <c r="BA127" t="s">
        <v>183</v>
      </c>
      <c r="BB127" t="s">
        <v>183</v>
      </c>
      <c r="BC127" t="s">
        <v>183</v>
      </c>
      <c r="BD127" t="s">
        <v>208</v>
      </c>
    </row>
    <row r="128" hidden="1" spans="1:56">
      <c r="A128">
        <v>127</v>
      </c>
      <c r="B128" t="s">
        <v>255</v>
      </c>
      <c r="C128">
        <v>2022</v>
      </c>
      <c r="D128">
        <v>1989</v>
      </c>
      <c r="E128">
        <v>1998</v>
      </c>
      <c r="F128" t="s">
        <v>256</v>
      </c>
      <c r="G128" t="s">
        <v>263</v>
      </c>
      <c r="H128" t="s">
        <v>261</v>
      </c>
      <c r="I128"/>
      <c r="J128" t="s">
        <v>252</v>
      </c>
      <c r="K128" t="b">
        <v>0</v>
      </c>
      <c r="L128" t="b">
        <v>0</v>
      </c>
      <c r="M128" t="b">
        <v>0</v>
      </c>
      <c r="N128" t="b">
        <v>1</v>
      </c>
      <c r="O128" t="b">
        <v>1</v>
      </c>
      <c r="P128" t="b">
        <v>0</v>
      </c>
      <c r="Q128" t="b">
        <v>0</v>
      </c>
      <c r="R128" t="b">
        <v>0</v>
      </c>
      <c r="S128" t="b">
        <v>0</v>
      </c>
      <c r="T128" t="b">
        <v>0</v>
      </c>
      <c r="U128" t="b">
        <v>0</v>
      </c>
      <c r="V128" t="b">
        <v>0</v>
      </c>
      <c r="W128" t="b">
        <v>0</v>
      </c>
      <c r="X128" t="b">
        <v>0</v>
      </c>
      <c r="Y128" t="b">
        <v>0</v>
      </c>
      <c r="Z128" t="b">
        <v>0</v>
      </c>
      <c r="AA128" t="b">
        <v>0</v>
      </c>
      <c r="AB128" t="b">
        <v>0</v>
      </c>
      <c r="AC128" t="s">
        <v>173</v>
      </c>
      <c r="AD128" t="s">
        <v>175</v>
      </c>
      <c r="AE128" t="s">
        <v>177</v>
      </c>
      <c r="AF128" t="s">
        <v>177</v>
      </c>
      <c r="AG128" t="s">
        <v>173</v>
      </c>
      <c r="AH128" t="s">
        <v>173</v>
      </c>
      <c r="AI128" t="s">
        <v>173</v>
      </c>
      <c r="AJ128" t="s">
        <v>177</v>
      </c>
      <c r="AK128" t="s">
        <v>175</v>
      </c>
      <c r="AL128" t="s">
        <v>177</v>
      </c>
      <c r="AM128" t="s">
        <v>177</v>
      </c>
      <c r="AN128" t="s">
        <v>175</v>
      </c>
      <c r="AO128" t="s">
        <v>177</v>
      </c>
      <c r="AP128" t="s">
        <v>177</v>
      </c>
      <c r="AQ128" t="s">
        <v>177</v>
      </c>
      <c r="AR128" t="s">
        <v>173</v>
      </c>
      <c r="AS128" t="s">
        <v>177</v>
      </c>
      <c r="AT128" t="s">
        <v>173</v>
      </c>
      <c r="AU128" t="s">
        <v>173</v>
      </c>
      <c r="AV128" t="s">
        <v>177</v>
      </c>
      <c r="AW128" t="s">
        <v>173</v>
      </c>
      <c r="AX128" t="s">
        <v>193</v>
      </c>
      <c r="AY128" t="s">
        <v>197</v>
      </c>
      <c r="AZ128" t="s">
        <v>183</v>
      </c>
      <c r="BA128" t="s">
        <v>183</v>
      </c>
      <c r="BB128" t="s">
        <v>183</v>
      </c>
      <c r="BC128" t="s">
        <v>183</v>
      </c>
      <c r="BD128" t="s">
        <v>183</v>
      </c>
    </row>
    <row r="129" hidden="1" spans="1:56">
      <c r="A129">
        <v>128</v>
      </c>
      <c r="B129" t="s">
        <v>259</v>
      </c>
      <c r="C129">
        <v>2023</v>
      </c>
      <c r="D129">
        <v>1998</v>
      </c>
      <c r="E129">
        <v>1998</v>
      </c>
      <c r="F129" t="s">
        <v>256</v>
      </c>
      <c r="G129" t="s">
        <v>257</v>
      </c>
      <c r="H129" t="s">
        <v>247</v>
      </c>
      <c r="I129"/>
      <c r="J129" t="s">
        <v>252</v>
      </c>
      <c r="K129" t="b">
        <v>0</v>
      </c>
      <c r="L129" t="b">
        <v>0</v>
      </c>
      <c r="M129" t="b">
        <v>0</v>
      </c>
      <c r="N129" t="b">
        <v>0</v>
      </c>
      <c r="O129" t="b">
        <v>0</v>
      </c>
      <c r="P129" t="b">
        <v>0</v>
      </c>
      <c r="Q129" t="b">
        <v>0</v>
      </c>
      <c r="R129" t="b">
        <v>0</v>
      </c>
      <c r="S129" t="b">
        <v>0</v>
      </c>
      <c r="T129" t="b">
        <v>0</v>
      </c>
      <c r="U129" t="b">
        <v>0</v>
      </c>
      <c r="V129" t="b">
        <v>0</v>
      </c>
      <c r="W129" t="b">
        <v>0</v>
      </c>
      <c r="X129" t="b">
        <v>0</v>
      </c>
      <c r="Y129" t="b">
        <v>0</v>
      </c>
      <c r="Z129" t="b">
        <v>1</v>
      </c>
      <c r="AA129" t="b">
        <v>0</v>
      </c>
      <c r="AB129" t="b">
        <v>0</v>
      </c>
      <c r="AC129" t="s">
        <v>171</v>
      </c>
      <c r="AD129" t="s">
        <v>171</v>
      </c>
      <c r="AE129" t="s">
        <v>171</v>
      </c>
      <c r="AF129" t="s">
        <v>171</v>
      </c>
      <c r="AG129" t="s">
        <v>173</v>
      </c>
      <c r="AH129" t="s">
        <v>177</v>
      </c>
      <c r="AI129" t="s">
        <v>173</v>
      </c>
      <c r="AJ129" t="s">
        <v>171</v>
      </c>
      <c r="AK129" t="s">
        <v>171</v>
      </c>
      <c r="AL129" t="s">
        <v>173</v>
      </c>
      <c r="AM129" t="s">
        <v>171</v>
      </c>
      <c r="AN129" t="s">
        <v>171</v>
      </c>
      <c r="AO129" t="s">
        <v>171</v>
      </c>
      <c r="AP129" t="s">
        <v>171</v>
      </c>
      <c r="AQ129" t="s">
        <v>171</v>
      </c>
      <c r="AR129" t="s">
        <v>171</v>
      </c>
      <c r="AS129" t="s">
        <v>171</v>
      </c>
      <c r="AT129" t="s">
        <v>171</v>
      </c>
      <c r="AU129" t="s">
        <v>171</v>
      </c>
      <c r="AV129" t="s">
        <v>173</v>
      </c>
      <c r="AW129" t="s">
        <v>171</v>
      </c>
      <c r="AX129" t="s">
        <v>192</v>
      </c>
      <c r="AY129" t="s">
        <v>197</v>
      </c>
      <c r="AZ129" t="s">
        <v>183</v>
      </c>
      <c r="BA129" t="s">
        <v>183</v>
      </c>
      <c r="BB129" t="s">
        <v>183</v>
      </c>
      <c r="BC129" t="s">
        <v>183</v>
      </c>
      <c r="BD129" t="s">
        <v>183</v>
      </c>
    </row>
    <row r="130" hidden="1" spans="1:56">
      <c r="A130">
        <v>129</v>
      </c>
      <c r="B130" t="s">
        <v>259</v>
      </c>
      <c r="C130">
        <v>2022</v>
      </c>
      <c r="D130">
        <v>1986</v>
      </c>
      <c r="E130">
        <v>2010</v>
      </c>
      <c r="F130" t="s">
        <v>256</v>
      </c>
      <c r="G130"/>
      <c r="H130" t="s">
        <v>274</v>
      </c>
      <c r="I130"/>
      <c r="J130" t="s">
        <v>252</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1</v>
      </c>
      <c r="AC130" t="s">
        <v>173</v>
      </c>
      <c r="AD130" t="s">
        <v>175</v>
      </c>
      <c r="AE130" t="s">
        <v>175</v>
      </c>
      <c r="AF130" t="s">
        <v>175</v>
      </c>
      <c r="AG130" t="s">
        <v>173</v>
      </c>
      <c r="AH130" t="s">
        <v>173</v>
      </c>
      <c r="AI130" t="s">
        <v>175</v>
      </c>
      <c r="AJ130" t="s">
        <v>173</v>
      </c>
      <c r="AK130" t="s">
        <v>173</v>
      </c>
      <c r="AL130" t="s">
        <v>173</v>
      </c>
      <c r="AM130" t="s">
        <v>175</v>
      </c>
      <c r="AN130" t="s">
        <v>175</v>
      </c>
      <c r="AO130" t="s">
        <v>173</v>
      </c>
      <c r="AP130" t="s">
        <v>175</v>
      </c>
      <c r="AQ130" t="s">
        <v>173</v>
      </c>
      <c r="AR130" t="s">
        <v>175</v>
      </c>
      <c r="AS130" t="s">
        <v>173</v>
      </c>
      <c r="AT130" t="s">
        <v>173</v>
      </c>
      <c r="AU130" t="s">
        <v>173</v>
      </c>
      <c r="AV130" t="s">
        <v>175</v>
      </c>
      <c r="AW130" t="s">
        <v>173</v>
      </c>
      <c r="AX130" t="s">
        <v>193</v>
      </c>
      <c r="AY130" t="s">
        <v>196</v>
      </c>
      <c r="AZ130" t="s">
        <v>183</v>
      </c>
      <c r="BA130" t="s">
        <v>183</v>
      </c>
      <c r="BB130" t="s">
        <v>183</v>
      </c>
      <c r="BC130" t="s">
        <v>183</v>
      </c>
      <c r="BD130" t="s">
        <v>183</v>
      </c>
    </row>
    <row r="131" hidden="1" spans="1:56">
      <c r="A131">
        <v>130</v>
      </c>
      <c r="B131" t="s">
        <v>246</v>
      </c>
      <c r="C131">
        <v>2022</v>
      </c>
      <c r="D131">
        <v>1984</v>
      </c>
      <c r="E131">
        <v>2005</v>
      </c>
      <c r="F131" t="s">
        <v>260</v>
      </c>
      <c r="G131"/>
      <c r="H131" t="s">
        <v>268</v>
      </c>
      <c r="I131"/>
      <c r="J131" t="s">
        <v>265</v>
      </c>
      <c r="K131" t="b">
        <v>0</v>
      </c>
      <c r="L131" t="b">
        <v>0</v>
      </c>
      <c r="M131" t="b">
        <v>0</v>
      </c>
      <c r="N131" t="b">
        <v>0</v>
      </c>
      <c r="O131" t="b">
        <v>0</v>
      </c>
      <c r="P131" t="b">
        <v>0</v>
      </c>
      <c r="Q131" t="b">
        <v>0</v>
      </c>
      <c r="R131" t="b">
        <v>0</v>
      </c>
      <c r="S131" t="b">
        <v>0</v>
      </c>
      <c r="T131" t="b">
        <v>0</v>
      </c>
      <c r="U131" t="b">
        <v>0</v>
      </c>
      <c r="V131" t="b">
        <v>0</v>
      </c>
      <c r="W131" t="b">
        <v>0</v>
      </c>
      <c r="X131" t="b">
        <v>0</v>
      </c>
      <c r="Y131" t="b">
        <v>1</v>
      </c>
      <c r="Z131" t="b">
        <v>1</v>
      </c>
      <c r="AA131" t="b">
        <v>0</v>
      </c>
      <c r="AB131" t="b">
        <v>0</v>
      </c>
      <c r="AC131" t="s">
        <v>173</v>
      </c>
      <c r="AD131" t="s">
        <v>183</v>
      </c>
      <c r="AE131" t="s">
        <v>175</v>
      </c>
      <c r="AF131" t="s">
        <v>173</v>
      </c>
      <c r="AG131" t="s">
        <v>173</v>
      </c>
      <c r="AH131" t="s">
        <v>179</v>
      </c>
      <c r="AI131" t="s">
        <v>175</v>
      </c>
      <c r="AJ131" t="s">
        <v>173</v>
      </c>
      <c r="AK131" t="s">
        <v>173</v>
      </c>
      <c r="AL131" t="s">
        <v>173</v>
      </c>
      <c r="AM131" t="s">
        <v>173</v>
      </c>
      <c r="AN131" t="s">
        <v>171</v>
      </c>
      <c r="AO131" t="s">
        <v>173</v>
      </c>
      <c r="AP131" t="s">
        <v>173</v>
      </c>
      <c r="AQ131" t="s">
        <v>183</v>
      </c>
      <c r="AR131" t="s">
        <v>173</v>
      </c>
      <c r="AS131" t="s">
        <v>171</v>
      </c>
      <c r="AT131" t="s">
        <v>173</v>
      </c>
      <c r="AU131" t="s">
        <v>173</v>
      </c>
      <c r="AV131" t="s">
        <v>175</v>
      </c>
      <c r="AW131" t="s">
        <v>171</v>
      </c>
      <c r="AX131" t="s">
        <v>192</v>
      </c>
      <c r="AY131" t="s">
        <v>196</v>
      </c>
      <c r="AZ131" t="s">
        <v>183</v>
      </c>
      <c r="BA131" t="s">
        <v>183</v>
      </c>
      <c r="BB131" t="s">
        <v>183</v>
      </c>
      <c r="BC131" t="s">
        <v>183</v>
      </c>
      <c r="BD131" t="s">
        <v>183</v>
      </c>
    </row>
    <row r="132" spans="1:65">
      <c r="A132">
        <v>131</v>
      </c>
      <c r="B132" t="s">
        <v>277</v>
      </c>
      <c r="C132" s="10">
        <v>2022</v>
      </c>
      <c r="D132" s="10">
        <v>2021</v>
      </c>
      <c r="E132" s="10">
        <v>2021</v>
      </c>
      <c r="F132" s="10" t="s">
        <v>241</v>
      </c>
      <c r="G132" s="10" t="s">
        <v>249</v>
      </c>
      <c r="H132" s="10" t="s">
        <v>243</v>
      </c>
      <c r="I132" s="10" t="s">
        <v>278</v>
      </c>
      <c r="J132" s="10" t="s">
        <v>285</v>
      </c>
      <c r="K132" t="b">
        <v>1</v>
      </c>
      <c r="L132" t="b">
        <v>0</v>
      </c>
      <c r="M132" t="b">
        <v>0</v>
      </c>
      <c r="N132" t="b">
        <v>1</v>
      </c>
      <c r="O132" t="b">
        <v>0</v>
      </c>
      <c r="P132" t="b">
        <v>0</v>
      </c>
      <c r="Q132" t="b">
        <v>0</v>
      </c>
      <c r="R132" t="b">
        <v>1</v>
      </c>
      <c r="S132" t="b">
        <v>0</v>
      </c>
      <c r="T132" t="b">
        <v>0</v>
      </c>
      <c r="U132" t="b">
        <v>0</v>
      </c>
      <c r="V132" t="b">
        <v>0</v>
      </c>
      <c r="W132" t="b">
        <v>0</v>
      </c>
      <c r="X132" t="b">
        <v>0</v>
      </c>
      <c r="Y132" t="b">
        <v>0</v>
      </c>
      <c r="Z132" t="b">
        <v>0</v>
      </c>
      <c r="AA132" t="b">
        <v>0</v>
      </c>
      <c r="AB132" t="b">
        <v>0</v>
      </c>
      <c r="AC132" s="10" t="s">
        <v>177</v>
      </c>
      <c r="AD132" t="s">
        <v>179</v>
      </c>
      <c r="AE132" t="s">
        <v>177</v>
      </c>
      <c r="AF132" t="s">
        <v>179</v>
      </c>
      <c r="AG132" t="s">
        <v>173</v>
      </c>
      <c r="AH132" t="s">
        <v>173</v>
      </c>
      <c r="AI132" t="s">
        <v>173</v>
      </c>
      <c r="AJ132" t="s">
        <v>177</v>
      </c>
      <c r="AK132" t="s">
        <v>175</v>
      </c>
      <c r="AL132" t="s">
        <v>177</v>
      </c>
      <c r="AM132" t="s">
        <v>179</v>
      </c>
      <c r="AN132" t="s">
        <v>177</v>
      </c>
      <c r="AO132" t="s">
        <v>177</v>
      </c>
      <c r="AP132" t="s">
        <v>177</v>
      </c>
      <c r="AQ132" t="s">
        <v>179</v>
      </c>
      <c r="AR132" t="s">
        <v>177</v>
      </c>
      <c r="AS132" t="s">
        <v>175</v>
      </c>
      <c r="AT132" t="s">
        <v>175</v>
      </c>
      <c r="AU132" t="s">
        <v>177</v>
      </c>
      <c r="AV132" t="s">
        <v>179</v>
      </c>
      <c r="AW132" t="s">
        <v>179</v>
      </c>
      <c r="AX132" t="s">
        <v>193</v>
      </c>
      <c r="AY132" t="s">
        <v>197</v>
      </c>
      <c r="AZ132" t="s">
        <v>207</v>
      </c>
      <c r="BA132" t="s">
        <v>207</v>
      </c>
      <c r="BB132" t="s">
        <v>207</v>
      </c>
      <c r="BC132" t="s">
        <v>207</v>
      </c>
      <c r="BD132" t="s">
        <v>207</v>
      </c>
      <c r="BE132" t="str">
        <f>IF(AY132="","Unknown",AY132)</f>
        <v>51-55</v>
      </c>
      <c r="BF132" s="11" t="str">
        <f>IF(AZ132="","unknown",AZ132)</f>
        <v>NO</v>
      </c>
      <c r="BG132" s="11" t="str">
        <f>IF(BA132="","UNKNOWN",BA132)</f>
        <v>NO</v>
      </c>
      <c r="BH132" s="11" t="str">
        <f>IF(BB132="","unknown",BB132)</f>
        <v>NO</v>
      </c>
      <c r="BI132" s="11" t="str">
        <f>IF(BC132="","Unknon",BC132)</f>
        <v>NO</v>
      </c>
      <c r="BJ132" s="11" t="str">
        <f>IF(BD132="","Unknown",BD132)</f>
        <v>NO</v>
      </c>
      <c r="BK132" s="11">
        <f>VALUE(C132)-VALUE(D132)</f>
        <v>1</v>
      </c>
      <c r="BM132" s="11"/>
    </row>
    <row r="133" hidden="1" spans="1:56">
      <c r="A133">
        <v>132</v>
      </c>
      <c r="B133" t="s">
        <v>259</v>
      </c>
      <c r="C133">
        <v>2022</v>
      </c>
      <c r="D133">
        <v>1999</v>
      </c>
      <c r="E133">
        <v>2001</v>
      </c>
      <c r="F133" t="s">
        <v>266</v>
      </c>
      <c r="G133"/>
      <c r="H133" t="s">
        <v>267</v>
      </c>
      <c r="I133"/>
      <c r="J133" t="s">
        <v>265</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1</v>
      </c>
      <c r="AC133" t="s">
        <v>173</v>
      </c>
      <c r="AD133" t="s">
        <v>175</v>
      </c>
      <c r="AE133" t="s">
        <v>173</v>
      </c>
      <c r="AF133" t="s">
        <v>173</v>
      </c>
      <c r="AG133" t="s">
        <v>173</v>
      </c>
      <c r="AH133" t="s">
        <v>173</v>
      </c>
      <c r="AI133" t="s">
        <v>173</v>
      </c>
      <c r="AJ133" t="s">
        <v>173</v>
      </c>
      <c r="AK133" t="s">
        <v>173</v>
      </c>
      <c r="AL133" t="s">
        <v>173</v>
      </c>
      <c r="AM133" t="s">
        <v>173</v>
      </c>
      <c r="AN133" t="s">
        <v>173</v>
      </c>
      <c r="AO133" t="s">
        <v>173</v>
      </c>
      <c r="AP133" t="s">
        <v>173</v>
      </c>
      <c r="AQ133" t="s">
        <v>173</v>
      </c>
      <c r="AR133" t="s">
        <v>173</v>
      </c>
      <c r="AS133" t="s">
        <v>173</v>
      </c>
      <c r="AT133" t="s">
        <v>173</v>
      </c>
      <c r="AU133" t="s">
        <v>173</v>
      </c>
      <c r="AV133" t="s">
        <v>175</v>
      </c>
      <c r="AW133" t="s">
        <v>173</v>
      </c>
      <c r="AX133" t="s">
        <v>192</v>
      </c>
      <c r="AY133" t="s">
        <v>195</v>
      </c>
      <c r="AZ133" t="s">
        <v>183</v>
      </c>
      <c r="BA133" t="s">
        <v>183</v>
      </c>
      <c r="BB133" t="s">
        <v>183</v>
      </c>
      <c r="BC133" t="s">
        <v>183</v>
      </c>
      <c r="BD133" t="s">
        <v>183</v>
      </c>
    </row>
    <row r="134" hidden="1" spans="1:56">
      <c r="A134">
        <v>133</v>
      </c>
      <c r="B134" t="s">
        <v>255</v>
      </c>
      <c r="C134">
        <v>2022</v>
      </c>
      <c r="D134">
        <v>2016</v>
      </c>
      <c r="E134">
        <v>2019</v>
      </c>
      <c r="F134" t="s">
        <v>275</v>
      </c>
      <c r="G134"/>
      <c r="H134" t="s">
        <v>268</v>
      </c>
      <c r="I134"/>
      <c r="J134" t="s">
        <v>265</v>
      </c>
      <c r="K134" t="b">
        <v>0</v>
      </c>
      <c r="L134" t="b">
        <v>0</v>
      </c>
      <c r="M134" t="b">
        <v>0</v>
      </c>
      <c r="N134" t="b">
        <v>0</v>
      </c>
      <c r="O134" t="b">
        <v>0</v>
      </c>
      <c r="P134" t="b">
        <v>0</v>
      </c>
      <c r="Q134" t="b">
        <v>0</v>
      </c>
      <c r="R134" t="b">
        <v>0</v>
      </c>
      <c r="S134" t="b">
        <v>0</v>
      </c>
      <c r="T134" t="b">
        <v>0</v>
      </c>
      <c r="U134" t="b">
        <v>0</v>
      </c>
      <c r="V134" t="b">
        <v>0</v>
      </c>
      <c r="W134" t="b">
        <v>0</v>
      </c>
      <c r="X134" t="b">
        <v>0</v>
      </c>
      <c r="Y134" t="b">
        <v>0</v>
      </c>
      <c r="Z134" t="b">
        <v>1</v>
      </c>
      <c r="AA134" t="b">
        <v>0</v>
      </c>
      <c r="AB134" t="b">
        <v>0</v>
      </c>
      <c r="AC134" t="s">
        <v>183</v>
      </c>
      <c r="AD134" t="s">
        <v>183</v>
      </c>
      <c r="AE134" t="s">
        <v>175</v>
      </c>
      <c r="AF134" t="s">
        <v>177</v>
      </c>
      <c r="AG134" t="s">
        <v>175</v>
      </c>
      <c r="AH134" t="s">
        <v>173</v>
      </c>
      <c r="AI134" t="s">
        <v>177</v>
      </c>
      <c r="AJ134" t="s">
        <v>175</v>
      </c>
      <c r="AK134" t="s">
        <v>177</v>
      </c>
      <c r="AL134" t="s">
        <v>173</v>
      </c>
      <c r="AM134" t="s">
        <v>173</v>
      </c>
      <c r="AN134" t="s">
        <v>173</v>
      </c>
      <c r="AO134" t="s">
        <v>183</v>
      </c>
      <c r="AP134" t="s">
        <v>183</v>
      </c>
      <c r="AQ134" t="s">
        <v>183</v>
      </c>
      <c r="AR134" t="s">
        <v>175</v>
      </c>
      <c r="AS134" t="s">
        <v>175</v>
      </c>
      <c r="AT134" t="s">
        <v>173</v>
      </c>
      <c r="AU134" t="s">
        <v>173</v>
      </c>
      <c r="AV134" t="s">
        <v>183</v>
      </c>
      <c r="AW134" t="s">
        <v>177</v>
      </c>
      <c r="AX134" t="s">
        <v>192</v>
      </c>
      <c r="AY134" t="s">
        <v>199</v>
      </c>
      <c r="AZ134" t="s">
        <v>183</v>
      </c>
      <c r="BA134" t="s">
        <v>183</v>
      </c>
      <c r="BB134" t="s">
        <v>183</v>
      </c>
      <c r="BC134" t="s">
        <v>183</v>
      </c>
      <c r="BD134" t="s">
        <v>183</v>
      </c>
    </row>
    <row r="135" hidden="1" spans="1:56">
      <c r="A135">
        <v>134</v>
      </c>
      <c r="B135" t="s">
        <v>259</v>
      </c>
      <c r="C135">
        <v>2022</v>
      </c>
      <c r="D135" t="s">
        <v>247</v>
      </c>
      <c r="E135" t="s">
        <v>247</v>
      </c>
      <c r="F135" t="s">
        <v>266</v>
      </c>
      <c r="G135"/>
      <c r="H135" t="s">
        <v>258</v>
      </c>
      <c r="I135"/>
      <c r="J135" t="s">
        <v>265</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1</v>
      </c>
      <c r="AC135" t="s">
        <v>177</v>
      </c>
      <c r="AD135" t="s">
        <v>175</v>
      </c>
      <c r="AE135" t="s">
        <v>177</v>
      </c>
      <c r="AF135" t="s">
        <v>173</v>
      </c>
      <c r="AG135" t="s">
        <v>175</v>
      </c>
      <c r="AH135" t="s">
        <v>173</v>
      </c>
      <c r="AI135" t="s">
        <v>177</v>
      </c>
      <c r="AJ135" t="s">
        <v>177</v>
      </c>
      <c r="AK135" t="s">
        <v>173</v>
      </c>
      <c r="AL135" t="s">
        <v>173</v>
      </c>
      <c r="AM135" t="s">
        <v>173</v>
      </c>
      <c r="AN135" t="s">
        <v>173</v>
      </c>
      <c r="AO135" t="s">
        <v>175</v>
      </c>
      <c r="AP135" t="s">
        <v>173</v>
      </c>
      <c r="AQ135" t="s">
        <v>173</v>
      </c>
      <c r="AR135" t="s">
        <v>175</v>
      </c>
      <c r="AS135" t="s">
        <v>173</v>
      </c>
      <c r="AT135" t="s">
        <v>173</v>
      </c>
      <c r="AU135" t="s">
        <v>175</v>
      </c>
      <c r="AV135" t="s">
        <v>177</v>
      </c>
      <c r="AW135" t="s">
        <v>175</v>
      </c>
      <c r="AX135" t="s">
        <v>192</v>
      </c>
      <c r="AY135" t="s">
        <v>195</v>
      </c>
      <c r="AZ135" t="s">
        <v>183</v>
      </c>
      <c r="BA135" t="s">
        <v>183</v>
      </c>
      <c r="BB135" t="s">
        <v>183</v>
      </c>
      <c r="BC135" t="s">
        <v>183</v>
      </c>
      <c r="BD135" t="s">
        <v>183</v>
      </c>
    </row>
    <row r="136" hidden="1" spans="1:56">
      <c r="A136">
        <v>135</v>
      </c>
      <c r="B136" t="s">
        <v>246</v>
      </c>
      <c r="C136">
        <v>2022</v>
      </c>
      <c r="D136">
        <v>1992</v>
      </c>
      <c r="E136">
        <v>1997</v>
      </c>
      <c r="F136" t="s">
        <v>294</v>
      </c>
      <c r="G136"/>
      <c r="H136" t="s">
        <v>273</v>
      </c>
      <c r="I136"/>
      <c r="J136" t="s">
        <v>252</v>
      </c>
      <c r="K136" t="b">
        <v>0</v>
      </c>
      <c r="L136" t="b">
        <v>1</v>
      </c>
      <c r="M136" t="b">
        <v>0</v>
      </c>
      <c r="N136" t="b">
        <v>0</v>
      </c>
      <c r="O136" t="b">
        <v>0</v>
      </c>
      <c r="P136" t="b">
        <v>0</v>
      </c>
      <c r="Q136" t="b">
        <v>0</v>
      </c>
      <c r="R136" t="b">
        <v>0</v>
      </c>
      <c r="S136" t="b">
        <v>0</v>
      </c>
      <c r="T136" t="b">
        <v>0</v>
      </c>
      <c r="U136" t="b">
        <v>0</v>
      </c>
      <c r="V136" t="b">
        <v>0</v>
      </c>
      <c r="W136" t="b">
        <v>0</v>
      </c>
      <c r="X136" t="b">
        <v>0</v>
      </c>
      <c r="Y136" t="b">
        <v>0</v>
      </c>
      <c r="Z136" t="b">
        <v>1</v>
      </c>
      <c r="AA136" t="b">
        <v>1</v>
      </c>
      <c r="AB136" t="b">
        <v>0</v>
      </c>
      <c r="AC136" t="s">
        <v>173</v>
      </c>
      <c r="AD136" t="s">
        <v>175</v>
      </c>
      <c r="AE136" t="s">
        <v>171</v>
      </c>
      <c r="AF136" t="s">
        <v>173</v>
      </c>
      <c r="AG136" t="s">
        <v>173</v>
      </c>
      <c r="AH136" t="s">
        <v>179</v>
      </c>
      <c r="AI136" t="s">
        <v>175</v>
      </c>
      <c r="AJ136" t="s">
        <v>173</v>
      </c>
      <c r="AK136" t="s">
        <v>173</v>
      </c>
      <c r="AL136" t="s">
        <v>171</v>
      </c>
      <c r="AM136" t="s">
        <v>171</v>
      </c>
      <c r="AN136" t="s">
        <v>171</v>
      </c>
      <c r="AO136" t="s">
        <v>173</v>
      </c>
      <c r="AP136" t="s">
        <v>171</v>
      </c>
      <c r="AQ136" t="s">
        <v>173</v>
      </c>
      <c r="AR136" t="s">
        <v>173</v>
      </c>
      <c r="AS136" t="s">
        <v>173</v>
      </c>
      <c r="AT136" t="s">
        <v>173</v>
      </c>
      <c r="AU136" t="s">
        <v>171</v>
      </c>
      <c r="AV136" t="s">
        <v>173</v>
      </c>
      <c r="AW136" t="s">
        <v>171</v>
      </c>
      <c r="AX136" t="s">
        <v>193</v>
      </c>
      <c r="AY136" t="s">
        <v>198</v>
      </c>
      <c r="AZ136" t="s">
        <v>183</v>
      </c>
      <c r="BA136" t="s">
        <v>183</v>
      </c>
      <c r="BB136" t="s">
        <v>183</v>
      </c>
      <c r="BC136" t="s">
        <v>183</v>
      </c>
      <c r="BD136" t="s">
        <v>183</v>
      </c>
    </row>
    <row r="137" hidden="1" spans="1:56">
      <c r="A137">
        <v>136</v>
      </c>
      <c r="B137" t="s">
        <v>255</v>
      </c>
      <c r="C137">
        <v>2022</v>
      </c>
      <c r="D137">
        <v>2003</v>
      </c>
      <c r="E137">
        <v>2003</v>
      </c>
      <c r="F137" t="s">
        <v>266</v>
      </c>
      <c r="G137"/>
      <c r="H137" t="s">
        <v>274</v>
      </c>
      <c r="I137"/>
      <c r="J137" t="s">
        <v>265</v>
      </c>
      <c r="K137" t="b">
        <v>0</v>
      </c>
      <c r="L137" t="b">
        <v>0</v>
      </c>
      <c r="M137" t="b">
        <v>0</v>
      </c>
      <c r="N137" t="b">
        <v>0</v>
      </c>
      <c r="O137" t="b">
        <v>0</v>
      </c>
      <c r="P137" t="b">
        <v>0</v>
      </c>
      <c r="Q137" t="b">
        <v>0</v>
      </c>
      <c r="R137" t="b">
        <v>0</v>
      </c>
      <c r="S137" t="b">
        <v>0</v>
      </c>
      <c r="T137" t="b">
        <v>0</v>
      </c>
      <c r="U137" t="b">
        <v>0</v>
      </c>
      <c r="V137" t="b">
        <v>0</v>
      </c>
      <c r="W137" t="b">
        <v>0</v>
      </c>
      <c r="X137" t="b">
        <v>0</v>
      </c>
      <c r="Y137" t="b">
        <v>0</v>
      </c>
      <c r="Z137" t="b">
        <v>1</v>
      </c>
      <c r="AA137" t="b">
        <v>0</v>
      </c>
      <c r="AB137" t="b">
        <v>0</v>
      </c>
      <c r="AC137" t="s">
        <v>173</v>
      </c>
      <c r="AD137" t="s">
        <v>181</v>
      </c>
      <c r="AE137" t="s">
        <v>175</v>
      </c>
      <c r="AF137" t="s">
        <v>175</v>
      </c>
      <c r="AG137" t="s">
        <v>173</v>
      </c>
      <c r="AH137" t="s">
        <v>173</v>
      </c>
      <c r="AI137" t="s">
        <v>173</v>
      </c>
      <c r="AJ137" t="s">
        <v>173</v>
      </c>
      <c r="AK137" t="s">
        <v>171</v>
      </c>
      <c r="AL137" t="s">
        <v>173</v>
      </c>
      <c r="AM137" t="s">
        <v>173</v>
      </c>
      <c r="AN137" t="s">
        <v>173</v>
      </c>
      <c r="AO137" t="s">
        <v>173</v>
      </c>
      <c r="AP137" t="s">
        <v>173</v>
      </c>
      <c r="AQ137" t="s">
        <v>173</v>
      </c>
      <c r="AR137" t="s">
        <v>175</v>
      </c>
      <c r="AS137" t="s">
        <v>173</v>
      </c>
      <c r="AT137" t="s">
        <v>175</v>
      </c>
      <c r="AU137" t="s">
        <v>173</v>
      </c>
      <c r="AV137" t="s">
        <v>175</v>
      </c>
      <c r="AW137" t="s">
        <v>173</v>
      </c>
      <c r="AX137" t="s">
        <v>192</v>
      </c>
      <c r="AY137" t="s">
        <v>196</v>
      </c>
      <c r="AZ137" t="s">
        <v>183</v>
      </c>
      <c r="BA137" t="s">
        <v>183</v>
      </c>
      <c r="BB137" t="s">
        <v>183</v>
      </c>
      <c r="BC137" t="s">
        <v>183</v>
      </c>
      <c r="BD137" t="s">
        <v>183</v>
      </c>
    </row>
    <row r="138" hidden="1" spans="1:56">
      <c r="A138">
        <v>137</v>
      </c>
      <c r="B138" t="s">
        <v>280</v>
      </c>
      <c r="C138">
        <v>2022</v>
      </c>
      <c r="D138" t="s">
        <v>247</v>
      </c>
      <c r="E138" t="s">
        <v>247</v>
      </c>
      <c r="F138" t="s">
        <v>260</v>
      </c>
      <c r="G138"/>
      <c r="H138" t="s">
        <v>250</v>
      </c>
      <c r="I138" t="s">
        <v>254</v>
      </c>
      <c r="J138" t="s">
        <v>265</v>
      </c>
      <c r="K138" t="b">
        <v>0</v>
      </c>
      <c r="L138" t="b">
        <v>0</v>
      </c>
      <c r="M138" t="b">
        <v>0</v>
      </c>
      <c r="N138" t="b">
        <v>0</v>
      </c>
      <c r="O138" t="b">
        <v>0</v>
      </c>
      <c r="P138" t="b">
        <v>0</v>
      </c>
      <c r="Q138" t="b">
        <v>0</v>
      </c>
      <c r="R138" t="b">
        <v>0</v>
      </c>
      <c r="S138" t="b">
        <v>0</v>
      </c>
      <c r="T138" t="b">
        <v>0</v>
      </c>
      <c r="U138" t="b">
        <v>0</v>
      </c>
      <c r="V138" t="b">
        <v>0</v>
      </c>
      <c r="W138" t="b">
        <v>0</v>
      </c>
      <c r="X138" t="b">
        <v>1</v>
      </c>
      <c r="Y138" t="b">
        <v>0</v>
      </c>
      <c r="Z138" t="b">
        <v>0</v>
      </c>
      <c r="AA138" t="b">
        <v>0</v>
      </c>
      <c r="AB138" t="b">
        <v>0</v>
      </c>
      <c r="AC138" t="s">
        <v>173</v>
      </c>
      <c r="AD138" t="s">
        <v>175</v>
      </c>
      <c r="AE138" t="s">
        <v>181</v>
      </c>
      <c r="AF138" t="s">
        <v>177</v>
      </c>
      <c r="AG138" t="s">
        <v>175</v>
      </c>
      <c r="AH138" t="s">
        <v>177</v>
      </c>
      <c r="AI138" t="s">
        <v>175</v>
      </c>
      <c r="AJ138" t="s">
        <v>175</v>
      </c>
      <c r="AK138" t="s">
        <v>171</v>
      </c>
      <c r="AL138" t="s">
        <v>175</v>
      </c>
      <c r="AM138" t="s">
        <v>171</v>
      </c>
      <c r="AN138" t="s">
        <v>171</v>
      </c>
      <c r="AO138" t="s">
        <v>177</v>
      </c>
      <c r="AP138" t="s">
        <v>173</v>
      </c>
      <c r="AQ138" t="s">
        <v>173</v>
      </c>
      <c r="AR138" t="s">
        <v>175</v>
      </c>
      <c r="AS138" t="s">
        <v>175</v>
      </c>
      <c r="AT138" t="s">
        <v>175</v>
      </c>
      <c r="AU138" t="s">
        <v>175</v>
      </c>
      <c r="AV138" t="s">
        <v>175</v>
      </c>
      <c r="AW138" t="s">
        <v>175</v>
      </c>
      <c r="AX138" t="s">
        <v>192</v>
      </c>
      <c r="AY138" t="s">
        <v>196</v>
      </c>
      <c r="AZ138" t="s">
        <v>183</v>
      </c>
      <c r="BA138" t="s">
        <v>183</v>
      </c>
      <c r="BB138" t="s">
        <v>183</v>
      </c>
      <c r="BC138" t="s">
        <v>183</v>
      </c>
      <c r="BD138" t="s">
        <v>183</v>
      </c>
    </row>
    <row r="139" hidden="1" spans="1:56">
      <c r="A139">
        <v>138</v>
      </c>
      <c r="B139" t="s">
        <v>259</v>
      </c>
      <c r="C139">
        <v>2022</v>
      </c>
      <c r="D139">
        <v>2010</v>
      </c>
      <c r="E139">
        <v>2010</v>
      </c>
      <c r="F139" t="s">
        <v>256</v>
      </c>
      <c r="G139"/>
      <c r="H139" t="s">
        <v>273</v>
      </c>
      <c r="I139"/>
      <c r="J139" t="s">
        <v>252</v>
      </c>
      <c r="K139" t="b">
        <v>0</v>
      </c>
      <c r="L139" t="b">
        <v>0</v>
      </c>
      <c r="M139" t="b">
        <v>0</v>
      </c>
      <c r="N139" t="b">
        <v>0</v>
      </c>
      <c r="O139" t="b">
        <v>0</v>
      </c>
      <c r="P139" t="b">
        <v>0</v>
      </c>
      <c r="Q139" t="b">
        <v>0</v>
      </c>
      <c r="R139" t="b">
        <v>0</v>
      </c>
      <c r="S139" t="b">
        <v>0</v>
      </c>
      <c r="T139" t="b">
        <v>0</v>
      </c>
      <c r="U139" t="b">
        <v>0</v>
      </c>
      <c r="V139" t="b">
        <v>0</v>
      </c>
      <c r="W139" t="b">
        <v>0</v>
      </c>
      <c r="X139" t="b">
        <v>0</v>
      </c>
      <c r="Y139" t="b">
        <v>0</v>
      </c>
      <c r="Z139" t="b">
        <v>1</v>
      </c>
      <c r="AA139" t="b">
        <v>0</v>
      </c>
      <c r="AB139" t="b">
        <v>0</v>
      </c>
      <c r="AC139" t="s">
        <v>173</v>
      </c>
      <c r="AD139" t="s">
        <v>173</v>
      </c>
      <c r="AE139" t="s">
        <v>175</v>
      </c>
      <c r="AF139" t="s">
        <v>175</v>
      </c>
      <c r="AG139" t="s">
        <v>173</v>
      </c>
      <c r="AH139" t="s">
        <v>175</v>
      </c>
      <c r="AI139" t="s">
        <v>173</v>
      </c>
      <c r="AJ139" t="s">
        <v>173</v>
      </c>
      <c r="AK139" t="s">
        <v>173</v>
      </c>
      <c r="AL139" t="s">
        <v>173</v>
      </c>
      <c r="AM139" t="s">
        <v>173</v>
      </c>
      <c r="AN139" t="s">
        <v>173</v>
      </c>
      <c r="AO139" t="s">
        <v>175</v>
      </c>
      <c r="AP139" t="s">
        <v>177</v>
      </c>
      <c r="AQ139" t="s">
        <v>173</v>
      </c>
      <c r="AR139" t="s">
        <v>173</v>
      </c>
      <c r="AS139" t="s">
        <v>173</v>
      </c>
      <c r="AT139" t="s">
        <v>173</v>
      </c>
      <c r="AU139" t="s">
        <v>173</v>
      </c>
      <c r="AV139" t="s">
        <v>175</v>
      </c>
      <c r="AW139" t="s">
        <v>173</v>
      </c>
      <c r="AX139" t="s">
        <v>192</v>
      </c>
      <c r="AY139" t="s">
        <v>196</v>
      </c>
      <c r="AZ139" t="s">
        <v>183</v>
      </c>
      <c r="BA139" t="s">
        <v>183</v>
      </c>
      <c r="BB139" t="s">
        <v>183</v>
      </c>
      <c r="BC139" t="s">
        <v>183</v>
      </c>
      <c r="BD139" t="s">
        <v>183</v>
      </c>
    </row>
    <row r="140" hidden="1" spans="1:56">
      <c r="A140">
        <v>139</v>
      </c>
      <c r="B140" t="s">
        <v>269</v>
      </c>
      <c r="C140">
        <v>2022</v>
      </c>
      <c r="D140">
        <v>2013</v>
      </c>
      <c r="E140">
        <v>2014</v>
      </c>
      <c r="F140" t="s">
        <v>266</v>
      </c>
      <c r="G140"/>
      <c r="H140" t="s">
        <v>264</v>
      </c>
      <c r="I140"/>
      <c r="J140" t="s">
        <v>265</v>
      </c>
      <c r="K140" t="b">
        <v>0</v>
      </c>
      <c r="L140" t="b">
        <v>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s">
        <v>175</v>
      </c>
      <c r="AD140" t="s">
        <v>175</v>
      </c>
      <c r="AE140" t="s">
        <v>175</v>
      </c>
      <c r="AF140" t="s">
        <v>175</v>
      </c>
      <c r="AG140" t="s">
        <v>171</v>
      </c>
      <c r="AH140" t="s">
        <v>171</v>
      </c>
      <c r="AI140" t="s">
        <v>173</v>
      </c>
      <c r="AJ140" t="s">
        <v>173</v>
      </c>
      <c r="AK140" t="s">
        <v>171</v>
      </c>
      <c r="AL140" t="s">
        <v>173</v>
      </c>
      <c r="AM140" t="s">
        <v>173</v>
      </c>
      <c r="AN140" t="s">
        <v>179</v>
      </c>
      <c r="AO140" t="s">
        <v>175</v>
      </c>
      <c r="AP140" t="s">
        <v>173</v>
      </c>
      <c r="AQ140" t="s">
        <v>175</v>
      </c>
      <c r="AR140" t="s">
        <v>175</v>
      </c>
      <c r="AS140" t="s">
        <v>173</v>
      </c>
      <c r="AT140" t="s">
        <v>173</v>
      </c>
      <c r="AU140" t="s">
        <v>173</v>
      </c>
      <c r="AV140" t="s">
        <v>175</v>
      </c>
      <c r="AW140" t="s">
        <v>175</v>
      </c>
      <c r="AX140" t="s">
        <v>192</v>
      </c>
      <c r="AY140" t="s">
        <v>199</v>
      </c>
      <c r="AZ140" t="s">
        <v>183</v>
      </c>
      <c r="BA140" t="s">
        <v>183</v>
      </c>
      <c r="BB140" t="s">
        <v>183</v>
      </c>
      <c r="BC140" t="s">
        <v>183</v>
      </c>
      <c r="BD140" t="s">
        <v>183</v>
      </c>
    </row>
    <row r="141" hidden="1" spans="1:56">
      <c r="A141">
        <v>140</v>
      </c>
      <c r="B141" t="s">
        <v>280</v>
      </c>
      <c r="C141">
        <v>2022</v>
      </c>
      <c r="D141">
        <v>1983</v>
      </c>
      <c r="E141">
        <v>2004</v>
      </c>
      <c r="F141" t="s">
        <v>256</v>
      </c>
      <c r="G141" t="s">
        <v>263</v>
      </c>
      <c r="H141" t="s">
        <v>264</v>
      </c>
      <c r="I141"/>
      <c r="J141" t="s">
        <v>252</v>
      </c>
      <c r="K141" t="b">
        <v>0</v>
      </c>
      <c r="L141" t="b">
        <v>0</v>
      </c>
      <c r="M141" t="b">
        <v>0</v>
      </c>
      <c r="N141" t="b">
        <v>0</v>
      </c>
      <c r="O141" t="b">
        <v>0</v>
      </c>
      <c r="P141" t="b">
        <v>0</v>
      </c>
      <c r="Q141" t="b">
        <v>0</v>
      </c>
      <c r="R141" t="b">
        <v>0</v>
      </c>
      <c r="S141" t="b">
        <v>0</v>
      </c>
      <c r="T141" t="b">
        <v>0</v>
      </c>
      <c r="U141" t="b">
        <v>0</v>
      </c>
      <c r="V141" t="b">
        <v>0</v>
      </c>
      <c r="W141" t="b">
        <v>0</v>
      </c>
      <c r="X141" t="b">
        <v>1</v>
      </c>
      <c r="Y141" t="b">
        <v>0</v>
      </c>
      <c r="Z141" t="b">
        <v>0</v>
      </c>
      <c r="AA141" t="b">
        <v>0</v>
      </c>
      <c r="AB141" t="b">
        <v>0</v>
      </c>
      <c r="AC141" t="s">
        <v>173</v>
      </c>
      <c r="AD141" t="s">
        <v>173</v>
      </c>
      <c r="AE141" t="s">
        <v>175</v>
      </c>
      <c r="AF141" t="s">
        <v>175</v>
      </c>
      <c r="AG141" t="s">
        <v>177</v>
      </c>
      <c r="AH141" t="s">
        <v>175</v>
      </c>
      <c r="AI141" t="s">
        <v>175</v>
      </c>
      <c r="AJ141" t="s">
        <v>175</v>
      </c>
      <c r="AK141" t="s">
        <v>175</v>
      </c>
      <c r="AL141" t="s">
        <v>175</v>
      </c>
      <c r="AM141" t="s">
        <v>173</v>
      </c>
      <c r="AN141" t="s">
        <v>173</v>
      </c>
      <c r="AO141" t="s">
        <v>175</v>
      </c>
      <c r="AP141" t="s">
        <v>175</v>
      </c>
      <c r="AQ141" t="s">
        <v>175</v>
      </c>
      <c r="AR141" t="s">
        <v>175</v>
      </c>
      <c r="AS141" t="s">
        <v>175</v>
      </c>
      <c r="AT141" t="s">
        <v>175</v>
      </c>
      <c r="AU141" t="s">
        <v>175</v>
      </c>
      <c r="AV141" t="s">
        <v>175</v>
      </c>
      <c r="AW141" t="s">
        <v>175</v>
      </c>
      <c r="AX141" t="s">
        <v>193</v>
      </c>
      <c r="AY141" t="s">
        <v>196</v>
      </c>
      <c r="AZ141" t="s">
        <v>183</v>
      </c>
      <c r="BA141" t="s">
        <v>183</v>
      </c>
      <c r="BB141" t="s">
        <v>183</v>
      </c>
      <c r="BC141" t="s">
        <v>183</v>
      </c>
      <c r="BD141" t="s">
        <v>183</v>
      </c>
    </row>
    <row r="142" hidden="1" spans="1:56">
      <c r="A142">
        <v>141</v>
      </c>
      <c r="B142" t="s">
        <v>269</v>
      </c>
      <c r="C142">
        <v>2022</v>
      </c>
      <c r="D142" t="s">
        <v>247</v>
      </c>
      <c r="E142" t="s">
        <v>247</v>
      </c>
      <c r="F142" t="s">
        <v>266</v>
      </c>
      <c r="G142"/>
      <c r="H142" t="s">
        <v>274</v>
      </c>
      <c r="I142"/>
      <c r="J142" t="s">
        <v>265</v>
      </c>
      <c r="K142" t="b">
        <v>0</v>
      </c>
      <c r="L142" t="b">
        <v>1</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s">
        <v>173</v>
      </c>
      <c r="AD142" t="s">
        <v>183</v>
      </c>
      <c r="AE142" t="s">
        <v>173</v>
      </c>
      <c r="AF142" t="s">
        <v>175</v>
      </c>
      <c r="AG142" t="s">
        <v>173</v>
      </c>
      <c r="AH142" t="s">
        <v>171</v>
      </c>
      <c r="AI142" t="s">
        <v>171</v>
      </c>
      <c r="AJ142" t="s">
        <v>173</v>
      </c>
      <c r="AK142" t="s">
        <v>171</v>
      </c>
      <c r="AL142" t="s">
        <v>173</v>
      </c>
      <c r="AM142" t="s">
        <v>175</v>
      </c>
      <c r="AN142" t="s">
        <v>173</v>
      </c>
      <c r="AO142" t="s">
        <v>175</v>
      </c>
      <c r="AP142" t="s">
        <v>175</v>
      </c>
      <c r="AQ142" t="s">
        <v>175</v>
      </c>
      <c r="AR142" t="s">
        <v>173</v>
      </c>
      <c r="AS142" t="s">
        <v>173</v>
      </c>
      <c r="AT142" t="s">
        <v>173</v>
      </c>
      <c r="AU142" t="s">
        <v>173</v>
      </c>
      <c r="AV142" t="s">
        <v>181</v>
      </c>
      <c r="AW142" t="s">
        <v>181</v>
      </c>
      <c r="AX142" t="s">
        <v>192</v>
      </c>
      <c r="AY142" t="s">
        <v>197</v>
      </c>
      <c r="AZ142" t="s">
        <v>183</v>
      </c>
      <c r="BA142" t="s">
        <v>183</v>
      </c>
      <c r="BB142" t="s">
        <v>183</v>
      </c>
      <c r="BC142" t="s">
        <v>183</v>
      </c>
      <c r="BD142" t="s">
        <v>183</v>
      </c>
    </row>
    <row r="143" hidden="1" spans="1:56">
      <c r="A143">
        <v>142</v>
      </c>
      <c r="B143" t="s">
        <v>259</v>
      </c>
      <c r="C143">
        <v>2022</v>
      </c>
      <c r="D143">
        <v>1982</v>
      </c>
      <c r="E143" t="s">
        <v>247</v>
      </c>
      <c r="F143" t="s">
        <v>256</v>
      </c>
      <c r="G143" t="s">
        <v>257</v>
      </c>
      <c r="H143" t="s">
        <v>261</v>
      </c>
      <c r="I143"/>
      <c r="J143" t="s">
        <v>252</v>
      </c>
      <c r="K143" t="b">
        <v>0</v>
      </c>
      <c r="L143" t="b">
        <v>0</v>
      </c>
      <c r="M143" t="b">
        <v>0</v>
      </c>
      <c r="N143" t="b">
        <v>0</v>
      </c>
      <c r="O143" t="b">
        <v>0</v>
      </c>
      <c r="P143" t="b">
        <v>0</v>
      </c>
      <c r="Q143" t="b">
        <v>0</v>
      </c>
      <c r="R143" t="b">
        <v>0</v>
      </c>
      <c r="S143" t="b">
        <v>0</v>
      </c>
      <c r="T143" t="b">
        <v>0</v>
      </c>
      <c r="U143" t="b">
        <v>0</v>
      </c>
      <c r="V143" t="b">
        <v>0</v>
      </c>
      <c r="W143" t="b">
        <v>0</v>
      </c>
      <c r="X143" t="b">
        <v>1</v>
      </c>
      <c r="Y143" t="b">
        <v>0</v>
      </c>
      <c r="Z143" t="b">
        <v>1</v>
      </c>
      <c r="AA143" t="b">
        <v>1</v>
      </c>
      <c r="AB143" t="b">
        <v>0</v>
      </c>
      <c r="AC143" t="s">
        <v>173</v>
      </c>
      <c r="AD143" t="s">
        <v>173</v>
      </c>
      <c r="AE143" t="s">
        <v>173</v>
      </c>
      <c r="AF143" t="s">
        <v>173</v>
      </c>
      <c r="AG143" t="s">
        <v>177</v>
      </c>
      <c r="AH143" t="s">
        <v>177</v>
      </c>
      <c r="AI143" t="s">
        <v>177</v>
      </c>
      <c r="AJ143" t="s">
        <v>173</v>
      </c>
      <c r="AK143" t="s">
        <v>171</v>
      </c>
      <c r="AL143" t="s">
        <v>173</v>
      </c>
      <c r="AM143" t="s">
        <v>173</v>
      </c>
      <c r="AN143" t="s">
        <v>173</v>
      </c>
      <c r="AO143" t="s">
        <v>175</v>
      </c>
      <c r="AP143" t="s">
        <v>177</v>
      </c>
      <c r="AQ143" t="s">
        <v>175</v>
      </c>
      <c r="AR143" t="s">
        <v>173</v>
      </c>
      <c r="AS143" t="s">
        <v>173</v>
      </c>
      <c r="AT143" t="s">
        <v>173</v>
      </c>
      <c r="AU143" t="s">
        <v>173</v>
      </c>
      <c r="AV143" t="s">
        <v>175</v>
      </c>
      <c r="AW143" t="s">
        <v>173</v>
      </c>
      <c r="AX143" t="s">
        <v>193</v>
      </c>
      <c r="AY143" t="s">
        <v>196</v>
      </c>
      <c r="AZ143" t="s">
        <v>183</v>
      </c>
      <c r="BA143" t="s">
        <v>183</v>
      </c>
      <c r="BB143" t="s">
        <v>183</v>
      </c>
      <c r="BC143" t="s">
        <v>183</v>
      </c>
      <c r="BD143" t="s">
        <v>183</v>
      </c>
    </row>
    <row r="144" hidden="1" spans="1:56">
      <c r="A144">
        <v>143</v>
      </c>
      <c r="B144" t="s">
        <v>280</v>
      </c>
      <c r="C144">
        <v>2022</v>
      </c>
      <c r="D144">
        <v>1992</v>
      </c>
      <c r="E144">
        <v>2017</v>
      </c>
      <c r="F144" t="s">
        <v>260</v>
      </c>
      <c r="G144"/>
      <c r="H144" t="s">
        <v>264</v>
      </c>
      <c r="I144"/>
      <c r="J144" t="s">
        <v>252</v>
      </c>
      <c r="K144" t="b">
        <v>0</v>
      </c>
      <c r="L144" t="b">
        <v>0</v>
      </c>
      <c r="M144" t="b">
        <v>0</v>
      </c>
      <c r="N144" t="b">
        <v>0</v>
      </c>
      <c r="O144" t="b">
        <v>0</v>
      </c>
      <c r="P144" t="b">
        <v>0</v>
      </c>
      <c r="Q144" t="b">
        <v>0</v>
      </c>
      <c r="R144" t="b">
        <v>0</v>
      </c>
      <c r="S144" t="b">
        <v>0</v>
      </c>
      <c r="T144" t="b">
        <v>0</v>
      </c>
      <c r="U144" t="b">
        <v>0</v>
      </c>
      <c r="V144" t="b">
        <v>0</v>
      </c>
      <c r="W144" t="b">
        <v>0</v>
      </c>
      <c r="X144" t="b">
        <v>1</v>
      </c>
      <c r="Y144" t="b">
        <v>0</v>
      </c>
      <c r="Z144" t="b">
        <v>0</v>
      </c>
      <c r="AA144" t="b">
        <v>0</v>
      </c>
      <c r="AB144" t="b">
        <v>0</v>
      </c>
      <c r="AC144" t="s">
        <v>171</v>
      </c>
      <c r="AD144" t="s">
        <v>171</v>
      </c>
      <c r="AE144" t="s">
        <v>171</v>
      </c>
      <c r="AF144" t="s">
        <v>171</v>
      </c>
      <c r="AG144" t="s">
        <v>171</v>
      </c>
      <c r="AH144" t="s">
        <v>171</v>
      </c>
      <c r="AI144" t="s">
        <v>171</v>
      </c>
      <c r="AJ144" t="s">
        <v>171</v>
      </c>
      <c r="AK144" t="s">
        <v>171</v>
      </c>
      <c r="AL144" t="s">
        <v>171</v>
      </c>
      <c r="AM144" t="s">
        <v>171</v>
      </c>
      <c r="AN144" t="s">
        <v>171</v>
      </c>
      <c r="AO144" t="s">
        <v>171</v>
      </c>
      <c r="AP144" t="s">
        <v>171</v>
      </c>
      <c r="AQ144" t="s">
        <v>171</v>
      </c>
      <c r="AR144" t="s">
        <v>171</v>
      </c>
      <c r="AS144" t="s">
        <v>171</v>
      </c>
      <c r="AT144" t="s">
        <v>171</v>
      </c>
      <c r="AU144" t="s">
        <v>171</v>
      </c>
      <c r="AV144" t="s">
        <v>171</v>
      </c>
      <c r="AW144" t="s">
        <v>171</v>
      </c>
      <c r="AX144" t="s">
        <v>192</v>
      </c>
      <c r="AY144" t="s">
        <v>195</v>
      </c>
      <c r="AZ144" t="s">
        <v>183</v>
      </c>
      <c r="BA144" t="s">
        <v>183</v>
      </c>
      <c r="BB144" t="s">
        <v>183</v>
      </c>
      <c r="BC144" t="s">
        <v>183</v>
      </c>
      <c r="BD144" t="s">
        <v>183</v>
      </c>
    </row>
    <row r="145" hidden="1" spans="1:56">
      <c r="A145">
        <v>144</v>
      </c>
      <c r="B145" t="s">
        <v>280</v>
      </c>
      <c r="C145">
        <v>2022</v>
      </c>
      <c r="D145" t="s">
        <v>247</v>
      </c>
      <c r="E145" t="s">
        <v>247</v>
      </c>
      <c r="F145" t="s">
        <v>266</v>
      </c>
      <c r="G145"/>
      <c r="H145" t="s">
        <v>268</v>
      </c>
      <c r="I145"/>
      <c r="J145" t="s">
        <v>265</v>
      </c>
      <c r="K145" t="b">
        <v>0</v>
      </c>
      <c r="L145" t="b">
        <v>0</v>
      </c>
      <c r="M145" t="b">
        <v>0</v>
      </c>
      <c r="N145" t="b">
        <v>0</v>
      </c>
      <c r="O145" t="b">
        <v>0</v>
      </c>
      <c r="P145" t="b">
        <v>0</v>
      </c>
      <c r="Q145" t="b">
        <v>0</v>
      </c>
      <c r="R145" t="b">
        <v>0</v>
      </c>
      <c r="S145" t="b">
        <v>0</v>
      </c>
      <c r="T145" t="b">
        <v>0</v>
      </c>
      <c r="U145" t="b">
        <v>0</v>
      </c>
      <c r="V145" t="b">
        <v>0</v>
      </c>
      <c r="W145" t="b">
        <v>0</v>
      </c>
      <c r="X145" t="b">
        <v>1</v>
      </c>
      <c r="Y145" t="b">
        <v>0</v>
      </c>
      <c r="Z145" t="b">
        <v>0</v>
      </c>
      <c r="AA145" t="b">
        <v>0</v>
      </c>
      <c r="AB145" t="b">
        <v>0</v>
      </c>
      <c r="AC145" t="s">
        <v>173</v>
      </c>
      <c r="AD145" t="s">
        <v>173</v>
      </c>
      <c r="AE145" t="s">
        <v>173</v>
      </c>
      <c r="AF145" t="s">
        <v>173</v>
      </c>
      <c r="AG145" t="s">
        <v>173</v>
      </c>
      <c r="AH145" t="s">
        <v>173</v>
      </c>
      <c r="AI145" t="s">
        <v>173</v>
      </c>
      <c r="AJ145" t="s">
        <v>173</v>
      </c>
      <c r="AK145" t="s">
        <v>173</v>
      </c>
      <c r="AL145" t="s">
        <v>173</v>
      </c>
      <c r="AM145" t="s">
        <v>173</v>
      </c>
      <c r="AN145" t="s">
        <v>171</v>
      </c>
      <c r="AO145" t="s">
        <v>173</v>
      </c>
      <c r="AP145" t="s">
        <v>173</v>
      </c>
      <c r="AQ145" t="s">
        <v>173</v>
      </c>
      <c r="AR145" t="s">
        <v>173</v>
      </c>
      <c r="AS145" t="s">
        <v>173</v>
      </c>
      <c r="AT145" t="s">
        <v>173</v>
      </c>
      <c r="AU145" t="s">
        <v>173</v>
      </c>
      <c r="AV145" t="s">
        <v>173</v>
      </c>
      <c r="AW145" t="s">
        <v>173</v>
      </c>
      <c r="AX145" t="s">
        <v>192</v>
      </c>
      <c r="AY145" t="s">
        <v>195</v>
      </c>
      <c r="AZ145" t="s">
        <v>183</v>
      </c>
      <c r="BA145" t="s">
        <v>183</v>
      </c>
      <c r="BB145" t="s">
        <v>183</v>
      </c>
      <c r="BC145" t="s">
        <v>183</v>
      </c>
      <c r="BD145" t="s">
        <v>183</v>
      </c>
    </row>
    <row r="146" hidden="1" spans="1:56">
      <c r="A146">
        <v>145</v>
      </c>
      <c r="B146" t="s">
        <v>259</v>
      </c>
      <c r="C146">
        <v>2022</v>
      </c>
      <c r="D146">
        <v>1980</v>
      </c>
      <c r="E146">
        <v>1991</v>
      </c>
      <c r="F146" t="s">
        <v>256</v>
      </c>
      <c r="G146" t="s">
        <v>257</v>
      </c>
      <c r="H146" t="s">
        <v>247</v>
      </c>
      <c r="I146"/>
      <c r="J146" t="s">
        <v>252</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1</v>
      </c>
      <c r="AB146" t="b">
        <v>0</v>
      </c>
      <c r="AC146" t="s">
        <v>175</v>
      </c>
      <c r="AD146" t="s">
        <v>175</v>
      </c>
      <c r="AE146" t="s">
        <v>173</v>
      </c>
      <c r="AF146" t="s">
        <v>175</v>
      </c>
      <c r="AG146" t="s">
        <v>175</v>
      </c>
      <c r="AH146" t="s">
        <v>179</v>
      </c>
      <c r="AI146" t="s">
        <v>175</v>
      </c>
      <c r="AJ146" t="s">
        <v>175</v>
      </c>
      <c r="AK146" t="s">
        <v>173</v>
      </c>
      <c r="AL146" t="s">
        <v>171</v>
      </c>
      <c r="AM146" t="s">
        <v>171</v>
      </c>
      <c r="AN146" t="s">
        <v>171</v>
      </c>
      <c r="AO146" t="s">
        <v>171</v>
      </c>
      <c r="AP146" t="s">
        <v>171</v>
      </c>
      <c r="AQ146" t="s">
        <v>173</v>
      </c>
      <c r="AR146" t="s">
        <v>173</v>
      </c>
      <c r="AS146" t="s">
        <v>173</v>
      </c>
      <c r="AT146" t="s">
        <v>173</v>
      </c>
      <c r="AU146" t="s">
        <v>173</v>
      </c>
      <c r="AV146" t="s">
        <v>175</v>
      </c>
      <c r="AW146" t="s">
        <v>171</v>
      </c>
      <c r="AX146" t="s">
        <v>192</v>
      </c>
      <c r="AY146" t="s">
        <v>196</v>
      </c>
      <c r="AZ146" t="s">
        <v>183</v>
      </c>
      <c r="BA146" t="s">
        <v>183</v>
      </c>
      <c r="BB146" t="s">
        <v>183</v>
      </c>
      <c r="BC146" t="s">
        <v>183</v>
      </c>
      <c r="BD146" t="s">
        <v>183</v>
      </c>
    </row>
    <row r="147" hidden="1" spans="1:56">
      <c r="A147">
        <v>146</v>
      </c>
      <c r="B147" t="s">
        <v>255</v>
      </c>
      <c r="C147">
        <v>2022</v>
      </c>
      <c r="D147">
        <v>2016</v>
      </c>
      <c r="E147">
        <v>2016</v>
      </c>
      <c r="F147" t="s">
        <v>275</v>
      </c>
      <c r="G147"/>
      <c r="H147" t="s">
        <v>247</v>
      </c>
      <c r="I147"/>
      <c r="J147" t="s">
        <v>265</v>
      </c>
      <c r="K147" t="b">
        <v>0</v>
      </c>
      <c r="L147" t="b">
        <v>0</v>
      </c>
      <c r="M147" t="b">
        <v>0</v>
      </c>
      <c r="N147" t="b">
        <v>0</v>
      </c>
      <c r="O147" t="b">
        <v>0</v>
      </c>
      <c r="P147" t="b">
        <v>0</v>
      </c>
      <c r="Q147" t="b">
        <v>0</v>
      </c>
      <c r="R147" t="b">
        <v>0</v>
      </c>
      <c r="S147" t="b">
        <v>0</v>
      </c>
      <c r="T147" t="b">
        <v>0</v>
      </c>
      <c r="U147" t="b">
        <v>0</v>
      </c>
      <c r="V147" t="b">
        <v>0</v>
      </c>
      <c r="W147" t="b">
        <v>0</v>
      </c>
      <c r="X147" t="b">
        <v>1</v>
      </c>
      <c r="Y147" t="b">
        <v>0</v>
      </c>
      <c r="Z147" t="b">
        <v>0</v>
      </c>
      <c r="AA147" t="b">
        <v>0</v>
      </c>
      <c r="AB147" t="b">
        <v>0</v>
      </c>
      <c r="AC147" t="s">
        <v>173</v>
      </c>
      <c r="AD147" t="s">
        <v>183</v>
      </c>
      <c r="AE147" t="s">
        <v>173</v>
      </c>
      <c r="AF147" t="s">
        <v>173</v>
      </c>
      <c r="AG147" t="s">
        <v>173</v>
      </c>
      <c r="AH147" t="s">
        <v>173</v>
      </c>
      <c r="AI147" t="s">
        <v>173</v>
      </c>
      <c r="AJ147" t="s">
        <v>173</v>
      </c>
      <c r="AK147" t="s">
        <v>173</v>
      </c>
      <c r="AL147" t="s">
        <v>173</v>
      </c>
      <c r="AM147" t="s">
        <v>173</v>
      </c>
      <c r="AN147" t="s">
        <v>173</v>
      </c>
      <c r="AO147" t="s">
        <v>183</v>
      </c>
      <c r="AP147" t="s">
        <v>173</v>
      </c>
      <c r="AQ147" t="s">
        <v>183</v>
      </c>
      <c r="AR147" t="s">
        <v>173</v>
      </c>
      <c r="AS147" t="s">
        <v>173</v>
      </c>
      <c r="AT147" t="s">
        <v>173</v>
      </c>
      <c r="AU147" t="s">
        <v>173</v>
      </c>
      <c r="AV147" t="s">
        <v>183</v>
      </c>
      <c r="AW147" t="s">
        <v>183</v>
      </c>
      <c r="AX147" t="s">
        <v>193</v>
      </c>
      <c r="AY147" t="s">
        <v>195</v>
      </c>
      <c r="AZ147" t="s">
        <v>183</v>
      </c>
      <c r="BA147" t="s">
        <v>183</v>
      </c>
      <c r="BB147" t="s">
        <v>183</v>
      </c>
      <c r="BC147" t="s">
        <v>183</v>
      </c>
      <c r="BD147" t="s">
        <v>183</v>
      </c>
    </row>
    <row r="148" hidden="1" spans="1:56">
      <c r="A148">
        <v>147</v>
      </c>
      <c r="B148" t="s">
        <v>259</v>
      </c>
      <c r="C148">
        <v>2022</v>
      </c>
      <c r="D148" t="s">
        <v>247</v>
      </c>
      <c r="E148" t="s">
        <v>247</v>
      </c>
      <c r="F148" t="s">
        <v>256</v>
      </c>
      <c r="G148" t="s">
        <v>257</v>
      </c>
      <c r="H148" t="s">
        <v>264</v>
      </c>
      <c r="I148"/>
      <c r="J148" t="s">
        <v>281</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1</v>
      </c>
      <c r="AC148" t="s">
        <v>175</v>
      </c>
      <c r="AD148" t="s">
        <v>173</v>
      </c>
      <c r="AE148" t="s">
        <v>173</v>
      </c>
      <c r="AF148" t="s">
        <v>171</v>
      </c>
      <c r="AG148" t="s">
        <v>171</v>
      </c>
      <c r="AH148" t="s">
        <v>171</v>
      </c>
      <c r="AI148" t="s">
        <v>171</v>
      </c>
      <c r="AJ148" t="s">
        <v>171</v>
      </c>
      <c r="AK148" t="s">
        <v>171</v>
      </c>
      <c r="AL148" t="s">
        <v>171</v>
      </c>
      <c r="AM148" t="s">
        <v>171</v>
      </c>
      <c r="AN148" t="s">
        <v>183</v>
      </c>
      <c r="AO148" t="s">
        <v>175</v>
      </c>
      <c r="AP148" t="s">
        <v>173</v>
      </c>
      <c r="AQ148" t="s">
        <v>173</v>
      </c>
      <c r="AR148" t="s">
        <v>171</v>
      </c>
      <c r="AS148" t="s">
        <v>171</v>
      </c>
      <c r="AT148" t="s">
        <v>171</v>
      </c>
      <c r="AU148" t="s">
        <v>171</v>
      </c>
      <c r="AV148" t="s">
        <v>173</v>
      </c>
      <c r="AW148" t="s">
        <v>171</v>
      </c>
      <c r="AX148" t="s">
        <v>192</v>
      </c>
      <c r="AY148" t="s">
        <v>195</v>
      </c>
      <c r="AZ148" t="s">
        <v>183</v>
      </c>
      <c r="BA148" t="s">
        <v>183</v>
      </c>
      <c r="BB148" t="s">
        <v>183</v>
      </c>
      <c r="BC148" t="s">
        <v>183</v>
      </c>
      <c r="BD148" t="s">
        <v>183</v>
      </c>
    </row>
    <row r="149" hidden="1" spans="1:56">
      <c r="A149">
        <v>148</v>
      </c>
      <c r="B149" t="s">
        <v>269</v>
      </c>
      <c r="C149">
        <v>2022</v>
      </c>
      <c r="D149">
        <v>2012</v>
      </c>
      <c r="E149">
        <v>2012</v>
      </c>
      <c r="F149" t="s">
        <v>248</v>
      </c>
      <c r="G149" t="s">
        <v>242</v>
      </c>
      <c r="H149" t="s">
        <v>274</v>
      </c>
      <c r="I149"/>
      <c r="J149" t="s">
        <v>252</v>
      </c>
      <c r="K149" t="b">
        <v>0</v>
      </c>
      <c r="L149" t="b">
        <v>1</v>
      </c>
      <c r="M149" t="b">
        <v>0</v>
      </c>
      <c r="N149" t="b">
        <v>0</v>
      </c>
      <c r="O149" t="b">
        <v>0</v>
      </c>
      <c r="P149" t="b">
        <v>0</v>
      </c>
      <c r="Q149" t="b">
        <v>0</v>
      </c>
      <c r="R149" t="b">
        <v>1</v>
      </c>
      <c r="S149" t="b">
        <v>0</v>
      </c>
      <c r="T149" t="b">
        <v>1</v>
      </c>
      <c r="U149" t="b">
        <v>0</v>
      </c>
      <c r="V149" t="b">
        <v>0</v>
      </c>
      <c r="W149" t="b">
        <v>0</v>
      </c>
      <c r="X149" t="b">
        <v>0</v>
      </c>
      <c r="Y149" t="b">
        <v>0</v>
      </c>
      <c r="Z149" t="b">
        <v>0</v>
      </c>
      <c r="AA149" t="b">
        <v>0</v>
      </c>
      <c r="AB149" t="b">
        <v>0</v>
      </c>
      <c r="AC149" t="s">
        <v>175</v>
      </c>
      <c r="AD149" t="s">
        <v>173</v>
      </c>
      <c r="AE149" t="s">
        <v>173</v>
      </c>
      <c r="AF149" t="s">
        <v>173</v>
      </c>
      <c r="AG149" t="s">
        <v>173</v>
      </c>
      <c r="AH149" t="s">
        <v>171</v>
      </c>
      <c r="AI149" t="s">
        <v>173</v>
      </c>
      <c r="AJ149" t="s">
        <v>171</v>
      </c>
      <c r="AK149" t="s">
        <v>173</v>
      </c>
      <c r="AL149" t="s">
        <v>173</v>
      </c>
      <c r="AM149" t="s">
        <v>173</v>
      </c>
      <c r="AN149" t="s">
        <v>173</v>
      </c>
      <c r="AO149" t="s">
        <v>173</v>
      </c>
      <c r="AP149" t="s">
        <v>173</v>
      </c>
      <c r="AQ149" t="s">
        <v>173</v>
      </c>
      <c r="AR149" t="s">
        <v>171</v>
      </c>
      <c r="AS149" t="s">
        <v>171</v>
      </c>
      <c r="AT149" t="s">
        <v>171</v>
      </c>
      <c r="AU149" t="s">
        <v>171</v>
      </c>
      <c r="AV149" t="s">
        <v>173</v>
      </c>
      <c r="AW149" t="s">
        <v>171</v>
      </c>
      <c r="AX149" t="s">
        <v>193</v>
      </c>
      <c r="AY149" t="s">
        <v>200</v>
      </c>
      <c r="AZ149" t="s">
        <v>183</v>
      </c>
      <c r="BA149" t="s">
        <v>183</v>
      </c>
      <c r="BB149" t="s">
        <v>183</v>
      </c>
      <c r="BC149" t="s">
        <v>183</v>
      </c>
      <c r="BD149" t="s">
        <v>183</v>
      </c>
    </row>
    <row r="150" hidden="1" spans="1:56">
      <c r="A150">
        <v>149</v>
      </c>
      <c r="B150" t="s">
        <v>259</v>
      </c>
      <c r="C150">
        <v>2022</v>
      </c>
      <c r="D150">
        <v>2006</v>
      </c>
      <c r="E150">
        <v>2006</v>
      </c>
      <c r="F150" t="s">
        <v>275</v>
      </c>
      <c r="G150"/>
      <c r="H150" t="s">
        <v>247</v>
      </c>
      <c r="I150"/>
      <c r="J150" t="s">
        <v>265</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1</v>
      </c>
      <c r="AC150" t="s">
        <v>171</v>
      </c>
      <c r="AD150" t="s">
        <v>173</v>
      </c>
      <c r="AE150" t="s">
        <v>171</v>
      </c>
      <c r="AF150" t="s">
        <v>171</v>
      </c>
      <c r="AG150" t="s">
        <v>171</v>
      </c>
      <c r="AH150" t="s">
        <v>171</v>
      </c>
      <c r="AI150" t="s">
        <v>171</v>
      </c>
      <c r="AJ150" t="s">
        <v>173</v>
      </c>
      <c r="AK150" t="s">
        <v>173</v>
      </c>
      <c r="AL150" t="s">
        <v>171</v>
      </c>
      <c r="AM150" t="s">
        <v>173</v>
      </c>
      <c r="AN150" t="s">
        <v>173</v>
      </c>
      <c r="AO150" t="s">
        <v>173</v>
      </c>
      <c r="AP150" t="s">
        <v>173</v>
      </c>
      <c r="AQ150" t="s">
        <v>173</v>
      </c>
      <c r="AR150" t="s">
        <v>173</v>
      </c>
      <c r="AS150" t="s">
        <v>171</v>
      </c>
      <c r="AT150" t="s">
        <v>171</v>
      </c>
      <c r="AU150" t="s">
        <v>173</v>
      </c>
      <c r="AV150" t="s">
        <v>181</v>
      </c>
      <c r="AW150" t="s">
        <v>171</v>
      </c>
      <c r="AX150" t="s">
        <v>192</v>
      </c>
      <c r="AY150" t="s">
        <v>195</v>
      </c>
      <c r="AZ150" t="s">
        <v>183</v>
      </c>
      <c r="BA150" t="s">
        <v>183</v>
      </c>
      <c r="BB150" t="s">
        <v>183</v>
      </c>
      <c r="BC150" t="s">
        <v>183</v>
      </c>
      <c r="BD150" t="s">
        <v>183</v>
      </c>
    </row>
    <row r="151" spans="1:65">
      <c r="A151">
        <v>150</v>
      </c>
      <c r="B151" t="s">
        <v>282</v>
      </c>
      <c r="C151" s="10">
        <v>2022</v>
      </c>
      <c r="D151" s="10">
        <v>2017</v>
      </c>
      <c r="E151" s="10">
        <v>2017</v>
      </c>
      <c r="F151" s="10" t="s">
        <v>241</v>
      </c>
      <c r="G151" s="10" t="s">
        <v>242</v>
      </c>
      <c r="H151" s="10" t="s">
        <v>243</v>
      </c>
      <c r="I151" s="10" t="s">
        <v>295</v>
      </c>
      <c r="J151" s="10" t="s">
        <v>245</v>
      </c>
      <c r="K151" t="b">
        <v>0</v>
      </c>
      <c r="L151" t="b">
        <v>1</v>
      </c>
      <c r="M151" t="b">
        <v>0</v>
      </c>
      <c r="N151" t="b">
        <v>1</v>
      </c>
      <c r="O151" t="b">
        <v>1</v>
      </c>
      <c r="P151" t="b">
        <v>0</v>
      </c>
      <c r="Q151" t="b">
        <v>0</v>
      </c>
      <c r="R151" t="b">
        <v>0</v>
      </c>
      <c r="S151" t="b">
        <v>0</v>
      </c>
      <c r="T151" t="b">
        <v>0</v>
      </c>
      <c r="U151" t="b">
        <v>0</v>
      </c>
      <c r="V151" t="b">
        <v>0</v>
      </c>
      <c r="W151" t="b">
        <v>0</v>
      </c>
      <c r="X151" t="b">
        <v>0</v>
      </c>
      <c r="Y151" t="b">
        <v>0</v>
      </c>
      <c r="Z151" t="b">
        <v>0</v>
      </c>
      <c r="AA151" t="b">
        <v>0</v>
      </c>
      <c r="AB151" t="b">
        <v>0</v>
      </c>
      <c r="AC151" s="10" t="s">
        <v>173</v>
      </c>
      <c r="AD151" t="s">
        <v>177</v>
      </c>
      <c r="AE151" t="s">
        <v>175</v>
      </c>
      <c r="AF151" t="s">
        <v>175</v>
      </c>
      <c r="AG151" t="s">
        <v>175</v>
      </c>
      <c r="AH151" t="s">
        <v>175</v>
      </c>
      <c r="AI151" t="s">
        <v>175</v>
      </c>
      <c r="AJ151" t="s">
        <v>173</v>
      </c>
      <c r="AK151" t="s">
        <v>175</v>
      </c>
      <c r="AL151" t="s">
        <v>175</v>
      </c>
      <c r="AM151" t="s">
        <v>177</v>
      </c>
      <c r="AN151" t="s">
        <v>175</v>
      </c>
      <c r="AO151" t="s">
        <v>173</v>
      </c>
      <c r="AP151" t="s">
        <v>173</v>
      </c>
      <c r="AQ151" t="s">
        <v>173</v>
      </c>
      <c r="AR151" t="s">
        <v>173</v>
      </c>
      <c r="AS151" t="s">
        <v>173</v>
      </c>
      <c r="AT151" t="s">
        <v>173</v>
      </c>
      <c r="AU151" t="s">
        <v>173</v>
      </c>
      <c r="AV151" t="s">
        <v>175</v>
      </c>
      <c r="AW151" t="s">
        <v>175</v>
      </c>
      <c r="AX151" t="s">
        <v>192</v>
      </c>
      <c r="AY151" t="s">
        <v>200</v>
      </c>
      <c r="AZ151" t="s">
        <v>207</v>
      </c>
      <c r="BA151" t="s">
        <v>207</v>
      </c>
      <c r="BB151" t="s">
        <v>207</v>
      </c>
      <c r="BC151" t="s">
        <v>207</v>
      </c>
      <c r="BD151" t="s">
        <v>207</v>
      </c>
      <c r="BE151" t="str">
        <f>IF(AY151="","Unknown",AY151)</f>
        <v>26-30</v>
      </c>
      <c r="BF151" s="11" t="str">
        <f>IF(AZ151="","unknown",AZ151)</f>
        <v>NO</v>
      </c>
      <c r="BG151" s="11" t="str">
        <f>IF(BA151="","UNKNOWN",BA151)</f>
        <v>NO</v>
      </c>
      <c r="BH151" s="11" t="str">
        <f>IF(BB151="","unknown",BB151)</f>
        <v>NO</v>
      </c>
      <c r="BI151" s="11" t="str">
        <f>IF(BC151="","Unknon",BC151)</f>
        <v>NO</v>
      </c>
      <c r="BJ151" s="11" t="str">
        <f>IF(BD151="","Unknown",BD151)</f>
        <v>NO</v>
      </c>
      <c r="BK151" s="11">
        <f>VALUE(C151)-VALUE(D151)</f>
        <v>5</v>
      </c>
      <c r="BM151" s="11"/>
    </row>
    <row r="152" spans="1:65">
      <c r="A152">
        <v>151</v>
      </c>
      <c r="B152" t="s">
        <v>286</v>
      </c>
      <c r="C152" s="10">
        <v>2022</v>
      </c>
      <c r="D152" s="10">
        <v>2005</v>
      </c>
      <c r="E152" s="10">
        <v>2018</v>
      </c>
      <c r="F152" s="10" t="s">
        <v>241</v>
      </c>
      <c r="G152" s="10" t="s">
        <v>242</v>
      </c>
      <c r="H152" s="10" t="s">
        <v>243</v>
      </c>
      <c r="I152" s="10" t="s">
        <v>295</v>
      </c>
      <c r="J152" s="10" t="s">
        <v>245</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1</v>
      </c>
      <c r="AC152" s="10" t="s">
        <v>175</v>
      </c>
      <c r="AD152" t="s">
        <v>175</v>
      </c>
      <c r="AE152" t="s">
        <v>173</v>
      </c>
      <c r="AG152" t="s">
        <v>175</v>
      </c>
      <c r="AH152" t="s">
        <v>173</v>
      </c>
      <c r="AI152" t="s">
        <v>173</v>
      </c>
      <c r="AJ152" t="s">
        <v>173</v>
      </c>
      <c r="AK152" t="s">
        <v>173</v>
      </c>
      <c r="AL152" t="s">
        <v>173</v>
      </c>
      <c r="AM152" t="s">
        <v>173</v>
      </c>
      <c r="AN152" t="s">
        <v>173</v>
      </c>
      <c r="AO152" t="s">
        <v>175</v>
      </c>
      <c r="AP152" t="s">
        <v>173</v>
      </c>
      <c r="AQ152" t="s">
        <v>175</v>
      </c>
      <c r="AR152" t="s">
        <v>173</v>
      </c>
      <c r="AS152" t="s">
        <v>175</v>
      </c>
      <c r="AT152" t="s">
        <v>173</v>
      </c>
      <c r="AU152" t="s">
        <v>173</v>
      </c>
      <c r="AV152" t="s">
        <v>175</v>
      </c>
      <c r="AW152" t="s">
        <v>175</v>
      </c>
      <c r="AX152" t="s">
        <v>192</v>
      </c>
      <c r="AY152" t="s">
        <v>204</v>
      </c>
      <c r="AZ152" t="s">
        <v>207</v>
      </c>
      <c r="BA152" t="s">
        <v>207</v>
      </c>
      <c r="BB152" t="s">
        <v>207</v>
      </c>
      <c r="BC152" t="s">
        <v>207</v>
      </c>
      <c r="BD152" t="s">
        <v>207</v>
      </c>
      <c r="BE152" t="str">
        <f>IF(AY152="","Unknown",AY152)</f>
        <v>61Not StatedorNot Statedolder</v>
      </c>
      <c r="BF152" s="11" t="str">
        <f>IF(AZ152="","unknown",AZ152)</f>
        <v>NO</v>
      </c>
      <c r="BG152" s="11" t="str">
        <f>IF(BA152="","UNKNOWN",BA152)</f>
        <v>NO</v>
      </c>
      <c r="BH152" s="11" t="str">
        <f>IF(BB152="","unknown",BB152)</f>
        <v>NO</v>
      </c>
      <c r="BI152" s="11" t="str">
        <f>IF(BC152="","Unknon",BC152)</f>
        <v>NO</v>
      </c>
      <c r="BJ152" s="11" t="str">
        <f>IF(BD152="","Unknown",BD152)</f>
        <v>NO</v>
      </c>
      <c r="BK152" s="11">
        <f>VALUE(C152)-VALUE(D152)</f>
        <v>17</v>
      </c>
      <c r="BM152" s="11"/>
    </row>
    <row r="153" hidden="1" spans="1:56">
      <c r="A153">
        <v>152</v>
      </c>
      <c r="B153" t="s">
        <v>259</v>
      </c>
      <c r="C153">
        <v>2022</v>
      </c>
      <c r="D153" t="s">
        <v>247</v>
      </c>
      <c r="E153" t="s">
        <v>247</v>
      </c>
      <c r="F153" t="s">
        <v>262</v>
      </c>
      <c r="G153"/>
      <c r="H153" t="s">
        <v>274</v>
      </c>
      <c r="I153"/>
      <c r="J153" t="s">
        <v>281</v>
      </c>
      <c r="K153" t="b">
        <v>0</v>
      </c>
      <c r="L153" t="b">
        <v>0</v>
      </c>
      <c r="M153" t="b">
        <v>0</v>
      </c>
      <c r="N153" t="b">
        <v>1</v>
      </c>
      <c r="O153" t="b">
        <v>0</v>
      </c>
      <c r="P153" t="b">
        <v>0</v>
      </c>
      <c r="Q153" t="b">
        <v>0</v>
      </c>
      <c r="R153" t="b">
        <v>0</v>
      </c>
      <c r="S153" t="b">
        <v>0</v>
      </c>
      <c r="T153" t="b">
        <v>0</v>
      </c>
      <c r="U153" t="b">
        <v>0</v>
      </c>
      <c r="V153" t="b">
        <v>0</v>
      </c>
      <c r="W153" t="b">
        <v>0</v>
      </c>
      <c r="X153" t="b">
        <v>0</v>
      </c>
      <c r="Y153" t="b">
        <v>0</v>
      </c>
      <c r="Z153" t="b">
        <v>0</v>
      </c>
      <c r="AA153" t="b">
        <v>0</v>
      </c>
      <c r="AB153" t="b">
        <v>0</v>
      </c>
      <c r="AC153" t="s">
        <v>175</v>
      </c>
      <c r="AD153" t="s">
        <v>183</v>
      </c>
      <c r="AE153" t="s">
        <v>173</v>
      </c>
      <c r="AF153" t="s">
        <v>173</v>
      </c>
      <c r="AG153" t="s">
        <v>175</v>
      </c>
      <c r="AH153" t="s">
        <v>175</v>
      </c>
      <c r="AI153" t="s">
        <v>175</v>
      </c>
      <c r="AJ153" t="s">
        <v>173</v>
      </c>
      <c r="AK153" t="s">
        <v>175</v>
      </c>
      <c r="AL153" t="s">
        <v>173</v>
      </c>
      <c r="AM153" t="s">
        <v>177</v>
      </c>
      <c r="AN153" t="s">
        <v>177</v>
      </c>
      <c r="AO153" t="s">
        <v>175</v>
      </c>
      <c r="AP153" t="s">
        <v>173</v>
      </c>
      <c r="AQ153" t="s">
        <v>177</v>
      </c>
      <c r="AR153" t="s">
        <v>173</v>
      </c>
      <c r="AS153" t="s">
        <v>173</v>
      </c>
      <c r="AT153" t="s">
        <v>175</v>
      </c>
      <c r="AU153" t="s">
        <v>173</v>
      </c>
      <c r="AV153" t="s">
        <v>173</v>
      </c>
      <c r="AW153" t="s">
        <v>173</v>
      </c>
      <c r="AX153" t="s">
        <v>193</v>
      </c>
      <c r="AY153" t="s">
        <v>195</v>
      </c>
      <c r="AZ153" t="s">
        <v>183</v>
      </c>
      <c r="BA153" t="s">
        <v>183</v>
      </c>
      <c r="BB153" t="s">
        <v>183</v>
      </c>
      <c r="BC153" t="s">
        <v>183</v>
      </c>
      <c r="BD153" t="s">
        <v>183</v>
      </c>
    </row>
    <row r="154" spans="1:65">
      <c r="A154">
        <v>153</v>
      </c>
      <c r="B154" t="s">
        <v>282</v>
      </c>
      <c r="C154" s="10">
        <v>2022</v>
      </c>
      <c r="D154" s="10">
        <v>2002</v>
      </c>
      <c r="E154" s="10">
        <v>2021</v>
      </c>
      <c r="F154" s="10" t="s">
        <v>241</v>
      </c>
      <c r="G154" s="10" t="s">
        <v>249</v>
      </c>
      <c r="H154" s="10" t="s">
        <v>243</v>
      </c>
      <c r="I154" s="10" t="s">
        <v>295</v>
      </c>
      <c r="J154" s="10" t="s">
        <v>245</v>
      </c>
      <c r="K154" t="b">
        <v>0</v>
      </c>
      <c r="L154" t="b">
        <v>0</v>
      </c>
      <c r="M154" t="b">
        <v>0</v>
      </c>
      <c r="N154" t="b">
        <v>1</v>
      </c>
      <c r="O154" t="b">
        <v>0</v>
      </c>
      <c r="P154" t="b">
        <v>0</v>
      </c>
      <c r="Q154" t="b">
        <v>0</v>
      </c>
      <c r="R154" t="b">
        <v>1</v>
      </c>
      <c r="S154" t="b">
        <v>1</v>
      </c>
      <c r="T154" t="b">
        <v>0</v>
      </c>
      <c r="U154" t="b">
        <v>0</v>
      </c>
      <c r="V154" t="b">
        <v>0</v>
      </c>
      <c r="W154" t="b">
        <v>0</v>
      </c>
      <c r="X154" t="b">
        <v>0</v>
      </c>
      <c r="Y154" t="b">
        <v>0</v>
      </c>
      <c r="Z154" t="b">
        <v>0</v>
      </c>
      <c r="AA154" t="b">
        <v>0</v>
      </c>
      <c r="AB154" t="b">
        <v>0</v>
      </c>
      <c r="AC154" s="10" t="s">
        <v>171</v>
      </c>
      <c r="AD154" t="s">
        <v>175</v>
      </c>
      <c r="AE154" t="s">
        <v>177</v>
      </c>
      <c r="AF154" t="s">
        <v>177</v>
      </c>
      <c r="AG154" t="s">
        <v>171</v>
      </c>
      <c r="AH154" t="s">
        <v>173</v>
      </c>
      <c r="AI154" t="s">
        <v>173</v>
      </c>
      <c r="AJ154" t="s">
        <v>179</v>
      </c>
      <c r="AK154" t="s">
        <v>173</v>
      </c>
      <c r="AL154" t="s">
        <v>171</v>
      </c>
      <c r="AM154" t="s">
        <v>175</v>
      </c>
      <c r="AN154" t="s">
        <v>173</v>
      </c>
      <c r="AO154" t="s">
        <v>177</v>
      </c>
      <c r="AP154" t="s">
        <v>175</v>
      </c>
      <c r="AQ154" t="s">
        <v>175</v>
      </c>
      <c r="AR154" t="s">
        <v>179</v>
      </c>
      <c r="AS154" t="s">
        <v>175</v>
      </c>
      <c r="AT154" t="s">
        <v>177</v>
      </c>
      <c r="AU154" t="s">
        <v>177</v>
      </c>
      <c r="AV154" t="s">
        <v>175</v>
      </c>
      <c r="AW154" t="s">
        <v>179</v>
      </c>
      <c r="AX154" t="s">
        <v>192</v>
      </c>
      <c r="AY154" t="s">
        <v>201</v>
      </c>
      <c r="AZ154" t="s">
        <v>207</v>
      </c>
      <c r="BA154" t="s">
        <v>207</v>
      </c>
      <c r="BB154" t="s">
        <v>207</v>
      </c>
      <c r="BC154" t="s">
        <v>207</v>
      </c>
      <c r="BD154" t="s">
        <v>208</v>
      </c>
      <c r="BE154" t="str">
        <f>IF(AY154="","Unknown",AY154)</f>
        <v>36-40</v>
      </c>
      <c r="BF154" s="11" t="str">
        <f>IF(AZ154="","unknown",AZ154)</f>
        <v>NO</v>
      </c>
      <c r="BG154" s="11" t="str">
        <f>IF(BA154="","UNKNOWN",BA154)</f>
        <v>NO</v>
      </c>
      <c r="BH154" s="11" t="str">
        <f>IF(BB154="","unknown",BB154)</f>
        <v>NO</v>
      </c>
      <c r="BI154" s="11" t="str">
        <f>IF(BC154="","Unknon",BC154)</f>
        <v>NO</v>
      </c>
      <c r="BJ154" s="11" t="str">
        <f>IF(BD154="","Unknown",BD154)</f>
        <v>Yes</v>
      </c>
      <c r="BK154" s="11">
        <f>VALUE(C154)-VALUE(D154)</f>
        <v>20</v>
      </c>
      <c r="BM154" s="11"/>
    </row>
    <row r="155" spans="1:65">
      <c r="A155">
        <v>154</v>
      </c>
      <c r="B155" t="s">
        <v>286</v>
      </c>
      <c r="C155" s="10">
        <v>2022</v>
      </c>
      <c r="D155" s="10">
        <v>2011</v>
      </c>
      <c r="E155" s="10">
        <v>2017</v>
      </c>
      <c r="F155" s="10" t="s">
        <v>241</v>
      </c>
      <c r="G155" s="10" t="s">
        <v>249</v>
      </c>
      <c r="H155" s="10" t="s">
        <v>243</v>
      </c>
      <c r="I155" s="10" t="s">
        <v>271</v>
      </c>
      <c r="J155" s="10" t="s">
        <v>245</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1</v>
      </c>
      <c r="AC155" s="10" t="s">
        <v>173</v>
      </c>
      <c r="AD155" t="s">
        <v>173</v>
      </c>
      <c r="AE155" t="s">
        <v>173</v>
      </c>
      <c r="AF155" t="s">
        <v>173</v>
      </c>
      <c r="AG155" t="s">
        <v>173</v>
      </c>
      <c r="AH155" t="s">
        <v>171</v>
      </c>
      <c r="AI155" t="s">
        <v>171</v>
      </c>
      <c r="AJ155" t="s">
        <v>173</v>
      </c>
      <c r="AK155" t="s">
        <v>173</v>
      </c>
      <c r="AL155" t="s">
        <v>173</v>
      </c>
      <c r="AM155" t="s">
        <v>173</v>
      </c>
      <c r="AN155" t="s">
        <v>173</v>
      </c>
      <c r="AO155" t="s">
        <v>173</v>
      </c>
      <c r="AP155" t="s">
        <v>173</v>
      </c>
      <c r="AQ155" t="s">
        <v>173</v>
      </c>
      <c r="AR155" t="s">
        <v>173</v>
      </c>
      <c r="AS155" t="s">
        <v>173</v>
      </c>
      <c r="AT155" t="s">
        <v>173</v>
      </c>
      <c r="AU155" t="s">
        <v>173</v>
      </c>
      <c r="AV155" t="s">
        <v>177</v>
      </c>
      <c r="AW155" t="s">
        <v>173</v>
      </c>
      <c r="AX155" t="s">
        <v>192</v>
      </c>
      <c r="AY155" t="s">
        <v>201</v>
      </c>
      <c r="AZ155" t="s">
        <v>207</v>
      </c>
      <c r="BA155" t="s">
        <v>207</v>
      </c>
      <c r="BB155" t="s">
        <v>207</v>
      </c>
      <c r="BC155" t="s">
        <v>207</v>
      </c>
      <c r="BD155" t="s">
        <v>208</v>
      </c>
      <c r="BE155" t="str">
        <f>IF(AY155="","Unknown",AY155)</f>
        <v>36-40</v>
      </c>
      <c r="BF155" s="11" t="str">
        <f>IF(AZ155="","unknown",AZ155)</f>
        <v>NO</v>
      </c>
      <c r="BG155" s="11" t="str">
        <f>IF(BA155="","UNKNOWN",BA155)</f>
        <v>NO</v>
      </c>
      <c r="BH155" s="11" t="str">
        <f>IF(BB155="","unknown",BB155)</f>
        <v>NO</v>
      </c>
      <c r="BI155" s="11" t="str">
        <f>IF(BC155="","Unknon",BC155)</f>
        <v>NO</v>
      </c>
      <c r="BJ155" s="11" t="str">
        <f>IF(BD155="","Unknown",BD155)</f>
        <v>Yes</v>
      </c>
      <c r="BK155" s="11">
        <f>VALUE(C155)-VALUE(D155)</f>
        <v>11</v>
      </c>
      <c r="BM155" s="11"/>
    </row>
    <row r="156" spans="1:65">
      <c r="A156">
        <v>155</v>
      </c>
      <c r="B156" t="s">
        <v>296</v>
      </c>
      <c r="C156" s="10">
        <v>2022</v>
      </c>
      <c r="D156" s="10">
        <v>1980</v>
      </c>
      <c r="E156" s="10">
        <v>2014</v>
      </c>
      <c r="F156" s="10" t="s">
        <v>241</v>
      </c>
      <c r="G156" s="10" t="s">
        <v>249</v>
      </c>
      <c r="H156" s="10" t="s">
        <v>243</v>
      </c>
      <c r="I156" s="10" t="s">
        <v>295</v>
      </c>
      <c r="J156" s="10" t="s">
        <v>245</v>
      </c>
      <c r="K156" t="b">
        <v>0</v>
      </c>
      <c r="L156" t="b">
        <v>0</v>
      </c>
      <c r="M156" t="b">
        <v>0</v>
      </c>
      <c r="N156" t="b">
        <v>0</v>
      </c>
      <c r="O156" t="b">
        <v>0</v>
      </c>
      <c r="P156" t="b">
        <v>0</v>
      </c>
      <c r="Q156" t="b">
        <v>0</v>
      </c>
      <c r="R156" t="b">
        <v>1</v>
      </c>
      <c r="S156" t="b">
        <v>0</v>
      </c>
      <c r="T156" t="b">
        <v>0</v>
      </c>
      <c r="U156" t="b">
        <v>0</v>
      </c>
      <c r="V156" t="b">
        <v>0</v>
      </c>
      <c r="W156" t="b">
        <v>0</v>
      </c>
      <c r="X156" t="b">
        <v>0</v>
      </c>
      <c r="Y156" t="b">
        <v>0</v>
      </c>
      <c r="Z156" t="b">
        <v>0</v>
      </c>
      <c r="AA156" t="b">
        <v>0</v>
      </c>
      <c r="AB156" t="b">
        <v>0</v>
      </c>
      <c r="AC156" s="10" t="s">
        <v>173</v>
      </c>
      <c r="AD156" t="s">
        <v>175</v>
      </c>
      <c r="AE156" t="s">
        <v>179</v>
      </c>
      <c r="AF156" t="s">
        <v>173</v>
      </c>
      <c r="AG156" t="s">
        <v>173</v>
      </c>
      <c r="AH156" t="s">
        <v>175</v>
      </c>
      <c r="AI156" t="s">
        <v>175</v>
      </c>
      <c r="AJ156" t="s">
        <v>175</v>
      </c>
      <c r="AK156" t="s">
        <v>175</v>
      </c>
      <c r="AL156" t="s">
        <v>175</v>
      </c>
      <c r="AM156" t="s">
        <v>175</v>
      </c>
      <c r="AN156" t="s">
        <v>175</v>
      </c>
      <c r="AO156" t="s">
        <v>179</v>
      </c>
      <c r="AP156" t="s">
        <v>175</v>
      </c>
      <c r="AQ156" t="s">
        <v>175</v>
      </c>
      <c r="AR156" t="s">
        <v>173</v>
      </c>
      <c r="AS156" t="s">
        <v>173</v>
      </c>
      <c r="AT156" t="s">
        <v>173</v>
      </c>
      <c r="AU156" t="s">
        <v>173</v>
      </c>
      <c r="AV156" t="s">
        <v>175</v>
      </c>
      <c r="AW156" t="s">
        <v>175</v>
      </c>
      <c r="AX156" t="s">
        <v>193</v>
      </c>
      <c r="AY156" t="s">
        <v>204</v>
      </c>
      <c r="AZ156" t="s">
        <v>207</v>
      </c>
      <c r="BA156" t="s">
        <v>207</v>
      </c>
      <c r="BB156" t="s">
        <v>207</v>
      </c>
      <c r="BC156" t="s">
        <v>207</v>
      </c>
      <c r="BD156" t="s">
        <v>207</v>
      </c>
      <c r="BE156" t="str">
        <f>IF(AY156="","Unknown",AY156)</f>
        <v>61Not StatedorNot Statedolder</v>
      </c>
      <c r="BF156" s="11" t="str">
        <f>IF(AZ156="","unknown",AZ156)</f>
        <v>NO</v>
      </c>
      <c r="BG156" s="11" t="str">
        <f>IF(BA156="","UNKNOWN",BA156)</f>
        <v>NO</v>
      </c>
      <c r="BH156" s="11" t="str">
        <f>IF(BB156="","unknown",BB156)</f>
        <v>NO</v>
      </c>
      <c r="BI156" s="11" t="str">
        <f>IF(BC156="","Unknon",BC156)</f>
        <v>NO</v>
      </c>
      <c r="BJ156" s="11" t="str">
        <f>IF(BD156="","Unknown",BD156)</f>
        <v>NO</v>
      </c>
      <c r="BK156" s="11">
        <f>VALUE(C156)-VALUE(D156)</f>
        <v>42</v>
      </c>
      <c r="BM156" s="11"/>
    </row>
    <row r="157" spans="1:65">
      <c r="A157">
        <v>156</v>
      </c>
      <c r="B157" t="s">
        <v>296</v>
      </c>
      <c r="C157" s="10">
        <v>2022</v>
      </c>
      <c r="D157" s="10">
        <v>2015</v>
      </c>
      <c r="E157" s="10">
        <v>2019</v>
      </c>
      <c r="F157" s="10" t="s">
        <v>241</v>
      </c>
      <c r="G157" s="10" t="s">
        <v>242</v>
      </c>
      <c r="H157" s="10" t="s">
        <v>243</v>
      </c>
      <c r="I157" s="10" t="s">
        <v>271</v>
      </c>
      <c r="J157" s="10" t="s">
        <v>245</v>
      </c>
      <c r="K157" t="b">
        <v>0</v>
      </c>
      <c r="L157" t="b">
        <v>0</v>
      </c>
      <c r="M157" t="b">
        <v>0</v>
      </c>
      <c r="N157" t="b">
        <v>1</v>
      </c>
      <c r="O157" t="b">
        <v>0</v>
      </c>
      <c r="P157" t="b">
        <v>0</v>
      </c>
      <c r="Q157" t="b">
        <v>0</v>
      </c>
      <c r="R157" t="b">
        <v>1</v>
      </c>
      <c r="S157" t="b">
        <v>0</v>
      </c>
      <c r="T157" t="b">
        <v>0</v>
      </c>
      <c r="U157" t="b">
        <v>0</v>
      </c>
      <c r="V157" t="b">
        <v>0</v>
      </c>
      <c r="W157" t="b">
        <v>0</v>
      </c>
      <c r="X157" t="b">
        <v>0</v>
      </c>
      <c r="Y157" t="b">
        <v>0</v>
      </c>
      <c r="Z157" t="b">
        <v>0</v>
      </c>
      <c r="AA157" t="b">
        <v>0</v>
      </c>
      <c r="AB157" t="b">
        <v>0</v>
      </c>
      <c r="AC157" s="10" t="s">
        <v>173</v>
      </c>
      <c r="AD157" t="s">
        <v>175</v>
      </c>
      <c r="AE157" t="s">
        <v>173</v>
      </c>
      <c r="AF157" t="s">
        <v>173</v>
      </c>
      <c r="AG157" t="s">
        <v>173</v>
      </c>
      <c r="AH157" t="s">
        <v>173</v>
      </c>
      <c r="AI157" t="s">
        <v>173</v>
      </c>
      <c r="AJ157" t="s">
        <v>173</v>
      </c>
      <c r="AK157" t="s">
        <v>173</v>
      </c>
      <c r="AL157" t="s">
        <v>173</v>
      </c>
      <c r="AM157" t="s">
        <v>175</v>
      </c>
      <c r="AN157" t="s">
        <v>173</v>
      </c>
      <c r="AO157" t="s">
        <v>175</v>
      </c>
      <c r="AP157" t="s">
        <v>173</v>
      </c>
      <c r="AQ157" t="s">
        <v>175</v>
      </c>
      <c r="AR157" t="s">
        <v>173</v>
      </c>
      <c r="AS157" t="s">
        <v>173</v>
      </c>
      <c r="AT157" t="s">
        <v>173</v>
      </c>
      <c r="AU157" t="s">
        <v>173</v>
      </c>
      <c r="AV157" t="s">
        <v>173</v>
      </c>
      <c r="AW157" t="s">
        <v>173</v>
      </c>
      <c r="AX157" t="s">
        <v>192</v>
      </c>
      <c r="AY157" t="s">
        <v>202</v>
      </c>
      <c r="AZ157" t="s">
        <v>207</v>
      </c>
      <c r="BA157" t="s">
        <v>207</v>
      </c>
      <c r="BB157" t="s">
        <v>207</v>
      </c>
      <c r="BC157" t="s">
        <v>207</v>
      </c>
      <c r="BD157" t="s">
        <v>207</v>
      </c>
      <c r="BE157" t="str">
        <f>IF(AY157="","Unknown",AY157)</f>
        <v>21-25</v>
      </c>
      <c r="BF157" s="11" t="str">
        <f>IF(AZ157="","unknown",AZ157)</f>
        <v>NO</v>
      </c>
      <c r="BG157" s="11" t="str">
        <f>IF(BA157="","UNKNOWN",BA157)</f>
        <v>NO</v>
      </c>
      <c r="BH157" s="11" t="str">
        <f>IF(BB157="","unknown",BB157)</f>
        <v>NO</v>
      </c>
      <c r="BI157" s="11" t="str">
        <f>IF(BC157="","Unknon",BC157)</f>
        <v>NO</v>
      </c>
      <c r="BJ157" s="11" t="str">
        <f>IF(BD157="","Unknown",BD157)</f>
        <v>NO</v>
      </c>
      <c r="BK157" s="11">
        <f>VALUE(C157)-VALUE(D157)</f>
        <v>7</v>
      </c>
      <c r="BM157" s="11"/>
    </row>
    <row r="158" hidden="1" spans="1:56">
      <c r="A158">
        <v>157</v>
      </c>
      <c r="B158" t="s">
        <v>282</v>
      </c>
      <c r="C158">
        <v>2022</v>
      </c>
      <c r="D158">
        <v>2016</v>
      </c>
      <c r="E158">
        <v>2019</v>
      </c>
      <c r="F158" t="s">
        <v>289</v>
      </c>
      <c r="G158"/>
      <c r="H158" t="s">
        <v>250</v>
      </c>
      <c r="I158" t="s">
        <v>283</v>
      </c>
      <c r="J158" t="s">
        <v>290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1</v>
      </c>
      <c r="AC158" t="s">
        <v>173</v>
      </c>
      <c r="AD158" t="s">
        <v>173</v>
      </c>
      <c r="AE158" t="s">
        <v>173</v>
      </c>
      <c r="AF158" t="s">
        <v>173</v>
      </c>
      <c r="AG158" t="s">
        <v>173</v>
      </c>
      <c r="AH158" t="s">
        <v>171</v>
      </c>
      <c r="AI158" t="s">
        <v>173</v>
      </c>
      <c r="AJ158" t="s">
        <v>173</v>
      </c>
      <c r="AK158" t="s">
        <v>175</v>
      </c>
      <c r="AL158" t="s">
        <v>171</v>
      </c>
      <c r="AM158" t="s">
        <v>171</v>
      </c>
      <c r="AN158" t="s">
        <v>171</v>
      </c>
      <c r="AO158" t="s">
        <v>171</v>
      </c>
      <c r="AP158" t="s">
        <v>171</v>
      </c>
      <c r="AQ158" t="s">
        <v>171</v>
      </c>
      <c r="AR158" t="s">
        <v>175</v>
      </c>
      <c r="AS158" t="s">
        <v>171</v>
      </c>
      <c r="AT158" t="s">
        <v>171</v>
      </c>
      <c r="AU158" t="s">
        <v>173</v>
      </c>
      <c r="AV158" t="s">
        <v>171</v>
      </c>
      <c r="AW158" t="s">
        <v>171</v>
      </c>
      <c r="AX158" t="s">
        <v>193</v>
      </c>
      <c r="AY158" t="s">
        <v>200</v>
      </c>
      <c r="AZ158" t="s">
        <v>183</v>
      </c>
      <c r="BA158" t="s">
        <v>183</v>
      </c>
      <c r="BB158" t="s">
        <v>183</v>
      </c>
      <c r="BC158" t="s">
        <v>183</v>
      </c>
      <c r="BD158" t="s">
        <v>183</v>
      </c>
    </row>
    <row r="159" spans="1:65">
      <c r="A159">
        <v>158</v>
      </c>
      <c r="B159" t="s">
        <v>282</v>
      </c>
      <c r="C159" s="10">
        <v>2022</v>
      </c>
      <c r="D159" s="10">
        <v>2018</v>
      </c>
      <c r="E159" s="10">
        <v>2020</v>
      </c>
      <c r="F159" s="10" t="s">
        <v>241</v>
      </c>
      <c r="G159" s="10" t="s">
        <v>249</v>
      </c>
      <c r="H159" s="10" t="s">
        <v>243</v>
      </c>
      <c r="I159" s="10" t="s">
        <v>278</v>
      </c>
      <c r="J159" s="10" t="s">
        <v>285</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1</v>
      </c>
      <c r="AC159" s="10" t="s">
        <v>175</v>
      </c>
      <c r="AD159" t="s">
        <v>171</v>
      </c>
      <c r="AE159" t="s">
        <v>171</v>
      </c>
      <c r="AF159" t="s">
        <v>173</v>
      </c>
      <c r="AG159" t="s">
        <v>173</v>
      </c>
      <c r="AH159" t="s">
        <v>171</v>
      </c>
      <c r="AI159" t="s">
        <v>171</v>
      </c>
      <c r="AJ159" t="s">
        <v>173</v>
      </c>
      <c r="AK159" t="s">
        <v>171</v>
      </c>
      <c r="AL159" t="s">
        <v>171</v>
      </c>
      <c r="AM159" t="s">
        <v>171</v>
      </c>
      <c r="AN159" t="s">
        <v>173</v>
      </c>
      <c r="AO159" t="s">
        <v>173</v>
      </c>
      <c r="AP159" t="s">
        <v>173</v>
      </c>
      <c r="AQ159" t="s">
        <v>171</v>
      </c>
      <c r="AR159" t="s">
        <v>173</v>
      </c>
      <c r="AS159" t="s">
        <v>171</v>
      </c>
      <c r="AT159" t="s">
        <v>175</v>
      </c>
      <c r="AU159" t="s">
        <v>175</v>
      </c>
      <c r="AV159" t="s">
        <v>173</v>
      </c>
      <c r="AW159" t="s">
        <v>173</v>
      </c>
      <c r="AX159" t="s">
        <v>193</v>
      </c>
      <c r="AY159" t="s">
        <v>202</v>
      </c>
      <c r="AZ159" t="s">
        <v>207</v>
      </c>
      <c r="BA159" t="s">
        <v>207</v>
      </c>
      <c r="BB159" t="s">
        <v>207</v>
      </c>
      <c r="BC159" t="s">
        <v>207</v>
      </c>
      <c r="BD159" t="s">
        <v>207</v>
      </c>
      <c r="BE159" t="str">
        <f>IF(AY159="","Unknown",AY159)</f>
        <v>21-25</v>
      </c>
      <c r="BF159" s="11" t="str">
        <f>IF(AZ159="","unknown",AZ159)</f>
        <v>NO</v>
      </c>
      <c r="BG159" s="11" t="str">
        <f>IF(BA159="","UNKNOWN",BA159)</f>
        <v>NO</v>
      </c>
      <c r="BH159" s="11" t="str">
        <f>IF(BB159="","unknown",BB159)</f>
        <v>NO</v>
      </c>
      <c r="BI159" s="11" t="str">
        <f>IF(BC159="","Unknon",BC159)</f>
        <v>NO</v>
      </c>
      <c r="BJ159" s="11" t="str">
        <f>IF(BD159="","Unknown",BD159)</f>
        <v>NO</v>
      </c>
      <c r="BK159" s="11">
        <f>VALUE(C159)-VALUE(D159)</f>
        <v>4</v>
      </c>
      <c r="BM159" s="11"/>
    </row>
    <row r="160" spans="1:65">
      <c r="A160">
        <v>159</v>
      </c>
      <c r="B160" t="s">
        <v>277</v>
      </c>
      <c r="C160" s="10">
        <v>2022</v>
      </c>
      <c r="D160" s="10">
        <v>2020</v>
      </c>
      <c r="E160" s="10">
        <v>2020</v>
      </c>
      <c r="F160" s="10" t="s">
        <v>241</v>
      </c>
      <c r="G160" s="10" t="s">
        <v>242</v>
      </c>
      <c r="H160" s="10" t="s">
        <v>243</v>
      </c>
      <c r="I160" s="10" t="s">
        <v>282</v>
      </c>
      <c r="J160" s="10" t="s">
        <v>287</v>
      </c>
      <c r="K160" t="b">
        <v>1</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s="10" t="s">
        <v>173</v>
      </c>
      <c r="AD160" t="s">
        <v>175</v>
      </c>
      <c r="AE160" t="s">
        <v>173</v>
      </c>
      <c r="AF160" t="s">
        <v>175</v>
      </c>
      <c r="AG160" t="s">
        <v>171</v>
      </c>
      <c r="AH160" t="s">
        <v>171</v>
      </c>
      <c r="AI160" t="s">
        <v>171</v>
      </c>
      <c r="AJ160" t="s">
        <v>171</v>
      </c>
      <c r="AK160" t="s">
        <v>171</v>
      </c>
      <c r="AL160" t="s">
        <v>173</v>
      </c>
      <c r="AM160" t="s">
        <v>175</v>
      </c>
      <c r="AN160" t="s">
        <v>175</v>
      </c>
      <c r="AO160" t="s">
        <v>173</v>
      </c>
      <c r="AP160" t="s">
        <v>171</v>
      </c>
      <c r="AQ160" t="s">
        <v>173</v>
      </c>
      <c r="AR160" t="s">
        <v>173</v>
      </c>
      <c r="AS160" t="s">
        <v>173</v>
      </c>
      <c r="AT160" t="s">
        <v>173</v>
      </c>
      <c r="AU160" t="s">
        <v>173</v>
      </c>
      <c r="AV160" t="s">
        <v>175</v>
      </c>
      <c r="AW160" t="s">
        <v>175</v>
      </c>
      <c r="AX160" t="s">
        <v>193</v>
      </c>
      <c r="AY160" t="s">
        <v>202</v>
      </c>
      <c r="AZ160" t="s">
        <v>207</v>
      </c>
      <c r="BA160" t="s">
        <v>207</v>
      </c>
      <c r="BB160" t="s">
        <v>207</v>
      </c>
      <c r="BC160" t="s">
        <v>207</v>
      </c>
      <c r="BD160" t="s">
        <v>207</v>
      </c>
      <c r="BE160" t="str">
        <f>IF(AY160="","Unknown",AY160)</f>
        <v>21-25</v>
      </c>
      <c r="BF160" s="11" t="str">
        <f>IF(AZ160="","unknown",AZ160)</f>
        <v>NO</v>
      </c>
      <c r="BG160" s="11" t="str">
        <f>IF(BA160="","UNKNOWN",BA160)</f>
        <v>NO</v>
      </c>
      <c r="BH160" s="11" t="str">
        <f>IF(BB160="","unknown",BB160)</f>
        <v>NO</v>
      </c>
      <c r="BI160" s="11" t="str">
        <f>IF(BC160="","Unknon",BC160)</f>
        <v>NO</v>
      </c>
      <c r="BJ160" s="11" t="str">
        <f>IF(BD160="","Unknown",BD160)</f>
        <v>NO</v>
      </c>
      <c r="BK160" s="11">
        <f>VALUE(C160)-VALUE(D160)</f>
        <v>2</v>
      </c>
      <c r="BM160" s="11"/>
    </row>
    <row r="161" hidden="1" spans="1:56">
      <c r="A161">
        <v>160</v>
      </c>
      <c r="B161" t="s">
        <v>259</v>
      </c>
      <c r="C161">
        <v>2022</v>
      </c>
      <c r="D161">
        <v>1979</v>
      </c>
      <c r="E161">
        <v>1979</v>
      </c>
      <c r="F161" t="s">
        <v>256</v>
      </c>
      <c r="G161" t="s">
        <v>257</v>
      </c>
      <c r="H161" t="s">
        <v>274</v>
      </c>
      <c r="I161"/>
      <c r="J161" t="s">
        <v>252</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1</v>
      </c>
      <c r="AC161" t="s">
        <v>173</v>
      </c>
      <c r="AD161" t="s">
        <v>173</v>
      </c>
      <c r="AE161" t="s">
        <v>173</v>
      </c>
      <c r="AF161" t="s">
        <v>173</v>
      </c>
      <c r="AG161" t="s">
        <v>173</v>
      </c>
      <c r="AH161" t="s">
        <v>173</v>
      </c>
      <c r="AI161" t="s">
        <v>173</v>
      </c>
      <c r="AJ161" t="s">
        <v>173</v>
      </c>
      <c r="AK161" t="s">
        <v>171</v>
      </c>
      <c r="AL161" t="s">
        <v>173</v>
      </c>
      <c r="AM161" t="s">
        <v>173</v>
      </c>
      <c r="AN161" t="s">
        <v>173</v>
      </c>
      <c r="AO161" t="s">
        <v>173</v>
      </c>
      <c r="AP161" t="s">
        <v>173</v>
      </c>
      <c r="AQ161" t="s">
        <v>173</v>
      </c>
      <c r="AR161" t="s">
        <v>173</v>
      </c>
      <c r="AS161" t="s">
        <v>173</v>
      </c>
      <c r="AT161" t="s">
        <v>173</v>
      </c>
      <c r="AU161" t="s">
        <v>173</v>
      </c>
      <c r="AV161" t="s">
        <v>175</v>
      </c>
      <c r="AW161" t="s">
        <v>173</v>
      </c>
      <c r="AX161" t="s">
        <v>192</v>
      </c>
      <c r="AY161" t="s">
        <v>195</v>
      </c>
      <c r="AZ161" t="s">
        <v>183</v>
      </c>
      <c r="BA161" t="s">
        <v>183</v>
      </c>
      <c r="BB161" t="s">
        <v>183</v>
      </c>
      <c r="BC161" t="s">
        <v>183</v>
      </c>
      <c r="BD161" t="s">
        <v>183</v>
      </c>
    </row>
    <row r="162" hidden="1" spans="1:56">
      <c r="A162">
        <v>161</v>
      </c>
      <c r="B162" t="s">
        <v>255</v>
      </c>
      <c r="C162">
        <v>2022</v>
      </c>
      <c r="D162">
        <v>2012</v>
      </c>
      <c r="E162">
        <v>2012</v>
      </c>
      <c r="F162" t="s">
        <v>275</v>
      </c>
      <c r="G162"/>
      <c r="H162" t="s">
        <v>261</v>
      </c>
      <c r="I162"/>
      <c r="J162" t="s">
        <v>265</v>
      </c>
      <c r="K162" t="b">
        <v>0</v>
      </c>
      <c r="L162" t="b">
        <v>0</v>
      </c>
      <c r="M162" t="b">
        <v>0</v>
      </c>
      <c r="N162" t="b">
        <v>0</v>
      </c>
      <c r="O162" t="b">
        <v>0</v>
      </c>
      <c r="P162" t="b">
        <v>0</v>
      </c>
      <c r="Q162" t="b">
        <v>1</v>
      </c>
      <c r="R162" t="b">
        <v>0</v>
      </c>
      <c r="S162" t="b">
        <v>0</v>
      </c>
      <c r="T162" t="b">
        <v>0</v>
      </c>
      <c r="U162" t="b">
        <v>0</v>
      </c>
      <c r="V162" t="b">
        <v>0</v>
      </c>
      <c r="W162" t="b">
        <v>0</v>
      </c>
      <c r="X162" t="b">
        <v>0</v>
      </c>
      <c r="Y162" t="b">
        <v>0</v>
      </c>
      <c r="Z162" t="b">
        <v>0</v>
      </c>
      <c r="AA162" t="b">
        <v>0</v>
      </c>
      <c r="AB162" t="b">
        <v>0</v>
      </c>
      <c r="AC162" t="s">
        <v>173</v>
      </c>
      <c r="AD162" t="s">
        <v>179</v>
      </c>
      <c r="AE162" t="s">
        <v>179</v>
      </c>
      <c r="AF162" t="s">
        <v>179</v>
      </c>
      <c r="AG162" t="s">
        <v>175</v>
      </c>
      <c r="AH162" t="s">
        <v>175</v>
      </c>
      <c r="AI162" t="s">
        <v>175</v>
      </c>
      <c r="AJ162" t="s">
        <v>179</v>
      </c>
      <c r="AK162" t="s">
        <v>179</v>
      </c>
      <c r="AL162" t="s">
        <v>175</v>
      </c>
      <c r="AM162" t="s">
        <v>175</v>
      </c>
      <c r="AN162" t="s">
        <v>179</v>
      </c>
      <c r="AO162" t="s">
        <v>179</v>
      </c>
      <c r="AP162" t="s">
        <v>179</v>
      </c>
      <c r="AQ162" t="s">
        <v>179</v>
      </c>
      <c r="AR162" t="s">
        <v>179</v>
      </c>
      <c r="AS162" t="s">
        <v>179</v>
      </c>
      <c r="AT162" t="s">
        <v>175</v>
      </c>
      <c r="AU162" t="s">
        <v>175</v>
      </c>
      <c r="AV162" t="s">
        <v>179</v>
      </c>
      <c r="AW162" t="s">
        <v>175</v>
      </c>
      <c r="AX162" t="s">
        <v>192</v>
      </c>
      <c r="AY162" t="s">
        <v>199</v>
      </c>
      <c r="AZ162" t="s">
        <v>183</v>
      </c>
      <c r="BA162" t="s">
        <v>183</v>
      </c>
      <c r="BB162" t="s">
        <v>183</v>
      </c>
      <c r="BC162" t="s">
        <v>183</v>
      </c>
      <c r="BD162" t="s">
        <v>183</v>
      </c>
    </row>
    <row r="163" spans="1:65">
      <c r="A163">
        <v>162</v>
      </c>
      <c r="B163" t="s">
        <v>296</v>
      </c>
      <c r="C163" s="10">
        <v>2022</v>
      </c>
      <c r="D163" s="10">
        <v>1989</v>
      </c>
      <c r="E163" s="10">
        <v>2013</v>
      </c>
      <c r="F163" s="10" t="s">
        <v>241</v>
      </c>
      <c r="G163" s="10" t="s">
        <v>249</v>
      </c>
      <c r="H163" s="10" t="s">
        <v>243</v>
      </c>
      <c r="I163" s="10" t="s">
        <v>271</v>
      </c>
      <c r="J163" s="10" t="s">
        <v>245</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1</v>
      </c>
      <c r="AC163" s="10" t="s">
        <v>177</v>
      </c>
      <c r="AD163" t="s">
        <v>173</v>
      </c>
      <c r="AE163" t="s">
        <v>175</v>
      </c>
      <c r="AF163" t="s">
        <v>173</v>
      </c>
      <c r="AG163" t="s">
        <v>173</v>
      </c>
      <c r="AH163" t="s">
        <v>173</v>
      </c>
      <c r="AI163" t="s">
        <v>173</v>
      </c>
      <c r="AJ163" t="s">
        <v>173</v>
      </c>
      <c r="AK163" t="s">
        <v>173</v>
      </c>
      <c r="AL163" t="s">
        <v>173</v>
      </c>
      <c r="AM163" t="s">
        <v>173</v>
      </c>
      <c r="AN163" t="s">
        <v>173</v>
      </c>
      <c r="AO163" t="s">
        <v>175</v>
      </c>
      <c r="AP163" t="s">
        <v>173</v>
      </c>
      <c r="AQ163" t="s">
        <v>175</v>
      </c>
      <c r="AR163" t="s">
        <v>173</v>
      </c>
      <c r="AS163" t="s">
        <v>173</v>
      </c>
      <c r="AT163" t="s">
        <v>173</v>
      </c>
      <c r="AU163" t="s">
        <v>173</v>
      </c>
      <c r="AV163" t="s">
        <v>175</v>
      </c>
      <c r="AW163" t="s">
        <v>173</v>
      </c>
      <c r="AX163" t="s">
        <v>192</v>
      </c>
      <c r="AY163" t="s">
        <v>196</v>
      </c>
      <c r="AZ163" t="s">
        <v>207</v>
      </c>
      <c r="BA163" t="s">
        <v>207</v>
      </c>
      <c r="BB163" t="s">
        <v>207</v>
      </c>
      <c r="BC163" t="s">
        <v>207</v>
      </c>
      <c r="BD163" t="s">
        <v>207</v>
      </c>
      <c r="BE163" t="str">
        <f>IF(AY163="","Unknown",AY163)</f>
        <v>56-60</v>
      </c>
      <c r="BF163" s="11" t="str">
        <f>IF(AZ163="","unknown",AZ163)</f>
        <v>NO</v>
      </c>
      <c r="BG163" s="11" t="str">
        <f>IF(BA163="","UNKNOWN",BA163)</f>
        <v>NO</v>
      </c>
      <c r="BH163" s="11" t="str">
        <f>IF(BB163="","unknown",BB163)</f>
        <v>NO</v>
      </c>
      <c r="BI163" s="11" t="str">
        <f>IF(BC163="","Unknon",BC163)</f>
        <v>NO</v>
      </c>
      <c r="BJ163" s="11" t="str">
        <f>IF(BD163="","Unknown",BD163)</f>
        <v>NO</v>
      </c>
      <c r="BK163" s="11">
        <f>VALUE(C163)-VALUE(D163)</f>
        <v>33</v>
      </c>
      <c r="BM163" s="11"/>
    </row>
    <row r="164" hidden="1" spans="1:56">
      <c r="A164">
        <v>163</v>
      </c>
      <c r="B164" t="s">
        <v>282</v>
      </c>
      <c r="C164">
        <v>2022</v>
      </c>
      <c r="D164">
        <v>2016</v>
      </c>
      <c r="E164">
        <v>2017</v>
      </c>
      <c r="F164" t="s">
        <v>248</v>
      </c>
      <c r="G164" t="s">
        <v>242</v>
      </c>
      <c r="H164" t="s">
        <v>274</v>
      </c>
      <c r="I164"/>
      <c r="J164" t="s">
        <v>252</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1</v>
      </c>
      <c r="AC164" t="s">
        <v>179</v>
      </c>
      <c r="AD164" t="s">
        <v>179</v>
      </c>
      <c r="AE164" t="s">
        <v>177</v>
      </c>
      <c r="AF164" t="s">
        <v>177</v>
      </c>
      <c r="AG164" t="s">
        <v>179</v>
      </c>
      <c r="AH164" t="s">
        <v>171</v>
      </c>
      <c r="AI164" t="s">
        <v>173</v>
      </c>
      <c r="AJ164" t="s">
        <v>177</v>
      </c>
      <c r="AK164" t="s">
        <v>173</v>
      </c>
      <c r="AL164" t="s">
        <v>177</v>
      </c>
      <c r="AM164" t="s">
        <v>177</v>
      </c>
      <c r="AN164" t="s">
        <v>177</v>
      </c>
      <c r="AO164" t="s">
        <v>179</v>
      </c>
      <c r="AP164" t="s">
        <v>179</v>
      </c>
      <c r="AQ164" t="s">
        <v>179</v>
      </c>
      <c r="AR164" t="s">
        <v>179</v>
      </c>
      <c r="AS164" t="s">
        <v>179</v>
      </c>
      <c r="AT164" t="s">
        <v>177</v>
      </c>
      <c r="AU164" t="s">
        <v>179</v>
      </c>
      <c r="AV164" t="s">
        <v>171</v>
      </c>
      <c r="AW164" t="s">
        <v>171</v>
      </c>
      <c r="AX164" t="s">
        <v>192</v>
      </c>
      <c r="AY164" t="s">
        <v>201</v>
      </c>
      <c r="AZ164" t="s">
        <v>183</v>
      </c>
      <c r="BA164" t="s">
        <v>183</v>
      </c>
      <c r="BB164" t="s">
        <v>183</v>
      </c>
      <c r="BC164" t="s">
        <v>183</v>
      </c>
      <c r="BD164" t="s">
        <v>183</v>
      </c>
    </row>
    <row r="165" spans="1:65">
      <c r="A165">
        <v>164</v>
      </c>
      <c r="B165" t="s">
        <v>296</v>
      </c>
      <c r="C165" s="10">
        <v>2022</v>
      </c>
      <c r="D165" s="10">
        <v>1978</v>
      </c>
      <c r="E165" s="10">
        <v>2011</v>
      </c>
      <c r="F165" s="10" t="s">
        <v>297</v>
      </c>
      <c r="G165" s="10" t="s">
        <v>298</v>
      </c>
      <c r="H165" s="10" t="s">
        <v>243</v>
      </c>
      <c r="I165" s="10" t="s">
        <v>271</v>
      </c>
      <c r="J165" s="10" t="s">
        <v>245</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1</v>
      </c>
      <c r="AC165" s="10" t="s">
        <v>173</v>
      </c>
      <c r="AD165" t="s">
        <v>173</v>
      </c>
      <c r="AE165" t="s">
        <v>173</v>
      </c>
      <c r="AF165" t="s">
        <v>173</v>
      </c>
      <c r="AG165" t="s">
        <v>173</v>
      </c>
      <c r="AH165" t="s">
        <v>173</v>
      </c>
      <c r="AI165" t="s">
        <v>173</v>
      </c>
      <c r="AJ165" t="s">
        <v>173</v>
      </c>
      <c r="AK165" t="s">
        <v>173</v>
      </c>
      <c r="AL165" t="s">
        <v>175</v>
      </c>
      <c r="AM165" t="s">
        <v>173</v>
      </c>
      <c r="AN165" t="s">
        <v>175</v>
      </c>
      <c r="AO165" t="s">
        <v>175</v>
      </c>
      <c r="AP165" t="s">
        <v>173</v>
      </c>
      <c r="AQ165" t="s">
        <v>173</v>
      </c>
      <c r="AR165" t="s">
        <v>173</v>
      </c>
      <c r="AS165" t="s">
        <v>173</v>
      </c>
      <c r="AT165" t="s">
        <v>173</v>
      </c>
      <c r="AU165" t="s">
        <v>173</v>
      </c>
      <c r="AV165" t="s">
        <v>175</v>
      </c>
      <c r="AW165" t="s">
        <v>173</v>
      </c>
      <c r="AX165" t="s">
        <v>193</v>
      </c>
      <c r="AY165" t="s">
        <v>204</v>
      </c>
      <c r="AZ165" t="s">
        <v>207</v>
      </c>
      <c r="BA165" t="s">
        <v>207</v>
      </c>
      <c r="BB165" t="s">
        <v>207</v>
      </c>
      <c r="BC165" t="s">
        <v>207</v>
      </c>
      <c r="BD165" t="s">
        <v>207</v>
      </c>
      <c r="BE165" t="str">
        <f>IF(AY165="","Unknown",AY165)</f>
        <v>61Not StatedorNot Statedolder</v>
      </c>
      <c r="BF165" s="11" t="str">
        <f>IF(AZ165="","unknown",AZ165)</f>
        <v>NO</v>
      </c>
      <c r="BG165" s="11" t="str">
        <f>IF(BA165="","UNKNOWN",BA165)</f>
        <v>NO</v>
      </c>
      <c r="BH165" s="11" t="str">
        <f>IF(BB165="","unknown",BB165)</f>
        <v>NO</v>
      </c>
      <c r="BI165" s="11" t="str">
        <f>IF(BC165="","Unknon",BC165)</f>
        <v>NO</v>
      </c>
      <c r="BJ165" s="11" t="str">
        <f>IF(BD165="","Unknown",BD165)</f>
        <v>NO</v>
      </c>
      <c r="BK165" s="11">
        <f>VALUE(C165)-VALUE(D165)</f>
        <v>44</v>
      </c>
      <c r="BM165" s="11"/>
    </row>
    <row r="166" hidden="1" spans="1:56">
      <c r="A166">
        <v>165</v>
      </c>
      <c r="B166" t="s">
        <v>269</v>
      </c>
      <c r="C166">
        <v>2022</v>
      </c>
      <c r="D166">
        <v>2014</v>
      </c>
      <c r="E166">
        <v>2018</v>
      </c>
      <c r="F166" t="s">
        <v>266</v>
      </c>
      <c r="G166"/>
      <c r="H166" t="s">
        <v>258</v>
      </c>
      <c r="I166"/>
      <c r="J166" t="s">
        <v>252</v>
      </c>
      <c r="K166" t="b">
        <v>0</v>
      </c>
      <c r="L166" t="b">
        <v>1</v>
      </c>
      <c r="M166" t="b">
        <v>0</v>
      </c>
      <c r="N166" t="b">
        <v>0</v>
      </c>
      <c r="O166" t="b">
        <v>0</v>
      </c>
      <c r="P166" t="b">
        <v>0</v>
      </c>
      <c r="Q166" t="b">
        <v>0</v>
      </c>
      <c r="R166" t="b">
        <v>0</v>
      </c>
      <c r="S166" t="b">
        <v>0</v>
      </c>
      <c r="T166" t="b">
        <v>0</v>
      </c>
      <c r="U166" t="b">
        <v>0</v>
      </c>
      <c r="V166" t="b">
        <v>0</v>
      </c>
      <c r="W166" t="b">
        <v>0</v>
      </c>
      <c r="X166" t="b">
        <v>0</v>
      </c>
      <c r="Y166" t="b">
        <v>0</v>
      </c>
      <c r="Z166" t="b">
        <v>1</v>
      </c>
      <c r="AA166" t="b">
        <v>0</v>
      </c>
      <c r="AB166" t="b">
        <v>0</v>
      </c>
      <c r="AC166" t="s">
        <v>171</v>
      </c>
      <c r="AD166" t="s">
        <v>175</v>
      </c>
      <c r="AE166" t="s">
        <v>173</v>
      </c>
      <c r="AF166" t="s">
        <v>171</v>
      </c>
      <c r="AG166" t="s">
        <v>173</v>
      </c>
      <c r="AH166" t="s">
        <v>175</v>
      </c>
      <c r="AI166" t="s">
        <v>175</v>
      </c>
      <c r="AJ166" t="s">
        <v>173</v>
      </c>
      <c r="AK166" t="s">
        <v>173</v>
      </c>
      <c r="AL166" t="s">
        <v>171</v>
      </c>
      <c r="AM166" t="s">
        <v>171</v>
      </c>
      <c r="AN166" t="s">
        <v>171</v>
      </c>
      <c r="AO166" t="s">
        <v>171</v>
      </c>
      <c r="AP166" t="s">
        <v>175</v>
      </c>
      <c r="AQ166" t="s">
        <v>173</v>
      </c>
      <c r="AR166" t="s">
        <v>171</v>
      </c>
      <c r="AS166" t="s">
        <v>171</v>
      </c>
      <c r="AT166" t="s">
        <v>171</v>
      </c>
      <c r="AU166" t="s">
        <v>173</v>
      </c>
      <c r="AV166" t="s">
        <v>173</v>
      </c>
      <c r="AW166" t="s">
        <v>173</v>
      </c>
      <c r="AX166" t="s">
        <v>192</v>
      </c>
      <c r="AY166" t="s">
        <v>199</v>
      </c>
      <c r="AZ166" t="s">
        <v>183</v>
      </c>
      <c r="BA166" t="s">
        <v>183</v>
      </c>
      <c r="BB166" t="s">
        <v>183</v>
      </c>
      <c r="BC166" t="s">
        <v>183</v>
      </c>
      <c r="BD166" t="s">
        <v>183</v>
      </c>
    </row>
    <row r="167" spans="1:65">
      <c r="A167">
        <v>166</v>
      </c>
      <c r="B167" t="s">
        <v>296</v>
      </c>
      <c r="C167" s="10">
        <v>2022</v>
      </c>
      <c r="D167" s="10">
        <v>2014</v>
      </c>
      <c r="E167" s="10">
        <v>2017</v>
      </c>
      <c r="F167" s="10" t="s">
        <v>241</v>
      </c>
      <c r="G167" s="10" t="s">
        <v>249</v>
      </c>
      <c r="H167" s="10" t="s">
        <v>243</v>
      </c>
      <c r="I167" s="10" t="s">
        <v>299</v>
      </c>
      <c r="J167" s="10" t="s">
        <v>245</v>
      </c>
      <c r="K167" t="b">
        <v>0</v>
      </c>
      <c r="L167" t="b">
        <v>0</v>
      </c>
      <c r="M167" t="b">
        <v>0</v>
      </c>
      <c r="N167" t="b">
        <v>0</v>
      </c>
      <c r="O167" t="b">
        <v>0</v>
      </c>
      <c r="P167" t="b">
        <v>0</v>
      </c>
      <c r="Q167" t="b">
        <v>0</v>
      </c>
      <c r="R167" t="b">
        <v>1</v>
      </c>
      <c r="S167" t="b">
        <v>0</v>
      </c>
      <c r="T167" t="b">
        <v>0</v>
      </c>
      <c r="U167" t="b">
        <v>0</v>
      </c>
      <c r="V167" t="b">
        <v>0</v>
      </c>
      <c r="W167" t="b">
        <v>0</v>
      </c>
      <c r="X167" t="b">
        <v>0</v>
      </c>
      <c r="Y167" t="b">
        <v>0</v>
      </c>
      <c r="Z167" t="b">
        <v>0</v>
      </c>
      <c r="AA167" t="b">
        <v>0</v>
      </c>
      <c r="AB167" t="b">
        <v>0</v>
      </c>
      <c r="AC167" s="10" t="s">
        <v>175</v>
      </c>
      <c r="AD167" t="s">
        <v>177</v>
      </c>
      <c r="AE167" t="s">
        <v>171</v>
      </c>
      <c r="AF167" t="s">
        <v>173</v>
      </c>
      <c r="AG167" t="s">
        <v>171</v>
      </c>
      <c r="AH167" t="s">
        <v>171</v>
      </c>
      <c r="AI167" t="s">
        <v>171</v>
      </c>
      <c r="AJ167" t="s">
        <v>171</v>
      </c>
      <c r="AK167" t="s">
        <v>171</v>
      </c>
      <c r="AL167" t="s">
        <v>171</v>
      </c>
      <c r="AM167" t="s">
        <v>173</v>
      </c>
      <c r="AN167" t="s">
        <v>173</v>
      </c>
      <c r="AO167" t="s">
        <v>173</v>
      </c>
      <c r="AP167" t="s">
        <v>173</v>
      </c>
      <c r="AQ167" t="s">
        <v>175</v>
      </c>
      <c r="AR167" t="s">
        <v>171</v>
      </c>
      <c r="AS167" t="s">
        <v>171</v>
      </c>
      <c r="AT167" t="s">
        <v>171</v>
      </c>
      <c r="AU167" t="s">
        <v>171</v>
      </c>
      <c r="AV167" t="s">
        <v>173</v>
      </c>
      <c r="AW167" t="s">
        <v>171</v>
      </c>
      <c r="AX167" t="s">
        <v>193</v>
      </c>
      <c r="AY167" t="s">
        <v>200</v>
      </c>
      <c r="AZ167" t="s">
        <v>208</v>
      </c>
      <c r="BA167" t="s">
        <v>207</v>
      </c>
      <c r="BB167" t="s">
        <v>207</v>
      </c>
      <c r="BC167" t="s">
        <v>207</v>
      </c>
      <c r="BD167" t="s">
        <v>207</v>
      </c>
      <c r="BE167" t="str">
        <f>IF(AY167="","Unknown",AY167)</f>
        <v>26-30</v>
      </c>
      <c r="BF167" s="11" t="str">
        <f>IF(AZ167="","unknown",AZ167)</f>
        <v>Yes</v>
      </c>
      <c r="BG167" s="11" t="str">
        <f>IF(BA167="","UNKNOWN",BA167)</f>
        <v>NO</v>
      </c>
      <c r="BH167" s="11" t="str">
        <f>IF(BB167="","unknown",BB167)</f>
        <v>NO</v>
      </c>
      <c r="BI167" s="11" t="str">
        <f>IF(BC167="","Unknon",BC167)</f>
        <v>NO</v>
      </c>
      <c r="BJ167" s="11" t="str">
        <f>IF(BD167="","Unknown",BD167)</f>
        <v>NO</v>
      </c>
      <c r="BK167" s="11">
        <f>VALUE(C167)-VALUE(D167)</f>
        <v>8</v>
      </c>
      <c r="BM167" s="11"/>
    </row>
    <row r="168" hidden="1" spans="1:56">
      <c r="A168">
        <v>167</v>
      </c>
      <c r="B168" t="s">
        <v>282</v>
      </c>
      <c r="C168">
        <v>2022</v>
      </c>
      <c r="D168">
        <v>2006</v>
      </c>
      <c r="E168">
        <v>2014</v>
      </c>
      <c r="F168" t="s">
        <v>248</v>
      </c>
      <c r="G168" t="s">
        <v>249</v>
      </c>
      <c r="H168" t="s">
        <v>250</v>
      </c>
      <c r="I168"/>
      <c r="J168" t="s">
        <v>252</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1</v>
      </c>
      <c r="AC168" t="s">
        <v>177</v>
      </c>
      <c r="AD168" t="s">
        <v>177</v>
      </c>
      <c r="AE168" t="s">
        <v>179</v>
      </c>
      <c r="AF168" t="s">
        <v>175</v>
      </c>
      <c r="AG168" t="s">
        <v>175</v>
      </c>
      <c r="AH168" t="s">
        <v>173</v>
      </c>
      <c r="AI168" t="s">
        <v>173</v>
      </c>
      <c r="AJ168" t="s">
        <v>177</v>
      </c>
      <c r="AK168" t="s">
        <v>175</v>
      </c>
      <c r="AL168" t="s">
        <v>173</v>
      </c>
      <c r="AM168" t="s">
        <v>177</v>
      </c>
      <c r="AN168" t="s">
        <v>177</v>
      </c>
      <c r="AO168" t="s">
        <v>177</v>
      </c>
      <c r="AP168" t="s">
        <v>177</v>
      </c>
      <c r="AQ168" t="s">
        <v>179</v>
      </c>
      <c r="AR168" t="s">
        <v>175</v>
      </c>
      <c r="AS168" t="s">
        <v>175</v>
      </c>
      <c r="AT168" t="s">
        <v>173</v>
      </c>
      <c r="AU168" t="s">
        <v>179</v>
      </c>
      <c r="AV168" t="s">
        <v>173</v>
      </c>
      <c r="AW168" t="s">
        <v>173</v>
      </c>
      <c r="AX168" t="s">
        <v>192</v>
      </c>
      <c r="AY168" t="s">
        <v>198</v>
      </c>
      <c r="AZ168" t="s">
        <v>183</v>
      </c>
      <c r="BA168" t="s">
        <v>183</v>
      </c>
      <c r="BB168" t="s">
        <v>183</v>
      </c>
      <c r="BC168" t="s">
        <v>183</v>
      </c>
      <c r="BD168" t="s">
        <v>183</v>
      </c>
    </row>
    <row r="169" spans="1:65">
      <c r="A169">
        <v>168</v>
      </c>
      <c r="B169" t="s">
        <v>282</v>
      </c>
      <c r="C169" s="10">
        <v>2022</v>
      </c>
      <c r="D169" s="10">
        <v>2013</v>
      </c>
      <c r="E169" s="10">
        <v>2019</v>
      </c>
      <c r="F169" s="10" t="s">
        <v>241</v>
      </c>
      <c r="G169" s="10" t="s">
        <v>249</v>
      </c>
      <c r="H169" s="10" t="s">
        <v>243</v>
      </c>
      <c r="I169" s="10" t="s">
        <v>295</v>
      </c>
      <c r="J169" s="10" t="s">
        <v>245</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1</v>
      </c>
      <c r="AC169" s="10" t="s">
        <v>173</v>
      </c>
      <c r="AD169" t="s">
        <v>173</v>
      </c>
      <c r="AE169" t="s">
        <v>175</v>
      </c>
      <c r="AF169" t="s">
        <v>175</v>
      </c>
      <c r="AG169" t="s">
        <v>173</v>
      </c>
      <c r="AH169" t="s">
        <v>173</v>
      </c>
      <c r="AI169" t="s">
        <v>173</v>
      </c>
      <c r="AJ169" t="s">
        <v>173</v>
      </c>
      <c r="AK169" t="s">
        <v>173</v>
      </c>
      <c r="AL169" t="s">
        <v>173</v>
      </c>
      <c r="AM169" t="s">
        <v>175</v>
      </c>
      <c r="AN169" t="s">
        <v>173</v>
      </c>
      <c r="AO169" t="s">
        <v>171</v>
      </c>
      <c r="AP169" t="s">
        <v>171</v>
      </c>
      <c r="AQ169" t="s">
        <v>171</v>
      </c>
      <c r="AR169" t="s">
        <v>173</v>
      </c>
      <c r="AS169" t="s">
        <v>173</v>
      </c>
      <c r="AT169" t="s">
        <v>173</v>
      </c>
      <c r="AU169" t="s">
        <v>173</v>
      </c>
      <c r="AV169" t="s">
        <v>175</v>
      </c>
      <c r="AW169" t="s">
        <v>173</v>
      </c>
      <c r="AX169" t="s">
        <v>192</v>
      </c>
      <c r="AY169" t="s">
        <v>201</v>
      </c>
      <c r="AZ169" t="s">
        <v>207</v>
      </c>
      <c r="BA169" t="s">
        <v>207</v>
      </c>
      <c r="BB169" t="s">
        <v>207</v>
      </c>
      <c r="BC169" t="s">
        <v>207</v>
      </c>
      <c r="BD169" t="s">
        <v>207</v>
      </c>
      <c r="BE169" t="str">
        <f>IF(AY169="","Unknown",AY169)</f>
        <v>36-40</v>
      </c>
      <c r="BF169" s="11" t="str">
        <f>IF(AZ169="","unknown",AZ169)</f>
        <v>NO</v>
      </c>
      <c r="BG169" s="11" t="str">
        <f>IF(BA169="","UNKNOWN",BA169)</f>
        <v>NO</v>
      </c>
      <c r="BH169" s="11" t="str">
        <f>IF(BB169="","unknown",BB169)</f>
        <v>NO</v>
      </c>
      <c r="BI169" s="11" t="str">
        <f>IF(BC169="","Unknon",BC169)</f>
        <v>NO</v>
      </c>
      <c r="BJ169" s="11" t="str">
        <f>IF(BD169="","Unknown",BD169)</f>
        <v>NO</v>
      </c>
      <c r="BK169" s="11">
        <f>VALUE(C169)-VALUE(D169)</f>
        <v>9</v>
      </c>
      <c r="BM169" s="11"/>
    </row>
    <row r="170" spans="1:65">
      <c r="A170">
        <v>169</v>
      </c>
      <c r="B170" t="s">
        <v>282</v>
      </c>
      <c r="C170" s="10">
        <v>2022</v>
      </c>
      <c r="D170" s="10">
        <v>2017</v>
      </c>
      <c r="E170" s="10">
        <v>2017</v>
      </c>
      <c r="F170" s="10" t="s">
        <v>241</v>
      </c>
      <c r="G170" s="10" t="s">
        <v>249</v>
      </c>
      <c r="H170" s="10" t="s">
        <v>243</v>
      </c>
      <c r="I170" s="10" t="s">
        <v>299</v>
      </c>
      <c r="J170" s="10" t="s">
        <v>245</v>
      </c>
      <c r="K170" t="b">
        <v>0</v>
      </c>
      <c r="L170" t="b">
        <v>0</v>
      </c>
      <c r="M170" t="b">
        <v>0</v>
      </c>
      <c r="N170" t="b">
        <v>0</v>
      </c>
      <c r="O170" t="b">
        <v>1</v>
      </c>
      <c r="P170" t="b">
        <v>0</v>
      </c>
      <c r="Q170" t="b">
        <v>0</v>
      </c>
      <c r="R170" t="b">
        <v>0</v>
      </c>
      <c r="S170" t="b">
        <v>0</v>
      </c>
      <c r="T170" t="b">
        <v>0</v>
      </c>
      <c r="U170" t="b">
        <v>0</v>
      </c>
      <c r="V170" t="b">
        <v>0</v>
      </c>
      <c r="W170" t="b">
        <v>0</v>
      </c>
      <c r="X170" t="b">
        <v>0</v>
      </c>
      <c r="Y170" t="b">
        <v>0</v>
      </c>
      <c r="Z170" t="b">
        <v>0</v>
      </c>
      <c r="AA170" t="b">
        <v>0</v>
      </c>
      <c r="AB170" t="b">
        <v>0</v>
      </c>
      <c r="AC170" s="10" t="s">
        <v>173</v>
      </c>
      <c r="AD170" t="s">
        <v>175</v>
      </c>
      <c r="AE170" t="s">
        <v>173</v>
      </c>
      <c r="AG170" t="s">
        <v>175</v>
      </c>
      <c r="AH170" t="s">
        <v>173</v>
      </c>
      <c r="AI170" t="s">
        <v>173</v>
      </c>
      <c r="AJ170" t="s">
        <v>175</v>
      </c>
      <c r="AK170" t="s">
        <v>173</v>
      </c>
      <c r="AL170" t="s">
        <v>173</v>
      </c>
      <c r="AM170" t="s">
        <v>173</v>
      </c>
      <c r="AN170" t="s">
        <v>175</v>
      </c>
      <c r="AO170" t="s">
        <v>175</v>
      </c>
      <c r="AP170" t="s">
        <v>173</v>
      </c>
      <c r="AQ170" t="s">
        <v>175</v>
      </c>
      <c r="AR170" t="s">
        <v>175</v>
      </c>
      <c r="AS170" t="s">
        <v>175</v>
      </c>
      <c r="AT170" t="s">
        <v>173</v>
      </c>
      <c r="AU170" t="s">
        <v>177</v>
      </c>
      <c r="AV170" t="s">
        <v>173</v>
      </c>
      <c r="AW170" t="s">
        <v>175</v>
      </c>
      <c r="AX170" t="s">
        <v>192</v>
      </c>
      <c r="AY170" t="s">
        <v>204</v>
      </c>
      <c r="AZ170" t="s">
        <v>207</v>
      </c>
      <c r="BA170" t="s">
        <v>207</v>
      </c>
      <c r="BB170" t="s">
        <v>207</v>
      </c>
      <c r="BC170" t="s">
        <v>207</v>
      </c>
      <c r="BD170" t="s">
        <v>207</v>
      </c>
      <c r="BE170" t="str">
        <f>IF(AY170="","Unknown",AY170)</f>
        <v>61Not StatedorNot Statedolder</v>
      </c>
      <c r="BF170" s="11" t="str">
        <f>IF(AZ170="","unknown",AZ170)</f>
        <v>NO</v>
      </c>
      <c r="BG170" s="11" t="str">
        <f>IF(BA170="","UNKNOWN",BA170)</f>
        <v>NO</v>
      </c>
      <c r="BH170" s="11" t="str">
        <f>IF(BB170="","unknown",BB170)</f>
        <v>NO</v>
      </c>
      <c r="BI170" s="11" t="str">
        <f>IF(BC170="","Unknon",BC170)</f>
        <v>NO</v>
      </c>
      <c r="BJ170" s="11" t="str">
        <f>IF(BD170="","Unknown",BD170)</f>
        <v>NO</v>
      </c>
      <c r="BK170" s="11">
        <f>VALUE(C170)-VALUE(D170)</f>
        <v>5</v>
      </c>
      <c r="BM170" s="11"/>
    </row>
    <row r="171" hidden="1" spans="1:56">
      <c r="A171">
        <v>170</v>
      </c>
      <c r="B171" t="s">
        <v>280</v>
      </c>
      <c r="C171">
        <v>2022</v>
      </c>
      <c r="D171" t="s">
        <v>247</v>
      </c>
      <c r="E171" t="s">
        <v>247</v>
      </c>
      <c r="F171" t="s">
        <v>256</v>
      </c>
      <c r="G171" t="s">
        <v>263</v>
      </c>
      <c r="H171" t="s">
        <v>247</v>
      </c>
      <c r="I171"/>
      <c r="J171" t="s">
        <v>265</v>
      </c>
      <c r="K171" t="b">
        <v>0</v>
      </c>
      <c r="L171" t="b">
        <v>0</v>
      </c>
      <c r="M171" t="b">
        <v>0</v>
      </c>
      <c r="N171" t="b">
        <v>0</v>
      </c>
      <c r="O171" t="b">
        <v>0</v>
      </c>
      <c r="P171" t="b">
        <v>0</v>
      </c>
      <c r="Q171" t="b">
        <v>0</v>
      </c>
      <c r="R171" t="b">
        <v>0</v>
      </c>
      <c r="S171" t="b">
        <v>0</v>
      </c>
      <c r="T171" t="b">
        <v>0</v>
      </c>
      <c r="U171" t="b">
        <v>0</v>
      </c>
      <c r="V171" t="b">
        <v>0</v>
      </c>
      <c r="W171" t="b">
        <v>0</v>
      </c>
      <c r="X171" t="b">
        <v>1</v>
      </c>
      <c r="Y171" t="b">
        <v>0</v>
      </c>
      <c r="Z171" t="b">
        <v>0</v>
      </c>
      <c r="AA171" t="b">
        <v>0</v>
      </c>
      <c r="AB171" t="b">
        <v>0</v>
      </c>
      <c r="AC171" t="s">
        <v>177</v>
      </c>
      <c r="AD171" t="s">
        <v>181</v>
      </c>
      <c r="AE171" t="s">
        <v>171</v>
      </c>
      <c r="AF171" t="s">
        <v>171</v>
      </c>
      <c r="AG171" t="s">
        <v>171</v>
      </c>
      <c r="AH171" t="s">
        <v>173</v>
      </c>
      <c r="AI171" t="s">
        <v>175</v>
      </c>
      <c r="AJ171" t="s">
        <v>175</v>
      </c>
      <c r="AK171" t="s">
        <v>171</v>
      </c>
      <c r="AL171" t="s">
        <v>171</v>
      </c>
      <c r="AM171" t="s">
        <v>171</v>
      </c>
      <c r="AN171" t="s">
        <v>171</v>
      </c>
      <c r="AO171" t="s">
        <v>177</v>
      </c>
      <c r="AP171" t="s">
        <v>171</v>
      </c>
      <c r="AQ171" t="s">
        <v>177</v>
      </c>
      <c r="AR171" t="s">
        <v>173</v>
      </c>
      <c r="AS171" t="s">
        <v>173</v>
      </c>
      <c r="AT171" t="s">
        <v>173</v>
      </c>
      <c r="AU171" t="s">
        <v>173</v>
      </c>
      <c r="AV171" t="s">
        <v>177</v>
      </c>
      <c r="AW171" t="s">
        <v>175</v>
      </c>
      <c r="AX171" t="s">
        <v>193</v>
      </c>
      <c r="AY171" t="s">
        <v>196</v>
      </c>
      <c r="AZ171" t="s">
        <v>183</v>
      </c>
      <c r="BA171" t="s">
        <v>183</v>
      </c>
      <c r="BB171" t="s">
        <v>183</v>
      </c>
      <c r="BC171" t="s">
        <v>183</v>
      </c>
      <c r="BD171" t="s">
        <v>183</v>
      </c>
    </row>
    <row r="172" hidden="1" spans="1:56">
      <c r="A172">
        <v>171</v>
      </c>
      <c r="B172" t="s">
        <v>282</v>
      </c>
      <c r="C172">
        <v>2022</v>
      </c>
      <c r="D172">
        <v>2018</v>
      </c>
      <c r="E172">
        <v>2018</v>
      </c>
      <c r="F172" t="s">
        <v>248</v>
      </c>
      <c r="G172" t="s">
        <v>300</v>
      </c>
      <c r="H172" t="s">
        <v>250</v>
      </c>
      <c r="I172"/>
      <c r="J172" t="s">
        <v>252</v>
      </c>
      <c r="K172" t="b">
        <v>0</v>
      </c>
      <c r="L172" t="b">
        <v>0</v>
      </c>
      <c r="M172" t="b">
        <v>1</v>
      </c>
      <c r="N172" t="b">
        <v>1</v>
      </c>
      <c r="O172" t="b">
        <v>0</v>
      </c>
      <c r="P172" t="b">
        <v>0</v>
      </c>
      <c r="Q172" t="b">
        <v>0</v>
      </c>
      <c r="R172" t="b">
        <v>0</v>
      </c>
      <c r="S172" t="b">
        <v>0</v>
      </c>
      <c r="T172" t="b">
        <v>0</v>
      </c>
      <c r="U172" t="b">
        <v>0</v>
      </c>
      <c r="V172" t="b">
        <v>0</v>
      </c>
      <c r="W172" t="b">
        <v>0</v>
      </c>
      <c r="X172" t="b">
        <v>0</v>
      </c>
      <c r="Y172" t="b">
        <v>0</v>
      </c>
      <c r="Z172" t="b">
        <v>1</v>
      </c>
      <c r="AA172" t="b">
        <v>1</v>
      </c>
      <c r="AB172" t="b">
        <v>0</v>
      </c>
      <c r="AC172" t="s">
        <v>179</v>
      </c>
      <c r="AD172" t="s">
        <v>175</v>
      </c>
      <c r="AE172" t="s">
        <v>179</v>
      </c>
      <c r="AF172" t="s">
        <v>177</v>
      </c>
      <c r="AG172" t="s">
        <v>173</v>
      </c>
      <c r="AH172" t="s">
        <v>179</v>
      </c>
      <c r="AI172" t="s">
        <v>177</v>
      </c>
      <c r="AJ172" t="s">
        <v>177</v>
      </c>
      <c r="AK172" t="s">
        <v>175</v>
      </c>
      <c r="AL172" t="s">
        <v>173</v>
      </c>
      <c r="AM172" t="s">
        <v>177</v>
      </c>
      <c r="AN172" t="s">
        <v>173</v>
      </c>
      <c r="AO172" t="s">
        <v>177</v>
      </c>
      <c r="AP172" t="s">
        <v>177</v>
      </c>
      <c r="AQ172" t="s">
        <v>179</v>
      </c>
      <c r="AR172" t="s">
        <v>177</v>
      </c>
      <c r="AS172" t="s">
        <v>177</v>
      </c>
      <c r="AT172" t="s">
        <v>177</v>
      </c>
      <c r="AU172" t="s">
        <v>179</v>
      </c>
      <c r="AV172" t="s">
        <v>179</v>
      </c>
      <c r="AW172" t="s">
        <v>175</v>
      </c>
      <c r="AX172" t="s">
        <v>192</v>
      </c>
      <c r="AY172" t="s">
        <v>198</v>
      </c>
      <c r="AZ172" t="s">
        <v>183</v>
      </c>
      <c r="BA172" t="s">
        <v>183</v>
      </c>
      <c r="BB172" t="s">
        <v>183</v>
      </c>
      <c r="BC172" t="s">
        <v>183</v>
      </c>
      <c r="BD172" t="s">
        <v>183</v>
      </c>
    </row>
    <row r="173" spans="1:65">
      <c r="A173">
        <v>172</v>
      </c>
      <c r="B173" t="s">
        <v>296</v>
      </c>
      <c r="C173" s="10">
        <v>2022</v>
      </c>
      <c r="D173" s="10">
        <v>1996</v>
      </c>
      <c r="E173" s="10">
        <v>2001</v>
      </c>
      <c r="F173" s="10" t="s">
        <v>297</v>
      </c>
      <c r="G173" s="10" t="s">
        <v>298</v>
      </c>
      <c r="H173" s="10" t="s">
        <v>243</v>
      </c>
      <c r="I173" s="10" t="s">
        <v>271</v>
      </c>
      <c r="J173" s="10" t="s">
        <v>245</v>
      </c>
      <c r="K173" t="b">
        <v>0</v>
      </c>
      <c r="L173" t="b">
        <v>0</v>
      </c>
      <c r="M173" t="b">
        <v>0</v>
      </c>
      <c r="N173" t="b">
        <v>1</v>
      </c>
      <c r="O173" t="b">
        <v>0</v>
      </c>
      <c r="P173" t="b">
        <v>0</v>
      </c>
      <c r="Q173" t="b">
        <v>1</v>
      </c>
      <c r="R173" t="b">
        <v>0</v>
      </c>
      <c r="S173" t="b">
        <v>0</v>
      </c>
      <c r="T173" t="b">
        <v>0</v>
      </c>
      <c r="U173" t="b">
        <v>0</v>
      </c>
      <c r="V173" t="b">
        <v>0</v>
      </c>
      <c r="W173" t="b">
        <v>0</v>
      </c>
      <c r="X173" t="b">
        <v>0</v>
      </c>
      <c r="Y173" t="b">
        <v>0</v>
      </c>
      <c r="Z173" t="b">
        <v>0</v>
      </c>
      <c r="AA173" t="b">
        <v>0</v>
      </c>
      <c r="AB173" t="b">
        <v>0</v>
      </c>
      <c r="AC173" s="10" t="s">
        <v>177</v>
      </c>
      <c r="AD173" t="s">
        <v>175</v>
      </c>
      <c r="AE173" t="s">
        <v>177</v>
      </c>
      <c r="AF173" t="s">
        <v>175</v>
      </c>
      <c r="AG173" t="s">
        <v>175</v>
      </c>
      <c r="AH173" t="s">
        <v>173</v>
      </c>
      <c r="AI173" t="s">
        <v>175</v>
      </c>
      <c r="AJ173" t="s">
        <v>175</v>
      </c>
      <c r="AK173" t="s">
        <v>173</v>
      </c>
      <c r="AL173" t="s">
        <v>179</v>
      </c>
      <c r="AM173" t="s">
        <v>179</v>
      </c>
      <c r="AN173" t="s">
        <v>177</v>
      </c>
      <c r="AO173" t="s">
        <v>175</v>
      </c>
      <c r="AP173" t="s">
        <v>175</v>
      </c>
      <c r="AQ173" t="s">
        <v>177</v>
      </c>
      <c r="AR173" t="s">
        <v>175</v>
      </c>
      <c r="AS173" t="s">
        <v>175</v>
      </c>
      <c r="AT173" t="s">
        <v>173</v>
      </c>
      <c r="AU173" t="s">
        <v>173</v>
      </c>
      <c r="AV173" t="s">
        <v>177</v>
      </c>
      <c r="AW173" t="s">
        <v>177</v>
      </c>
      <c r="AX173" t="s">
        <v>193</v>
      </c>
      <c r="AY173" t="s">
        <v>198</v>
      </c>
      <c r="AZ173" t="s">
        <v>207</v>
      </c>
      <c r="BA173" t="s">
        <v>207</v>
      </c>
      <c r="BB173" t="s">
        <v>207</v>
      </c>
      <c r="BC173" t="s">
        <v>207</v>
      </c>
      <c r="BD173" t="s">
        <v>207</v>
      </c>
      <c r="BE173" t="str">
        <f>IF(AY173="","Unknown",AY173)</f>
        <v>46-50</v>
      </c>
      <c r="BF173" s="11" t="str">
        <f>IF(AZ173="","unknown",AZ173)</f>
        <v>NO</v>
      </c>
      <c r="BG173" s="11" t="str">
        <f>IF(BA173="","UNKNOWN",BA173)</f>
        <v>NO</v>
      </c>
      <c r="BH173" s="11" t="str">
        <f>IF(BB173="","unknown",BB173)</f>
        <v>NO</v>
      </c>
      <c r="BI173" s="11" t="str">
        <f>IF(BC173="","Unknon",BC173)</f>
        <v>NO</v>
      </c>
      <c r="BJ173" s="11" t="str">
        <f>IF(BD173="","Unknown",BD173)</f>
        <v>NO</v>
      </c>
      <c r="BK173" s="11">
        <f>VALUE(C173)-VALUE(D173)</f>
        <v>26</v>
      </c>
      <c r="BM173" s="11"/>
    </row>
    <row r="174" spans="1:65">
      <c r="A174">
        <v>173</v>
      </c>
      <c r="B174" t="s">
        <v>282</v>
      </c>
      <c r="C174" s="10">
        <v>2022</v>
      </c>
      <c r="D174" s="10">
        <v>1984</v>
      </c>
      <c r="E174" s="10">
        <v>2017</v>
      </c>
      <c r="F174" s="10" t="s">
        <v>241</v>
      </c>
      <c r="G174" s="10" t="s">
        <v>242</v>
      </c>
      <c r="H174" s="10" t="s">
        <v>243</v>
      </c>
      <c r="I174" s="10" t="s">
        <v>271</v>
      </c>
      <c r="J174" s="10" t="s">
        <v>245</v>
      </c>
      <c r="K174" t="b">
        <v>0</v>
      </c>
      <c r="L174" t="b">
        <v>0</v>
      </c>
      <c r="M174" t="b">
        <v>0</v>
      </c>
      <c r="N174" t="b">
        <v>0</v>
      </c>
      <c r="O174" t="b">
        <v>0</v>
      </c>
      <c r="P174" t="b">
        <v>0</v>
      </c>
      <c r="Q174" t="b">
        <v>1</v>
      </c>
      <c r="R174" t="b">
        <v>0</v>
      </c>
      <c r="S174" t="b">
        <v>0</v>
      </c>
      <c r="T174" t="b">
        <v>0</v>
      </c>
      <c r="U174" t="b">
        <v>0</v>
      </c>
      <c r="V174" t="b">
        <v>0</v>
      </c>
      <c r="W174" t="b">
        <v>0</v>
      </c>
      <c r="X174" t="b">
        <v>0</v>
      </c>
      <c r="Y174" t="b">
        <v>0</v>
      </c>
      <c r="Z174" t="b">
        <v>0</v>
      </c>
      <c r="AA174" t="b">
        <v>0</v>
      </c>
      <c r="AB174" t="b">
        <v>0</v>
      </c>
      <c r="AC174" s="10" t="s">
        <v>175</v>
      </c>
      <c r="AD174" t="s">
        <v>177</v>
      </c>
      <c r="AE174" t="s">
        <v>175</v>
      </c>
      <c r="AF174" t="s">
        <v>175</v>
      </c>
      <c r="AG174" t="s">
        <v>173</v>
      </c>
      <c r="AH174" t="s">
        <v>173</v>
      </c>
      <c r="AI174" t="s">
        <v>175</v>
      </c>
      <c r="AJ174" t="s">
        <v>173</v>
      </c>
      <c r="AK174" t="s">
        <v>175</v>
      </c>
      <c r="AL174" t="s">
        <v>175</v>
      </c>
      <c r="AM174" t="s">
        <v>173</v>
      </c>
      <c r="AN174" t="s">
        <v>173</v>
      </c>
      <c r="AO174" t="s">
        <v>175</v>
      </c>
      <c r="AP174" t="s">
        <v>173</v>
      </c>
      <c r="AQ174" t="s">
        <v>175</v>
      </c>
      <c r="AR174" t="s">
        <v>173</v>
      </c>
      <c r="AS174" t="s">
        <v>175</v>
      </c>
      <c r="AT174" t="s">
        <v>173</v>
      </c>
      <c r="AU174" t="s">
        <v>173</v>
      </c>
      <c r="AV174" t="s">
        <v>175</v>
      </c>
      <c r="AW174" t="s">
        <v>175</v>
      </c>
      <c r="AX174" t="s">
        <v>192</v>
      </c>
      <c r="AZ174" t="s">
        <v>207</v>
      </c>
      <c r="BA174" t="s">
        <v>207</v>
      </c>
      <c r="BB174" t="s">
        <v>207</v>
      </c>
      <c r="BC174" t="s">
        <v>207</v>
      </c>
      <c r="BD174" t="s">
        <v>207</v>
      </c>
      <c r="BE174" t="str">
        <f>IF(AY174="","Unknown",AY174)</f>
        <v>Unknown</v>
      </c>
      <c r="BF174" s="11" t="str">
        <f>IF(AZ174="","unknown",AZ174)</f>
        <v>NO</v>
      </c>
      <c r="BG174" s="11" t="str">
        <f>IF(BA174="","UNKNOWN",BA174)</f>
        <v>NO</v>
      </c>
      <c r="BH174" s="11" t="str">
        <f>IF(BB174="","unknown",BB174)</f>
        <v>NO</v>
      </c>
      <c r="BI174" s="11" t="str">
        <f>IF(BC174="","Unknon",BC174)</f>
        <v>NO</v>
      </c>
      <c r="BJ174" s="11" t="str">
        <f>IF(BD174="","Unknown",BD174)</f>
        <v>NO</v>
      </c>
      <c r="BK174" s="11">
        <f>VALUE(C174)-VALUE(D174)</f>
        <v>38</v>
      </c>
      <c r="BM174" s="11"/>
    </row>
    <row r="175" spans="1:65">
      <c r="A175">
        <v>174</v>
      </c>
      <c r="B175" t="s">
        <v>282</v>
      </c>
      <c r="C175" s="10">
        <v>2022</v>
      </c>
      <c r="D175" s="10">
        <v>2011</v>
      </c>
      <c r="E175" s="10">
        <v>2016</v>
      </c>
      <c r="F175" s="10" t="s">
        <v>241</v>
      </c>
      <c r="G175" s="10" t="s">
        <v>301</v>
      </c>
      <c r="H175" s="10" t="s">
        <v>243</v>
      </c>
      <c r="I175" s="10" t="s">
        <v>282</v>
      </c>
      <c r="J175" s="10" t="s">
        <v>245</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1</v>
      </c>
      <c r="AC175" s="10" t="s">
        <v>173</v>
      </c>
      <c r="AD175" t="s">
        <v>171</v>
      </c>
      <c r="AE175" t="s">
        <v>173</v>
      </c>
      <c r="AF175" t="s">
        <v>173</v>
      </c>
      <c r="AG175" t="s">
        <v>173</v>
      </c>
      <c r="AH175" t="s">
        <v>173</v>
      </c>
      <c r="AI175" t="s">
        <v>173</v>
      </c>
      <c r="AJ175" t="s">
        <v>173</v>
      </c>
      <c r="AK175" t="s">
        <v>173</v>
      </c>
      <c r="AL175" t="s">
        <v>175</v>
      </c>
      <c r="AM175" t="s">
        <v>173</v>
      </c>
      <c r="AN175" t="s">
        <v>171</v>
      </c>
      <c r="AO175" t="s">
        <v>171</v>
      </c>
      <c r="AP175" t="s">
        <v>171</v>
      </c>
      <c r="AQ175" t="s">
        <v>171</v>
      </c>
      <c r="AR175" t="s">
        <v>173</v>
      </c>
      <c r="AS175" t="s">
        <v>171</v>
      </c>
      <c r="AT175" t="s">
        <v>173</v>
      </c>
      <c r="AU175" t="s">
        <v>173</v>
      </c>
      <c r="AV175" t="s">
        <v>175</v>
      </c>
      <c r="AW175" t="s">
        <v>175</v>
      </c>
      <c r="AX175" t="s">
        <v>193</v>
      </c>
      <c r="AY175" t="s">
        <v>196</v>
      </c>
      <c r="AZ175" t="s">
        <v>207</v>
      </c>
      <c r="BA175" t="s">
        <v>207</v>
      </c>
      <c r="BB175" t="s">
        <v>207</v>
      </c>
      <c r="BC175" t="s">
        <v>207</v>
      </c>
      <c r="BD175" t="s">
        <v>207</v>
      </c>
      <c r="BE175" t="str">
        <f>IF(AY175="","Unknown",AY175)</f>
        <v>56-60</v>
      </c>
      <c r="BF175" s="11" t="str">
        <f>IF(AZ175="","unknown",AZ175)</f>
        <v>NO</v>
      </c>
      <c r="BG175" s="11" t="str">
        <f>IF(BA175="","UNKNOWN",BA175)</f>
        <v>NO</v>
      </c>
      <c r="BH175" s="11" t="str">
        <f>IF(BB175="","unknown",BB175)</f>
        <v>NO</v>
      </c>
      <c r="BI175" s="11" t="str">
        <f>IF(BC175="","Unknon",BC175)</f>
        <v>NO</v>
      </c>
      <c r="BJ175" s="11" t="str">
        <f>IF(BD175="","Unknown",BD175)</f>
        <v>NO</v>
      </c>
      <c r="BK175" s="11">
        <f>VALUE(C175)-VALUE(D175)</f>
        <v>11</v>
      </c>
      <c r="BM175" s="11"/>
    </row>
    <row r="176" spans="1:65">
      <c r="A176">
        <v>175</v>
      </c>
      <c r="B176" t="s">
        <v>296</v>
      </c>
      <c r="C176" s="10">
        <v>2022</v>
      </c>
      <c r="D176" s="10">
        <v>2016</v>
      </c>
      <c r="E176" s="10">
        <v>2016</v>
      </c>
      <c r="F176" s="10" t="s">
        <v>241</v>
      </c>
      <c r="G176" s="10" t="s">
        <v>242</v>
      </c>
      <c r="H176" s="10" t="s">
        <v>243</v>
      </c>
      <c r="I176" s="10" t="s">
        <v>282</v>
      </c>
      <c r="J176" s="10" t="s">
        <v>245</v>
      </c>
      <c r="K176" t="b">
        <v>0</v>
      </c>
      <c r="L176" t="b">
        <v>1</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s="10" t="s">
        <v>171</v>
      </c>
      <c r="AD176" t="s">
        <v>173</v>
      </c>
      <c r="AE176" t="s">
        <v>173</v>
      </c>
      <c r="AF176" t="s">
        <v>175</v>
      </c>
      <c r="AG176" t="s">
        <v>173</v>
      </c>
      <c r="AH176" t="s">
        <v>173</v>
      </c>
      <c r="AI176" t="s">
        <v>173</v>
      </c>
      <c r="AJ176" t="s">
        <v>173</v>
      </c>
      <c r="AK176" t="s">
        <v>173</v>
      </c>
      <c r="AL176" t="s">
        <v>173</v>
      </c>
      <c r="AM176" t="s">
        <v>173</v>
      </c>
      <c r="AN176" t="s">
        <v>173</v>
      </c>
      <c r="AO176" t="s">
        <v>173</v>
      </c>
      <c r="AP176" t="s">
        <v>175</v>
      </c>
      <c r="AQ176" t="s">
        <v>175</v>
      </c>
      <c r="AR176" t="s">
        <v>173</v>
      </c>
      <c r="AS176" t="s">
        <v>175</v>
      </c>
      <c r="AT176" t="s">
        <v>175</v>
      </c>
      <c r="AU176" t="s">
        <v>175</v>
      </c>
      <c r="AV176" t="s">
        <v>175</v>
      </c>
      <c r="AW176" t="s">
        <v>175</v>
      </c>
      <c r="AX176" t="s">
        <v>192</v>
      </c>
      <c r="AY176" t="s">
        <v>203</v>
      </c>
      <c r="AZ176" t="s">
        <v>207</v>
      </c>
      <c r="BA176" t="s">
        <v>207</v>
      </c>
      <c r="BB176" t="s">
        <v>207</v>
      </c>
      <c r="BC176" t="s">
        <v>207</v>
      </c>
      <c r="BD176" t="s">
        <v>208</v>
      </c>
      <c r="BE176" t="str">
        <f>IF(AY176="","Unknown",AY176)</f>
        <v>31-35</v>
      </c>
      <c r="BF176" s="11" t="str">
        <f>IF(AZ176="","unknown",AZ176)</f>
        <v>NO</v>
      </c>
      <c r="BG176" s="11" t="str">
        <f>IF(BA176="","UNKNOWN",BA176)</f>
        <v>NO</v>
      </c>
      <c r="BH176" s="11" t="str">
        <f>IF(BB176="","unknown",BB176)</f>
        <v>NO</v>
      </c>
      <c r="BI176" s="11" t="str">
        <f>IF(BC176="","Unknon",BC176)</f>
        <v>NO</v>
      </c>
      <c r="BJ176" s="11" t="str">
        <f>IF(BD176="","Unknown",BD176)</f>
        <v>Yes</v>
      </c>
      <c r="BK176" s="11">
        <f>VALUE(C176)-VALUE(D176)</f>
        <v>6</v>
      </c>
      <c r="BM176" s="11"/>
    </row>
    <row r="177" spans="1:65">
      <c r="A177">
        <v>176</v>
      </c>
      <c r="B177" t="s">
        <v>296</v>
      </c>
      <c r="C177" s="10">
        <v>2022</v>
      </c>
      <c r="D177" s="10">
        <v>2014</v>
      </c>
      <c r="E177" s="10">
        <v>2016</v>
      </c>
      <c r="F177" s="10" t="s">
        <v>241</v>
      </c>
      <c r="G177" s="10" t="s">
        <v>242</v>
      </c>
      <c r="H177" s="10" t="s">
        <v>243</v>
      </c>
      <c r="I177" s="10" t="s">
        <v>271</v>
      </c>
      <c r="J177" s="10" t="s">
        <v>302</v>
      </c>
      <c r="K177" t="b">
        <v>0</v>
      </c>
      <c r="L177" t="b">
        <v>0</v>
      </c>
      <c r="M177" t="b">
        <v>0</v>
      </c>
      <c r="N177" t="b">
        <v>0</v>
      </c>
      <c r="O177" t="b">
        <v>0</v>
      </c>
      <c r="P177" t="b">
        <v>0</v>
      </c>
      <c r="Q177" t="b">
        <v>0</v>
      </c>
      <c r="R177" t="b">
        <v>1</v>
      </c>
      <c r="S177" t="b">
        <v>1</v>
      </c>
      <c r="T177" t="b">
        <v>0</v>
      </c>
      <c r="U177" t="b">
        <v>1</v>
      </c>
      <c r="V177" t="b">
        <v>0</v>
      </c>
      <c r="W177" t="b">
        <v>0</v>
      </c>
      <c r="X177" t="b">
        <v>0</v>
      </c>
      <c r="Y177" t="b">
        <v>0</v>
      </c>
      <c r="Z177" t="b">
        <v>0</v>
      </c>
      <c r="AA177" t="b">
        <v>0</v>
      </c>
      <c r="AB177" t="b">
        <v>0</v>
      </c>
      <c r="AC177" s="10" t="s">
        <v>173</v>
      </c>
      <c r="AD177" t="s">
        <v>175</v>
      </c>
      <c r="AE177" t="s">
        <v>177</v>
      </c>
      <c r="AF177" t="s">
        <v>175</v>
      </c>
      <c r="AG177" t="s">
        <v>173</v>
      </c>
      <c r="AH177" t="s">
        <v>173</v>
      </c>
      <c r="AI177" t="s">
        <v>173</v>
      </c>
      <c r="AJ177" t="s">
        <v>173</v>
      </c>
      <c r="AK177" t="s">
        <v>173</v>
      </c>
      <c r="AL177" t="s">
        <v>173</v>
      </c>
      <c r="AM177" t="s">
        <v>173</v>
      </c>
      <c r="AN177" t="s">
        <v>175</v>
      </c>
      <c r="AO177" t="s">
        <v>175</v>
      </c>
      <c r="AP177" t="s">
        <v>173</v>
      </c>
      <c r="AQ177" t="s">
        <v>175</v>
      </c>
      <c r="AR177" t="s">
        <v>173</v>
      </c>
      <c r="AS177" t="s">
        <v>173</v>
      </c>
      <c r="AT177" t="s">
        <v>173</v>
      </c>
      <c r="AU177" t="s">
        <v>173</v>
      </c>
      <c r="AV177" t="s">
        <v>173</v>
      </c>
      <c r="AX177" t="s">
        <v>192</v>
      </c>
      <c r="AY177" t="s">
        <v>200</v>
      </c>
      <c r="AZ177" t="s">
        <v>207</v>
      </c>
      <c r="BA177" t="s">
        <v>207</v>
      </c>
      <c r="BB177" t="s">
        <v>207</v>
      </c>
      <c r="BC177" t="s">
        <v>207</v>
      </c>
      <c r="BD177" t="s">
        <v>207</v>
      </c>
      <c r="BE177" t="str">
        <f>IF(AY177="","Unknown",AY177)</f>
        <v>26-30</v>
      </c>
      <c r="BF177" s="11" t="str">
        <f>IF(AZ177="","unknown",AZ177)</f>
        <v>NO</v>
      </c>
      <c r="BG177" s="11" t="str">
        <f>IF(BA177="","UNKNOWN",BA177)</f>
        <v>NO</v>
      </c>
      <c r="BH177" s="11" t="str">
        <f>IF(BB177="","unknown",BB177)</f>
        <v>NO</v>
      </c>
      <c r="BI177" s="11" t="str">
        <f>IF(BC177="","Unknon",BC177)</f>
        <v>NO</v>
      </c>
      <c r="BJ177" s="11" t="str">
        <f>IF(BD177="","Unknown",BD177)</f>
        <v>NO</v>
      </c>
      <c r="BK177" s="11">
        <f>VALUE(C177)-VALUE(D177)</f>
        <v>8</v>
      </c>
      <c r="BM177" s="11"/>
    </row>
    <row r="178" hidden="1" spans="1:56">
      <c r="A178">
        <v>177</v>
      </c>
      <c r="B178" t="s">
        <v>246</v>
      </c>
      <c r="C178">
        <v>2022</v>
      </c>
      <c r="D178">
        <v>2013</v>
      </c>
      <c r="E178">
        <v>2018</v>
      </c>
      <c r="F178" t="s">
        <v>248</v>
      </c>
      <c r="G178" t="s">
        <v>242</v>
      </c>
      <c r="H178" t="s">
        <v>250</v>
      </c>
      <c r="I178"/>
      <c r="J178" t="s">
        <v>252</v>
      </c>
      <c r="K178" t="b">
        <v>0</v>
      </c>
      <c r="L178" t="b">
        <v>1</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s">
        <v>175</v>
      </c>
      <c r="AD178" t="s">
        <v>173</v>
      </c>
      <c r="AE178" t="s">
        <v>173</v>
      </c>
      <c r="AF178" t="s">
        <v>173</v>
      </c>
      <c r="AG178" t="s">
        <v>173</v>
      </c>
      <c r="AH178" t="s">
        <v>171</v>
      </c>
      <c r="AI178" t="s">
        <v>173</v>
      </c>
      <c r="AJ178" t="s">
        <v>173</v>
      </c>
      <c r="AK178" t="s">
        <v>173</v>
      </c>
      <c r="AL178" t="s">
        <v>173</v>
      </c>
      <c r="AM178" t="s">
        <v>173</v>
      </c>
      <c r="AN178" t="s">
        <v>173</v>
      </c>
      <c r="AO178" t="s">
        <v>173</v>
      </c>
      <c r="AP178" t="s">
        <v>173</v>
      </c>
      <c r="AQ178" t="s">
        <v>173</v>
      </c>
      <c r="AR178" t="s">
        <v>173</v>
      </c>
      <c r="AS178" t="s">
        <v>173</v>
      </c>
      <c r="AT178" t="s">
        <v>173</v>
      </c>
      <c r="AU178" t="s">
        <v>173</v>
      </c>
      <c r="AV178" t="s">
        <v>173</v>
      </c>
      <c r="AW178" t="s">
        <v>173</v>
      </c>
      <c r="AY178" t="s">
        <v>200</v>
      </c>
      <c r="AZ178" t="s">
        <v>183</v>
      </c>
      <c r="BA178" t="s">
        <v>183</v>
      </c>
      <c r="BB178" t="s">
        <v>183</v>
      </c>
      <c r="BC178" t="s">
        <v>208</v>
      </c>
      <c r="BD178" t="s">
        <v>183</v>
      </c>
    </row>
    <row r="179" hidden="1" spans="1:56">
      <c r="A179">
        <v>178</v>
      </c>
      <c r="B179" t="s">
        <v>246</v>
      </c>
      <c r="C179">
        <v>2022</v>
      </c>
      <c r="D179">
        <v>2006</v>
      </c>
      <c r="E179">
        <v>2021</v>
      </c>
      <c r="F179" t="s">
        <v>248</v>
      </c>
      <c r="G179" t="s">
        <v>249</v>
      </c>
      <c r="H179" t="s">
        <v>250</v>
      </c>
      <c r="I179"/>
      <c r="J179" t="s">
        <v>252</v>
      </c>
      <c r="K179" t="b">
        <v>0</v>
      </c>
      <c r="L179" t="b">
        <v>0</v>
      </c>
      <c r="M179" t="b">
        <v>0</v>
      </c>
      <c r="N179" t="b">
        <v>1</v>
      </c>
      <c r="O179" t="b">
        <v>0</v>
      </c>
      <c r="P179" t="b">
        <v>0</v>
      </c>
      <c r="Q179" t="b">
        <v>0</v>
      </c>
      <c r="R179" t="b">
        <v>0</v>
      </c>
      <c r="S179" t="b">
        <v>1</v>
      </c>
      <c r="T179" t="b">
        <v>0</v>
      </c>
      <c r="U179" t="b">
        <v>0</v>
      </c>
      <c r="V179" t="b">
        <v>0</v>
      </c>
      <c r="W179" t="b">
        <v>0</v>
      </c>
      <c r="X179" t="b">
        <v>0</v>
      </c>
      <c r="Y179" t="b">
        <v>0</v>
      </c>
      <c r="Z179" t="b">
        <v>0</v>
      </c>
      <c r="AA179" t="b">
        <v>0</v>
      </c>
      <c r="AB179" t="b">
        <v>0</v>
      </c>
      <c r="AC179" t="s">
        <v>173</v>
      </c>
      <c r="AD179" t="s">
        <v>173</v>
      </c>
      <c r="AE179" t="s">
        <v>173</v>
      </c>
      <c r="AF179" t="s">
        <v>173</v>
      </c>
      <c r="AG179" t="s">
        <v>173</v>
      </c>
      <c r="AH179" t="s">
        <v>171</v>
      </c>
      <c r="AI179" t="s">
        <v>173</v>
      </c>
      <c r="AJ179" t="s">
        <v>171</v>
      </c>
      <c r="AK179" t="s">
        <v>171</v>
      </c>
      <c r="AL179" t="s">
        <v>173</v>
      </c>
      <c r="AM179" t="s">
        <v>173</v>
      </c>
      <c r="AN179" t="s">
        <v>173</v>
      </c>
      <c r="AO179" t="s">
        <v>173</v>
      </c>
      <c r="AP179" t="s">
        <v>173</v>
      </c>
      <c r="AQ179" t="s">
        <v>173</v>
      </c>
      <c r="AR179" t="s">
        <v>173</v>
      </c>
      <c r="AS179" t="s">
        <v>173</v>
      </c>
      <c r="AT179" t="s">
        <v>173</v>
      </c>
      <c r="AU179" t="s">
        <v>173</v>
      </c>
      <c r="AV179" t="s">
        <v>173</v>
      </c>
      <c r="AW179" t="s">
        <v>173</v>
      </c>
      <c r="AX179" t="s">
        <v>192</v>
      </c>
      <c r="AY179" t="s">
        <v>200</v>
      </c>
      <c r="AZ179" t="s">
        <v>183</v>
      </c>
      <c r="BA179" t="s">
        <v>183</v>
      </c>
      <c r="BB179" t="s">
        <v>183</v>
      </c>
      <c r="BC179" t="s">
        <v>183</v>
      </c>
      <c r="BD179" t="s">
        <v>183</v>
      </c>
    </row>
    <row r="180" spans="1:65">
      <c r="A180">
        <v>179</v>
      </c>
      <c r="B180" t="s">
        <v>296</v>
      </c>
      <c r="C180" s="10">
        <v>2022</v>
      </c>
      <c r="D180" s="10">
        <v>2005</v>
      </c>
      <c r="E180" s="10">
        <v>2020</v>
      </c>
      <c r="F180" s="10" t="s">
        <v>241</v>
      </c>
      <c r="G180" s="10" t="s">
        <v>242</v>
      </c>
      <c r="H180" s="10" t="s">
        <v>243</v>
      </c>
      <c r="I180" s="10" t="s">
        <v>303</v>
      </c>
      <c r="J180" s="10" t="s">
        <v>245</v>
      </c>
      <c r="K180" t="b">
        <v>0</v>
      </c>
      <c r="L180" t="b">
        <v>0</v>
      </c>
      <c r="M180" t="b">
        <v>0</v>
      </c>
      <c r="N180" t="b">
        <v>0</v>
      </c>
      <c r="O180" t="b">
        <v>1</v>
      </c>
      <c r="P180" t="b">
        <v>0</v>
      </c>
      <c r="Q180" t="b">
        <v>0</v>
      </c>
      <c r="R180" t="b">
        <v>1</v>
      </c>
      <c r="S180" t="b">
        <v>0</v>
      </c>
      <c r="T180" t="b">
        <v>0</v>
      </c>
      <c r="U180" t="b">
        <v>0</v>
      </c>
      <c r="V180" t="b">
        <v>0</v>
      </c>
      <c r="W180" t="b">
        <v>0</v>
      </c>
      <c r="X180" t="b">
        <v>0</v>
      </c>
      <c r="Y180" t="b">
        <v>0</v>
      </c>
      <c r="Z180" t="b">
        <v>0</v>
      </c>
      <c r="AA180" t="b">
        <v>0</v>
      </c>
      <c r="AB180" t="b">
        <v>0</v>
      </c>
      <c r="AC180" s="10" t="s">
        <v>173</v>
      </c>
      <c r="AD180" t="s">
        <v>173</v>
      </c>
      <c r="AE180" t="s">
        <v>173</v>
      </c>
      <c r="AF180" t="s">
        <v>171</v>
      </c>
      <c r="AG180" t="s">
        <v>173</v>
      </c>
      <c r="AH180" t="s">
        <v>173</v>
      </c>
      <c r="AI180" t="s">
        <v>173</v>
      </c>
      <c r="AJ180" t="s">
        <v>171</v>
      </c>
      <c r="AK180" t="s">
        <v>171</v>
      </c>
      <c r="AL180" t="s">
        <v>173</v>
      </c>
      <c r="AM180" t="s">
        <v>175</v>
      </c>
      <c r="AN180" t="s">
        <v>173</v>
      </c>
      <c r="AO180" t="s">
        <v>173</v>
      </c>
      <c r="AP180" t="s">
        <v>173</v>
      </c>
      <c r="AQ180" t="s">
        <v>173</v>
      </c>
      <c r="AR180" t="s">
        <v>173</v>
      </c>
      <c r="AS180" t="s">
        <v>173</v>
      </c>
      <c r="AT180" t="s">
        <v>173</v>
      </c>
      <c r="AU180" t="s">
        <v>173</v>
      </c>
      <c r="AV180" t="s">
        <v>173</v>
      </c>
      <c r="AW180" t="s">
        <v>173</v>
      </c>
      <c r="AX180" t="s">
        <v>193</v>
      </c>
      <c r="AY180" t="s">
        <v>199</v>
      </c>
      <c r="AZ180" t="s">
        <v>208</v>
      </c>
      <c r="BA180" t="s">
        <v>207</v>
      </c>
      <c r="BB180" t="s">
        <v>207</v>
      </c>
      <c r="BC180" t="s">
        <v>207</v>
      </c>
      <c r="BD180" t="s">
        <v>207</v>
      </c>
      <c r="BE180" t="str">
        <f>IF(AY180="","Unknown",AY180)</f>
        <v>41-45</v>
      </c>
      <c r="BF180" s="11" t="str">
        <f>IF(AZ180="","unknown",AZ180)</f>
        <v>Yes</v>
      </c>
      <c r="BG180" s="11" t="str">
        <f>IF(BA180="","UNKNOWN",BA180)</f>
        <v>NO</v>
      </c>
      <c r="BH180" s="11" t="str">
        <f>IF(BB180="","unknown",BB180)</f>
        <v>NO</v>
      </c>
      <c r="BI180" s="11" t="str">
        <f>IF(BC180="","Unknon",BC180)</f>
        <v>NO</v>
      </c>
      <c r="BJ180" s="11" t="str">
        <f>IF(BD180="","Unknown",BD180)</f>
        <v>NO</v>
      </c>
      <c r="BK180" s="11">
        <f>VALUE(C180)-VALUE(D180)</f>
        <v>17</v>
      </c>
      <c r="BM180" s="11"/>
    </row>
    <row r="181" hidden="1" spans="1:56">
      <c r="A181">
        <v>180</v>
      </c>
      <c r="B181" t="s">
        <v>255</v>
      </c>
      <c r="C181">
        <v>2022</v>
      </c>
      <c r="D181">
        <v>2021</v>
      </c>
      <c r="E181">
        <v>2021</v>
      </c>
      <c r="F181" t="s">
        <v>275</v>
      </c>
      <c r="G181"/>
      <c r="H181" t="s">
        <v>258</v>
      </c>
      <c r="I181"/>
      <c r="J181" t="s">
        <v>252</v>
      </c>
      <c r="K181" t="b">
        <v>0</v>
      </c>
      <c r="L181" t="b">
        <v>0</v>
      </c>
      <c r="M181" t="b">
        <v>0</v>
      </c>
      <c r="N181" t="b">
        <v>0</v>
      </c>
      <c r="O181" t="b">
        <v>0</v>
      </c>
      <c r="P181" t="b">
        <v>0</v>
      </c>
      <c r="Q181" t="b">
        <v>0</v>
      </c>
      <c r="R181" t="b">
        <v>0</v>
      </c>
      <c r="S181" t="b">
        <v>0</v>
      </c>
      <c r="T181" t="b">
        <v>0</v>
      </c>
      <c r="U181" t="b">
        <v>0</v>
      </c>
      <c r="V181" t="b">
        <v>0</v>
      </c>
      <c r="W181" t="b">
        <v>0</v>
      </c>
      <c r="X181" t="b">
        <v>0</v>
      </c>
      <c r="Y181" t="b">
        <v>0</v>
      </c>
      <c r="Z181" t="b">
        <v>1</v>
      </c>
      <c r="AA181" t="b">
        <v>0</v>
      </c>
      <c r="AB181" t="b">
        <v>0</v>
      </c>
      <c r="AC181" t="s">
        <v>171</v>
      </c>
      <c r="AD181" t="s">
        <v>171</v>
      </c>
      <c r="AE181" t="s">
        <v>171</v>
      </c>
      <c r="AF181" t="s">
        <v>175</v>
      </c>
      <c r="AG181" t="s">
        <v>173</v>
      </c>
      <c r="AH181" t="s">
        <v>175</v>
      </c>
      <c r="AI181" t="s">
        <v>173</v>
      </c>
      <c r="AJ181" t="s">
        <v>173</v>
      </c>
      <c r="AK181" t="s">
        <v>171</v>
      </c>
      <c r="AL181" t="s">
        <v>171</v>
      </c>
      <c r="AM181" t="s">
        <v>171</v>
      </c>
      <c r="AN181" t="s">
        <v>171</v>
      </c>
      <c r="AO181" t="s">
        <v>173</v>
      </c>
      <c r="AP181" t="s">
        <v>181</v>
      </c>
      <c r="AQ181" t="s">
        <v>175</v>
      </c>
      <c r="AR181" t="s">
        <v>173</v>
      </c>
      <c r="AS181" t="s">
        <v>171</v>
      </c>
      <c r="AT181" t="s">
        <v>173</v>
      </c>
      <c r="AU181" t="s">
        <v>175</v>
      </c>
      <c r="AV181" t="s">
        <v>171</v>
      </c>
      <c r="AW181" t="s">
        <v>171</v>
      </c>
      <c r="AX181" t="s">
        <v>192</v>
      </c>
      <c r="AY181" t="s">
        <v>201</v>
      </c>
      <c r="AZ181" t="s">
        <v>183</v>
      </c>
      <c r="BA181" t="s">
        <v>183</v>
      </c>
      <c r="BB181" t="s">
        <v>183</v>
      </c>
      <c r="BC181" t="s">
        <v>183</v>
      </c>
      <c r="BD181" t="s">
        <v>183</v>
      </c>
    </row>
    <row r="182" spans="1:65">
      <c r="A182">
        <v>181</v>
      </c>
      <c r="B182" t="s">
        <v>296</v>
      </c>
      <c r="C182" s="10">
        <v>2022</v>
      </c>
      <c r="D182" s="10">
        <v>2019</v>
      </c>
      <c r="E182" s="10">
        <v>2021</v>
      </c>
      <c r="F182" s="10" t="s">
        <v>241</v>
      </c>
      <c r="G182" s="10" t="s">
        <v>249</v>
      </c>
      <c r="H182" s="10" t="s">
        <v>243</v>
      </c>
      <c r="I182" s="10" t="s">
        <v>244</v>
      </c>
      <c r="J182" s="10" t="s">
        <v>245</v>
      </c>
      <c r="K182" t="b">
        <v>0</v>
      </c>
      <c r="L182" t="b">
        <v>0</v>
      </c>
      <c r="M182" t="b">
        <v>0</v>
      </c>
      <c r="N182" t="b">
        <v>1</v>
      </c>
      <c r="O182" t="b">
        <v>0</v>
      </c>
      <c r="P182" t="b">
        <v>0</v>
      </c>
      <c r="Q182" t="b">
        <v>0</v>
      </c>
      <c r="R182" t="b">
        <v>0</v>
      </c>
      <c r="S182" t="b">
        <v>0</v>
      </c>
      <c r="T182" t="b">
        <v>0</v>
      </c>
      <c r="U182" t="b">
        <v>0</v>
      </c>
      <c r="V182" t="b">
        <v>0</v>
      </c>
      <c r="W182" t="b">
        <v>0</v>
      </c>
      <c r="X182" t="b">
        <v>0</v>
      </c>
      <c r="Y182" t="b">
        <v>0</v>
      </c>
      <c r="Z182" t="b">
        <v>0</v>
      </c>
      <c r="AA182" t="b">
        <v>0</v>
      </c>
      <c r="AB182" t="b">
        <v>0</v>
      </c>
      <c r="AC182" s="10" t="s">
        <v>179</v>
      </c>
      <c r="AD182" t="s">
        <v>173</v>
      </c>
      <c r="AE182" t="s">
        <v>175</v>
      </c>
      <c r="AF182" t="s">
        <v>179</v>
      </c>
      <c r="AG182" t="s">
        <v>173</v>
      </c>
      <c r="AH182" t="s">
        <v>173</v>
      </c>
      <c r="AI182" t="s">
        <v>173</v>
      </c>
      <c r="AJ182" t="s">
        <v>179</v>
      </c>
      <c r="AK182" t="s">
        <v>173</v>
      </c>
      <c r="AL182" t="s">
        <v>173</v>
      </c>
      <c r="AM182" t="s">
        <v>179</v>
      </c>
      <c r="AN182" t="s">
        <v>175</v>
      </c>
      <c r="AO182" t="s">
        <v>171</v>
      </c>
      <c r="AP182" t="s">
        <v>171</v>
      </c>
      <c r="AQ182" t="s">
        <v>173</v>
      </c>
      <c r="AR182" t="s">
        <v>171</v>
      </c>
      <c r="AS182" t="s">
        <v>171</v>
      </c>
      <c r="AT182" t="s">
        <v>171</v>
      </c>
      <c r="AU182" t="s">
        <v>171</v>
      </c>
      <c r="AV182" t="s">
        <v>177</v>
      </c>
      <c r="AW182" t="s">
        <v>175</v>
      </c>
      <c r="AX182" t="s">
        <v>192</v>
      </c>
      <c r="AY182" t="s">
        <v>200</v>
      </c>
      <c r="AZ182" t="s">
        <v>207</v>
      </c>
      <c r="BA182" t="s">
        <v>207</v>
      </c>
      <c r="BB182" t="s">
        <v>207</v>
      </c>
      <c r="BC182" t="s">
        <v>207</v>
      </c>
      <c r="BD182" t="s">
        <v>207</v>
      </c>
      <c r="BE182" t="str">
        <f>IF(AY182="","Unknown",AY182)</f>
        <v>26-30</v>
      </c>
      <c r="BF182" s="11" t="str">
        <f>IF(AZ182="","unknown",AZ182)</f>
        <v>NO</v>
      </c>
      <c r="BG182" s="11" t="str">
        <f>IF(BA182="","UNKNOWN",BA182)</f>
        <v>NO</v>
      </c>
      <c r="BH182" s="11" t="str">
        <f>IF(BB182="","unknown",BB182)</f>
        <v>NO</v>
      </c>
      <c r="BI182" s="11" t="str">
        <f>IF(BC182="","Unknon",BC182)</f>
        <v>NO</v>
      </c>
      <c r="BJ182" s="11" t="str">
        <f>IF(BD182="","Unknown",BD182)</f>
        <v>NO</v>
      </c>
      <c r="BK182" s="11">
        <f>VALUE(C182)-VALUE(D182)</f>
        <v>3</v>
      </c>
      <c r="BM182" s="11"/>
    </row>
    <row r="183" spans="1:65">
      <c r="A183">
        <v>182</v>
      </c>
      <c r="B183" t="s">
        <v>296</v>
      </c>
      <c r="C183" s="10">
        <v>2022</v>
      </c>
      <c r="D183" s="10">
        <v>2015</v>
      </c>
      <c r="E183" s="10">
        <v>2020</v>
      </c>
      <c r="F183" s="10" t="s">
        <v>241</v>
      </c>
      <c r="G183" s="10" t="s">
        <v>242</v>
      </c>
      <c r="H183" s="10" t="s">
        <v>243</v>
      </c>
      <c r="I183" s="10" t="s">
        <v>278</v>
      </c>
      <c r="J183" s="10" t="s">
        <v>302</v>
      </c>
      <c r="K183" t="b">
        <v>0</v>
      </c>
      <c r="L183" t="b">
        <v>0</v>
      </c>
      <c r="M183" t="b">
        <v>0</v>
      </c>
      <c r="N183" t="b">
        <v>0</v>
      </c>
      <c r="O183" t="b">
        <v>0</v>
      </c>
      <c r="P183" t="b">
        <v>0</v>
      </c>
      <c r="Q183" t="b">
        <v>0</v>
      </c>
      <c r="R183" t="b">
        <v>0</v>
      </c>
      <c r="S183" t="b">
        <v>0</v>
      </c>
      <c r="T183" t="b">
        <v>1</v>
      </c>
      <c r="U183" t="b">
        <v>0</v>
      </c>
      <c r="V183" t="b">
        <v>0</v>
      </c>
      <c r="W183" t="b">
        <v>0</v>
      </c>
      <c r="X183" t="b">
        <v>0</v>
      </c>
      <c r="Y183" t="b">
        <v>0</v>
      </c>
      <c r="Z183" t="b">
        <v>0</v>
      </c>
      <c r="AA183" t="b">
        <v>0</v>
      </c>
      <c r="AB183" t="b">
        <v>0</v>
      </c>
      <c r="AC183" s="10" t="s">
        <v>173</v>
      </c>
      <c r="AD183" t="s">
        <v>175</v>
      </c>
      <c r="AE183" t="s">
        <v>173</v>
      </c>
      <c r="AF183" t="s">
        <v>171</v>
      </c>
      <c r="AG183" t="s">
        <v>173</v>
      </c>
      <c r="AH183" t="s">
        <v>173</v>
      </c>
      <c r="AI183" t="s">
        <v>173</v>
      </c>
      <c r="AJ183" t="s">
        <v>173</v>
      </c>
      <c r="AK183" t="s">
        <v>173</v>
      </c>
      <c r="AL183" t="s">
        <v>173</v>
      </c>
      <c r="AM183" t="s">
        <v>173</v>
      </c>
      <c r="AN183" t="s">
        <v>173</v>
      </c>
      <c r="AO183" t="s">
        <v>173</v>
      </c>
      <c r="AP183" t="s">
        <v>173</v>
      </c>
      <c r="AQ183" t="s">
        <v>173</v>
      </c>
      <c r="AR183" t="s">
        <v>173</v>
      </c>
      <c r="AS183" t="s">
        <v>173</v>
      </c>
      <c r="AT183" t="s">
        <v>173</v>
      </c>
      <c r="AU183" t="s">
        <v>173</v>
      </c>
      <c r="AV183" t="s">
        <v>173</v>
      </c>
      <c r="AX183" t="s">
        <v>192</v>
      </c>
      <c r="AY183" t="s">
        <v>203</v>
      </c>
      <c r="AZ183" t="s">
        <v>207</v>
      </c>
      <c r="BA183" t="s">
        <v>207</v>
      </c>
      <c r="BB183" t="s">
        <v>208</v>
      </c>
      <c r="BC183" t="s">
        <v>207</v>
      </c>
      <c r="BD183" t="s">
        <v>207</v>
      </c>
      <c r="BE183" t="str">
        <f>IF(AY183="","Unknown",AY183)</f>
        <v>31-35</v>
      </c>
      <c r="BF183" s="11" t="str">
        <f>IF(AZ183="","unknown",AZ183)</f>
        <v>NO</v>
      </c>
      <c r="BG183" s="11" t="str">
        <f>IF(BA183="","UNKNOWN",BA183)</f>
        <v>NO</v>
      </c>
      <c r="BH183" s="11" t="str">
        <f>IF(BB183="","unknown",BB183)</f>
        <v>Yes</v>
      </c>
      <c r="BI183" s="11" t="str">
        <f>IF(BC183="","Unknon",BC183)</f>
        <v>NO</v>
      </c>
      <c r="BJ183" s="11" t="str">
        <f>IF(BD183="","Unknown",BD183)</f>
        <v>NO</v>
      </c>
      <c r="BK183" s="11">
        <f>VALUE(C183)-VALUE(D183)</f>
        <v>7</v>
      </c>
      <c r="BM183" s="11"/>
    </row>
    <row r="184" hidden="1" spans="1:56">
      <c r="A184">
        <v>183</v>
      </c>
      <c r="B184" t="s">
        <v>282</v>
      </c>
      <c r="C184">
        <v>2022</v>
      </c>
      <c r="D184">
        <v>2019</v>
      </c>
      <c r="E184">
        <v>2019</v>
      </c>
      <c r="F184" t="s">
        <v>304</v>
      </c>
      <c r="G184" t="s">
        <v>298</v>
      </c>
      <c r="H184" t="s">
        <v>274</v>
      </c>
      <c r="I184"/>
      <c r="J184" t="s">
        <v>290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1</v>
      </c>
      <c r="AC184" t="s">
        <v>173</v>
      </c>
      <c r="AD184" t="s">
        <v>173</v>
      </c>
      <c r="AE184" t="s">
        <v>177</v>
      </c>
      <c r="AF184" t="s">
        <v>173</v>
      </c>
      <c r="AG184" t="s">
        <v>173</v>
      </c>
      <c r="AH184" t="s">
        <v>173</v>
      </c>
      <c r="AI184" t="s">
        <v>171</v>
      </c>
      <c r="AJ184" t="s">
        <v>171</v>
      </c>
      <c r="AK184" t="s">
        <v>171</v>
      </c>
      <c r="AL184" t="s">
        <v>171</v>
      </c>
      <c r="AM184" t="s">
        <v>171</v>
      </c>
      <c r="AN184" t="s">
        <v>171</v>
      </c>
      <c r="AO184" t="s">
        <v>171</v>
      </c>
      <c r="AP184" t="s">
        <v>173</v>
      </c>
      <c r="AQ184" t="s">
        <v>173</v>
      </c>
      <c r="AR184" t="s">
        <v>173</v>
      </c>
      <c r="AS184" t="s">
        <v>173</v>
      </c>
      <c r="AT184" t="s">
        <v>173</v>
      </c>
      <c r="AU184" t="s">
        <v>173</v>
      </c>
      <c r="AV184" t="s">
        <v>181</v>
      </c>
      <c r="AW184" t="s">
        <v>175</v>
      </c>
      <c r="AX184" t="s">
        <v>192</v>
      </c>
      <c r="AY184" t="s">
        <v>197</v>
      </c>
      <c r="AZ184" t="s">
        <v>183</v>
      </c>
      <c r="BA184" t="s">
        <v>183</v>
      </c>
      <c r="BB184" t="s">
        <v>183</v>
      </c>
      <c r="BC184" t="s">
        <v>183</v>
      </c>
      <c r="BD184" t="s">
        <v>183</v>
      </c>
    </row>
    <row r="185" hidden="1" spans="1:56">
      <c r="A185">
        <v>184</v>
      </c>
      <c r="B185" t="s">
        <v>255</v>
      </c>
      <c r="C185">
        <v>2022</v>
      </c>
      <c r="D185">
        <v>2007</v>
      </c>
      <c r="E185">
        <v>2007</v>
      </c>
      <c r="F185" t="s">
        <v>275</v>
      </c>
      <c r="G185"/>
      <c r="H185" t="s">
        <v>273</v>
      </c>
      <c r="I185"/>
      <c r="J185" t="s">
        <v>265</v>
      </c>
      <c r="K185" t="b">
        <v>0</v>
      </c>
      <c r="L185" t="b">
        <v>0</v>
      </c>
      <c r="M185" t="b">
        <v>0</v>
      </c>
      <c r="N185" t="b">
        <v>0</v>
      </c>
      <c r="O185" t="b">
        <v>0</v>
      </c>
      <c r="P185" t="b">
        <v>0</v>
      </c>
      <c r="Q185" t="b">
        <v>0</v>
      </c>
      <c r="R185" t="b">
        <v>0</v>
      </c>
      <c r="S185" t="b">
        <v>0</v>
      </c>
      <c r="T185" t="b">
        <v>0</v>
      </c>
      <c r="U185" t="b">
        <v>0</v>
      </c>
      <c r="V185" t="b">
        <v>0</v>
      </c>
      <c r="W185" t="b">
        <v>0</v>
      </c>
      <c r="X185" t="b">
        <v>0</v>
      </c>
      <c r="Y185" t="b">
        <v>0</v>
      </c>
      <c r="Z185" t="b">
        <v>1</v>
      </c>
      <c r="AA185" t="b">
        <v>0</v>
      </c>
      <c r="AB185" t="b">
        <v>0</v>
      </c>
      <c r="AC185" t="s">
        <v>173</v>
      </c>
      <c r="AD185" t="s">
        <v>175</v>
      </c>
      <c r="AE185" t="s">
        <v>173</v>
      </c>
      <c r="AF185" t="s">
        <v>173</v>
      </c>
      <c r="AG185" t="s">
        <v>173</v>
      </c>
      <c r="AH185" t="s">
        <v>173</v>
      </c>
      <c r="AI185" t="s">
        <v>177</v>
      </c>
      <c r="AJ185" t="s">
        <v>175</v>
      </c>
      <c r="AK185" t="s">
        <v>173</v>
      </c>
      <c r="AL185" t="s">
        <v>173</v>
      </c>
      <c r="AM185" t="s">
        <v>173</v>
      </c>
      <c r="AN185" t="s">
        <v>173</v>
      </c>
      <c r="AO185" t="s">
        <v>173</v>
      </c>
      <c r="AP185" t="s">
        <v>173</v>
      </c>
      <c r="AQ185" t="s">
        <v>175</v>
      </c>
      <c r="AR185" t="s">
        <v>173</v>
      </c>
      <c r="AS185" t="s">
        <v>173</v>
      </c>
      <c r="AT185" t="s">
        <v>177</v>
      </c>
      <c r="AU185" t="s">
        <v>173</v>
      </c>
      <c r="AV185" t="s">
        <v>181</v>
      </c>
      <c r="AW185" t="s">
        <v>173</v>
      </c>
      <c r="AX185" t="s">
        <v>192</v>
      </c>
      <c r="AY185" t="s">
        <v>195</v>
      </c>
      <c r="AZ185" t="s">
        <v>183</v>
      </c>
      <c r="BA185" t="s">
        <v>183</v>
      </c>
      <c r="BB185" t="s">
        <v>208</v>
      </c>
      <c r="BC185" t="s">
        <v>183</v>
      </c>
      <c r="BD185" t="s">
        <v>183</v>
      </c>
    </row>
    <row r="186" spans="1:65">
      <c r="A186">
        <v>185</v>
      </c>
      <c r="B186" t="s">
        <v>282</v>
      </c>
      <c r="C186" s="10">
        <v>2022</v>
      </c>
      <c r="D186" s="10">
        <v>2015</v>
      </c>
      <c r="E186" s="10">
        <v>2015</v>
      </c>
      <c r="F186" s="10" t="s">
        <v>241</v>
      </c>
      <c r="G186" s="10" t="s">
        <v>242</v>
      </c>
      <c r="H186" s="10" t="s">
        <v>243</v>
      </c>
      <c r="I186" s="10" t="s">
        <v>299</v>
      </c>
      <c r="J186" s="10" t="s">
        <v>302</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1</v>
      </c>
      <c r="AC186" s="10" t="s">
        <v>175</v>
      </c>
      <c r="AD186" t="s">
        <v>179</v>
      </c>
      <c r="AE186" t="s">
        <v>179</v>
      </c>
      <c r="AF186" t="s">
        <v>179</v>
      </c>
      <c r="AG186" t="s">
        <v>173</v>
      </c>
      <c r="AH186" t="s">
        <v>175</v>
      </c>
      <c r="AI186" t="s">
        <v>177</v>
      </c>
      <c r="AJ186" t="s">
        <v>179</v>
      </c>
      <c r="AK186" t="s">
        <v>177</v>
      </c>
      <c r="AL186" t="s">
        <v>173</v>
      </c>
      <c r="AM186" t="s">
        <v>173</v>
      </c>
      <c r="AN186" t="s">
        <v>175</v>
      </c>
      <c r="AO186" t="s">
        <v>177</v>
      </c>
      <c r="AP186" t="s">
        <v>173</v>
      </c>
      <c r="AQ186" t="s">
        <v>175</v>
      </c>
      <c r="AR186" t="s">
        <v>177</v>
      </c>
      <c r="AS186" t="s">
        <v>179</v>
      </c>
      <c r="AT186" t="s">
        <v>175</v>
      </c>
      <c r="AU186" t="s">
        <v>177</v>
      </c>
      <c r="AV186" t="s">
        <v>179</v>
      </c>
      <c r="AW186" t="s">
        <v>177</v>
      </c>
      <c r="AX186" t="s">
        <v>192</v>
      </c>
      <c r="AY186" t="s">
        <v>199</v>
      </c>
      <c r="AZ186" t="s">
        <v>207</v>
      </c>
      <c r="BA186" t="s">
        <v>207</v>
      </c>
      <c r="BB186" t="s">
        <v>207</v>
      </c>
      <c r="BC186" t="s">
        <v>207</v>
      </c>
      <c r="BD186" t="s">
        <v>207</v>
      </c>
      <c r="BE186" t="str">
        <f>IF(AY186="","Unknown",AY186)</f>
        <v>41-45</v>
      </c>
      <c r="BF186" s="11" t="str">
        <f>IF(AZ186="","unknown",AZ186)</f>
        <v>NO</v>
      </c>
      <c r="BG186" s="11" t="str">
        <f>IF(BA186="","UNKNOWN",BA186)</f>
        <v>NO</v>
      </c>
      <c r="BH186" s="11" t="str">
        <f>IF(BB186="","unknown",BB186)</f>
        <v>NO</v>
      </c>
      <c r="BI186" s="11" t="str">
        <f>IF(BC186="","Unknon",BC186)</f>
        <v>NO</v>
      </c>
      <c r="BJ186" s="11" t="str">
        <f>IF(BD186="","Unknown",BD186)</f>
        <v>NO</v>
      </c>
      <c r="BK186" s="11">
        <f>VALUE(C186)-VALUE(D186)</f>
        <v>7</v>
      </c>
      <c r="BM186" s="11"/>
    </row>
    <row r="187" hidden="1" spans="1:56">
      <c r="A187">
        <v>186</v>
      </c>
      <c r="B187" t="s">
        <v>255</v>
      </c>
      <c r="C187">
        <v>2022</v>
      </c>
      <c r="D187">
        <v>2014</v>
      </c>
      <c r="E187">
        <v>2014</v>
      </c>
      <c r="F187" t="s">
        <v>275</v>
      </c>
      <c r="G187"/>
      <c r="H187" t="s">
        <v>247</v>
      </c>
      <c r="I187"/>
      <c r="J187" t="s">
        <v>265</v>
      </c>
      <c r="K187" t="b">
        <v>0</v>
      </c>
      <c r="L187" t="b">
        <v>0</v>
      </c>
      <c r="M187" t="b">
        <v>0</v>
      </c>
      <c r="N187" t="b">
        <v>0</v>
      </c>
      <c r="O187" t="b">
        <v>0</v>
      </c>
      <c r="P187" t="b">
        <v>0</v>
      </c>
      <c r="Q187" t="b">
        <v>0</v>
      </c>
      <c r="R187" t="b">
        <v>0</v>
      </c>
      <c r="S187" t="b">
        <v>0</v>
      </c>
      <c r="T187" t="b">
        <v>0</v>
      </c>
      <c r="U187" t="b">
        <v>1</v>
      </c>
      <c r="V187" t="b">
        <v>0</v>
      </c>
      <c r="W187" t="b">
        <v>0</v>
      </c>
      <c r="X187" t="b">
        <v>0</v>
      </c>
      <c r="Y187" t="b">
        <v>0</v>
      </c>
      <c r="Z187" t="b">
        <v>1</v>
      </c>
      <c r="AA187" t="b">
        <v>0</v>
      </c>
      <c r="AB187" t="b">
        <v>0</v>
      </c>
      <c r="AC187" t="s">
        <v>175</v>
      </c>
      <c r="AD187" t="s">
        <v>175</v>
      </c>
      <c r="AE187" t="s">
        <v>175</v>
      </c>
      <c r="AF187" t="s">
        <v>175</v>
      </c>
      <c r="AG187" t="s">
        <v>175</v>
      </c>
      <c r="AH187" t="s">
        <v>175</v>
      </c>
      <c r="AI187" t="s">
        <v>175</v>
      </c>
      <c r="AJ187" t="s">
        <v>175</v>
      </c>
      <c r="AK187" t="s">
        <v>175</v>
      </c>
      <c r="AL187" t="s">
        <v>175</v>
      </c>
      <c r="AM187" t="s">
        <v>175</v>
      </c>
      <c r="AN187" t="s">
        <v>175</v>
      </c>
      <c r="AO187" t="s">
        <v>175</v>
      </c>
      <c r="AP187" t="s">
        <v>175</v>
      </c>
      <c r="AQ187" t="s">
        <v>175</v>
      </c>
      <c r="AR187" t="s">
        <v>175</v>
      </c>
      <c r="AS187" t="s">
        <v>175</v>
      </c>
      <c r="AT187" t="s">
        <v>175</v>
      </c>
      <c r="AU187" t="s">
        <v>175</v>
      </c>
      <c r="AV187" t="s">
        <v>175</v>
      </c>
      <c r="AW187" t="s">
        <v>175</v>
      </c>
      <c r="AX187" t="s">
        <v>192</v>
      </c>
      <c r="AY187" t="s">
        <v>203</v>
      </c>
      <c r="AZ187" t="s">
        <v>183</v>
      </c>
      <c r="BA187" t="s">
        <v>183</v>
      </c>
      <c r="BB187" t="s">
        <v>183</v>
      </c>
      <c r="BC187" t="s">
        <v>183</v>
      </c>
      <c r="BD187" t="s">
        <v>183</v>
      </c>
    </row>
    <row r="188" spans="1:65">
      <c r="A188">
        <v>187</v>
      </c>
      <c r="B188" t="s">
        <v>282</v>
      </c>
      <c r="C188" s="10">
        <v>2022</v>
      </c>
      <c r="D188" s="10">
        <v>2001</v>
      </c>
      <c r="E188" s="10">
        <v>2016</v>
      </c>
      <c r="F188" s="10" t="s">
        <v>241</v>
      </c>
      <c r="G188" s="10" t="s">
        <v>249</v>
      </c>
      <c r="H188" s="10" t="s">
        <v>243</v>
      </c>
      <c r="I188" s="10" t="s">
        <v>295</v>
      </c>
      <c r="J188" s="10" t="s">
        <v>245</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1</v>
      </c>
      <c r="AC188" s="10" t="s">
        <v>173</v>
      </c>
      <c r="AD188" t="s">
        <v>175</v>
      </c>
      <c r="AE188" t="s">
        <v>177</v>
      </c>
      <c r="AF188" t="s">
        <v>175</v>
      </c>
      <c r="AG188" t="s">
        <v>175</v>
      </c>
      <c r="AH188" t="s">
        <v>175</v>
      </c>
      <c r="AI188" t="s">
        <v>175</v>
      </c>
      <c r="AJ188" t="s">
        <v>173</v>
      </c>
      <c r="AK188" t="s">
        <v>173</v>
      </c>
      <c r="AL188" t="s">
        <v>173</v>
      </c>
      <c r="AM188" t="s">
        <v>173</v>
      </c>
      <c r="AN188" t="s">
        <v>171</v>
      </c>
      <c r="AO188" t="s">
        <v>177</v>
      </c>
      <c r="AP188" t="s">
        <v>173</v>
      </c>
      <c r="AQ188" t="s">
        <v>177</v>
      </c>
      <c r="AR188" t="s">
        <v>173</v>
      </c>
      <c r="AS188" t="s">
        <v>173</v>
      </c>
      <c r="AT188" t="s">
        <v>173</v>
      </c>
      <c r="AU188" t="s">
        <v>173</v>
      </c>
      <c r="AV188" t="s">
        <v>175</v>
      </c>
      <c r="AW188" t="s">
        <v>177</v>
      </c>
      <c r="AX188" t="s">
        <v>192</v>
      </c>
      <c r="AY188" t="s">
        <v>204</v>
      </c>
      <c r="AZ188" t="s">
        <v>207</v>
      </c>
      <c r="BA188" t="s">
        <v>207</v>
      </c>
      <c r="BB188" t="s">
        <v>207</v>
      </c>
      <c r="BC188" t="s">
        <v>207</v>
      </c>
      <c r="BD188" t="s">
        <v>207</v>
      </c>
      <c r="BE188" t="str">
        <f>IF(AY188="","Unknown",AY188)</f>
        <v>61Not StatedorNot Statedolder</v>
      </c>
      <c r="BF188" s="11" t="str">
        <f>IF(AZ188="","unknown",AZ188)</f>
        <v>NO</v>
      </c>
      <c r="BG188" s="11" t="str">
        <f>IF(BA188="","UNKNOWN",BA188)</f>
        <v>NO</v>
      </c>
      <c r="BH188" s="11" t="str">
        <f>IF(BB188="","unknown",BB188)</f>
        <v>NO</v>
      </c>
      <c r="BI188" s="11" t="str">
        <f>IF(BC188="","Unknon",BC188)</f>
        <v>NO</v>
      </c>
      <c r="BJ188" s="11" t="str">
        <f>IF(BD188="","Unknown",BD188)</f>
        <v>NO</v>
      </c>
      <c r="BK188" s="11">
        <f>VALUE(C188)-VALUE(D188)</f>
        <v>21</v>
      </c>
      <c r="BM188" s="11"/>
    </row>
    <row r="189" spans="1:65">
      <c r="A189">
        <v>188</v>
      </c>
      <c r="B189" t="s">
        <v>296</v>
      </c>
      <c r="C189" s="10">
        <v>2022</v>
      </c>
      <c r="D189" s="10">
        <v>2016</v>
      </c>
      <c r="E189" s="10">
        <v>2018</v>
      </c>
      <c r="F189" s="10" t="s">
        <v>241</v>
      </c>
      <c r="G189" s="10" t="s">
        <v>249</v>
      </c>
      <c r="H189" s="10" t="s">
        <v>243</v>
      </c>
      <c r="I189" s="10" t="s">
        <v>295</v>
      </c>
      <c r="J189" s="10" t="s">
        <v>245</v>
      </c>
      <c r="K189" t="b">
        <v>0</v>
      </c>
      <c r="L189" t="b">
        <v>1</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s="10" t="s">
        <v>175</v>
      </c>
      <c r="AD189" t="s">
        <v>173</v>
      </c>
      <c r="AE189" t="s">
        <v>173</v>
      </c>
      <c r="AF189" t="s">
        <v>175</v>
      </c>
      <c r="AG189" t="s">
        <v>173</v>
      </c>
      <c r="AH189" t="s">
        <v>171</v>
      </c>
      <c r="AI189" t="s">
        <v>173</v>
      </c>
      <c r="AJ189" t="s">
        <v>173</v>
      </c>
      <c r="AK189" t="s">
        <v>173</v>
      </c>
      <c r="AL189" t="s">
        <v>171</v>
      </c>
      <c r="AM189" t="s">
        <v>171</v>
      </c>
      <c r="AN189" t="s">
        <v>171</v>
      </c>
      <c r="AO189" t="s">
        <v>177</v>
      </c>
      <c r="AP189" t="s">
        <v>173</v>
      </c>
      <c r="AQ189" t="s">
        <v>177</v>
      </c>
      <c r="AR189" t="s">
        <v>179</v>
      </c>
      <c r="AS189" t="s">
        <v>179</v>
      </c>
      <c r="AT189" t="s">
        <v>173</v>
      </c>
      <c r="AU189" t="s">
        <v>179</v>
      </c>
      <c r="AV189" t="s">
        <v>175</v>
      </c>
      <c r="AW189" t="s">
        <v>175</v>
      </c>
      <c r="AX189" t="s">
        <v>192</v>
      </c>
      <c r="AY189" t="s">
        <v>200</v>
      </c>
      <c r="AZ189" t="s">
        <v>207</v>
      </c>
      <c r="BA189" t="s">
        <v>207</v>
      </c>
      <c r="BB189" t="s">
        <v>207</v>
      </c>
      <c r="BC189" t="s">
        <v>207</v>
      </c>
      <c r="BD189" t="s">
        <v>207</v>
      </c>
      <c r="BE189" t="str">
        <f>IF(AY189="","Unknown",AY189)</f>
        <v>26-30</v>
      </c>
      <c r="BF189" s="11" t="str">
        <f>IF(AZ189="","unknown",AZ189)</f>
        <v>NO</v>
      </c>
      <c r="BG189" s="11" t="str">
        <f>IF(BA189="","UNKNOWN",BA189)</f>
        <v>NO</v>
      </c>
      <c r="BH189" s="11" t="str">
        <f>IF(BB189="","unknown",BB189)</f>
        <v>NO</v>
      </c>
      <c r="BI189" s="11" t="str">
        <f>IF(BC189="","Unknon",BC189)</f>
        <v>NO</v>
      </c>
      <c r="BJ189" s="11" t="str">
        <f>IF(BD189="","Unknown",BD189)</f>
        <v>NO</v>
      </c>
      <c r="BK189" s="11">
        <f>VALUE(C189)-VALUE(D189)</f>
        <v>6</v>
      </c>
      <c r="BM189" s="11"/>
    </row>
    <row r="190" hidden="1" spans="1:56">
      <c r="A190">
        <v>189</v>
      </c>
      <c r="B190" t="s">
        <v>282</v>
      </c>
      <c r="C190">
        <v>2022</v>
      </c>
      <c r="D190">
        <v>2015</v>
      </c>
      <c r="E190">
        <v>2018</v>
      </c>
      <c r="F190" t="s">
        <v>248</v>
      </c>
      <c r="G190" t="s">
        <v>249</v>
      </c>
      <c r="H190" t="s">
        <v>250</v>
      </c>
      <c r="I190"/>
      <c r="J190" t="s">
        <v>252</v>
      </c>
      <c r="K190" t="b">
        <v>0</v>
      </c>
      <c r="L190" t="b">
        <v>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s">
        <v>177</v>
      </c>
      <c r="AD190" t="s">
        <v>173</v>
      </c>
      <c r="AE190" t="s">
        <v>175</v>
      </c>
      <c r="AF190" t="s">
        <v>175</v>
      </c>
      <c r="AG190" t="s">
        <v>173</v>
      </c>
      <c r="AH190" t="s">
        <v>171</v>
      </c>
      <c r="AI190" t="s">
        <v>171</v>
      </c>
      <c r="AJ190" t="s">
        <v>175</v>
      </c>
      <c r="AK190" t="s">
        <v>171</v>
      </c>
      <c r="AL190" t="s">
        <v>177</v>
      </c>
      <c r="AM190" t="s">
        <v>177</v>
      </c>
      <c r="AN190" t="s">
        <v>175</v>
      </c>
      <c r="AO190" t="s">
        <v>177</v>
      </c>
      <c r="AP190" t="s">
        <v>177</v>
      </c>
      <c r="AQ190" t="s">
        <v>177</v>
      </c>
      <c r="AR190" t="s">
        <v>177</v>
      </c>
      <c r="AS190" t="s">
        <v>177</v>
      </c>
      <c r="AT190" t="s">
        <v>175</v>
      </c>
      <c r="AU190" t="s">
        <v>179</v>
      </c>
      <c r="AV190" t="s">
        <v>173</v>
      </c>
      <c r="AW190" t="s">
        <v>175</v>
      </c>
      <c r="AX190" t="s">
        <v>192</v>
      </c>
      <c r="AY190" t="s">
        <v>200</v>
      </c>
      <c r="AZ190" t="s">
        <v>183</v>
      </c>
      <c r="BA190" t="s">
        <v>183</v>
      </c>
      <c r="BB190" t="s">
        <v>183</v>
      </c>
      <c r="BC190" t="s">
        <v>183</v>
      </c>
      <c r="BD190" t="s">
        <v>183</v>
      </c>
    </row>
    <row r="191" spans="1:65">
      <c r="A191">
        <v>190</v>
      </c>
      <c r="B191" t="s">
        <v>277</v>
      </c>
      <c r="C191" s="10">
        <v>2022</v>
      </c>
      <c r="D191" s="10">
        <v>2015</v>
      </c>
      <c r="E191" s="10">
        <v>2016</v>
      </c>
      <c r="F191" s="10" t="s">
        <v>241</v>
      </c>
      <c r="G191" s="10" t="s">
        <v>301</v>
      </c>
      <c r="H191" s="10" t="s">
        <v>243</v>
      </c>
      <c r="I191" s="10" t="s">
        <v>282</v>
      </c>
      <c r="J191" s="10" t="s">
        <v>245</v>
      </c>
      <c r="K191" t="b">
        <v>0</v>
      </c>
      <c r="L191" t="b">
        <v>0</v>
      </c>
      <c r="M191" t="b">
        <v>0</v>
      </c>
      <c r="N191" t="b">
        <v>0</v>
      </c>
      <c r="O191" t="b">
        <v>0</v>
      </c>
      <c r="P191" t="b">
        <v>0</v>
      </c>
      <c r="Q191" t="b">
        <v>0</v>
      </c>
      <c r="R191" t="b">
        <v>1</v>
      </c>
      <c r="S191" t="b">
        <v>1</v>
      </c>
      <c r="T191" t="b">
        <v>0</v>
      </c>
      <c r="U191" t="b">
        <v>0</v>
      </c>
      <c r="V191" t="b">
        <v>0</v>
      </c>
      <c r="W191" t="b">
        <v>0</v>
      </c>
      <c r="X191" t="b">
        <v>0</v>
      </c>
      <c r="Y191" t="b">
        <v>0</v>
      </c>
      <c r="Z191" t="b">
        <v>1</v>
      </c>
      <c r="AA191" t="b">
        <v>0</v>
      </c>
      <c r="AB191" t="b">
        <v>0</v>
      </c>
      <c r="AC191" s="10" t="s">
        <v>171</v>
      </c>
      <c r="AD191" t="s">
        <v>171</v>
      </c>
      <c r="AE191" t="s">
        <v>171</v>
      </c>
      <c r="AF191" t="s">
        <v>171</v>
      </c>
      <c r="AG191" t="s">
        <v>171</v>
      </c>
      <c r="AH191" t="s">
        <v>175</v>
      </c>
      <c r="AI191" t="s">
        <v>173</v>
      </c>
      <c r="AJ191" t="s">
        <v>171</v>
      </c>
      <c r="AK191" t="s">
        <v>171</v>
      </c>
      <c r="AL191" t="s">
        <v>171</v>
      </c>
      <c r="AM191" t="s">
        <v>171</v>
      </c>
      <c r="AN191" t="s">
        <v>171</v>
      </c>
      <c r="AO191" t="s">
        <v>171</v>
      </c>
      <c r="AP191" t="s">
        <v>171</v>
      </c>
      <c r="AQ191" t="s">
        <v>171</v>
      </c>
      <c r="AR191" t="s">
        <v>171</v>
      </c>
      <c r="AS191" t="s">
        <v>171</v>
      </c>
      <c r="AT191" t="s">
        <v>171</v>
      </c>
      <c r="AU191" t="s">
        <v>171</v>
      </c>
      <c r="AV191" t="s">
        <v>171</v>
      </c>
      <c r="AW191" t="s">
        <v>171</v>
      </c>
      <c r="AX191" t="s">
        <v>192</v>
      </c>
      <c r="AY191" t="s">
        <v>199</v>
      </c>
      <c r="AZ191" t="s">
        <v>208</v>
      </c>
      <c r="BA191" t="s">
        <v>207</v>
      </c>
      <c r="BB191" t="s">
        <v>207</v>
      </c>
      <c r="BC191" t="s">
        <v>207</v>
      </c>
      <c r="BD191" t="s">
        <v>207</v>
      </c>
      <c r="BE191" t="str">
        <f>IF(AY191="","Unknown",AY191)</f>
        <v>41-45</v>
      </c>
      <c r="BF191" s="11" t="str">
        <f>IF(AZ191="","unknown",AZ191)</f>
        <v>Yes</v>
      </c>
      <c r="BG191" s="11" t="str">
        <f>IF(BA191="","UNKNOWN",BA191)</f>
        <v>NO</v>
      </c>
      <c r="BH191" s="11" t="str">
        <f>IF(BB191="","unknown",BB191)</f>
        <v>NO</v>
      </c>
      <c r="BI191" s="11" t="str">
        <f>IF(BC191="","Unknon",BC191)</f>
        <v>NO</v>
      </c>
      <c r="BJ191" s="11" t="str">
        <f>IF(BD191="","Unknown",BD191)</f>
        <v>NO</v>
      </c>
      <c r="BK191" s="11">
        <f>VALUE(C191)-VALUE(D191)</f>
        <v>7</v>
      </c>
      <c r="BM191" s="11"/>
    </row>
    <row r="192" spans="1:65">
      <c r="A192">
        <v>191</v>
      </c>
      <c r="B192" t="s">
        <v>296</v>
      </c>
      <c r="C192" s="10">
        <v>2022</v>
      </c>
      <c r="D192" s="10">
        <v>1980</v>
      </c>
      <c r="E192" s="10">
        <v>2013</v>
      </c>
      <c r="F192" s="10" t="s">
        <v>241</v>
      </c>
      <c r="G192" s="10" t="s">
        <v>249</v>
      </c>
      <c r="H192" s="10" t="s">
        <v>243</v>
      </c>
      <c r="I192" s="10" t="s">
        <v>282</v>
      </c>
      <c r="J192" s="10" t="s">
        <v>245</v>
      </c>
      <c r="K192" t="b">
        <v>0</v>
      </c>
      <c r="L192" t="b">
        <v>0</v>
      </c>
      <c r="M192" t="b">
        <v>0</v>
      </c>
      <c r="N192" t="b">
        <v>1</v>
      </c>
      <c r="O192" t="b">
        <v>0</v>
      </c>
      <c r="P192" t="b">
        <v>0</v>
      </c>
      <c r="Q192" t="b">
        <v>1</v>
      </c>
      <c r="R192" t="b">
        <v>0</v>
      </c>
      <c r="S192" t="b">
        <v>0</v>
      </c>
      <c r="T192" t="b">
        <v>0</v>
      </c>
      <c r="U192" t="b">
        <v>0</v>
      </c>
      <c r="V192" t="b">
        <v>0</v>
      </c>
      <c r="W192" t="b">
        <v>0</v>
      </c>
      <c r="X192" t="b">
        <v>0</v>
      </c>
      <c r="Y192" t="b">
        <v>0</v>
      </c>
      <c r="Z192" t="b">
        <v>0</v>
      </c>
      <c r="AA192" t="b">
        <v>0</v>
      </c>
      <c r="AB192" t="b">
        <v>0</v>
      </c>
      <c r="AC192" s="10" t="s">
        <v>179</v>
      </c>
      <c r="AD192" t="s">
        <v>179</v>
      </c>
      <c r="AE192" t="s">
        <v>175</v>
      </c>
      <c r="AF192" t="s">
        <v>177</v>
      </c>
      <c r="AG192" t="s">
        <v>173</v>
      </c>
      <c r="AH192" t="s">
        <v>173</v>
      </c>
      <c r="AI192" t="s">
        <v>175</v>
      </c>
      <c r="AJ192" t="s">
        <v>179</v>
      </c>
      <c r="AK192" t="s">
        <v>175</v>
      </c>
      <c r="AL192" t="s">
        <v>175</v>
      </c>
      <c r="AM192" t="s">
        <v>177</v>
      </c>
      <c r="AN192" t="s">
        <v>173</v>
      </c>
      <c r="AO192" t="s">
        <v>179</v>
      </c>
      <c r="AP192" t="s">
        <v>177</v>
      </c>
      <c r="AQ192" t="s">
        <v>179</v>
      </c>
      <c r="AR192" t="s">
        <v>175</v>
      </c>
      <c r="AS192" t="s">
        <v>175</v>
      </c>
      <c r="AT192" t="s">
        <v>175</v>
      </c>
      <c r="AU192" t="s">
        <v>175</v>
      </c>
      <c r="AV192" t="s">
        <v>175</v>
      </c>
      <c r="AW192" t="s">
        <v>175</v>
      </c>
      <c r="AX192" t="s">
        <v>192</v>
      </c>
      <c r="AY192" t="s">
        <v>196</v>
      </c>
      <c r="AZ192" t="s">
        <v>207</v>
      </c>
      <c r="BA192" t="s">
        <v>207</v>
      </c>
      <c r="BB192" t="s">
        <v>207</v>
      </c>
      <c r="BC192" t="s">
        <v>207</v>
      </c>
      <c r="BD192" t="s">
        <v>207</v>
      </c>
      <c r="BE192" t="str">
        <f>IF(AY192="","Unknown",AY192)</f>
        <v>56-60</v>
      </c>
      <c r="BF192" s="11" t="str">
        <f>IF(AZ192="","unknown",AZ192)</f>
        <v>NO</v>
      </c>
      <c r="BG192" s="11" t="str">
        <f>IF(BA192="","UNKNOWN",BA192)</f>
        <v>NO</v>
      </c>
      <c r="BH192" s="11" t="str">
        <f>IF(BB192="","unknown",BB192)</f>
        <v>NO</v>
      </c>
      <c r="BI192" s="11" t="str">
        <f>IF(BC192="","Unknon",BC192)</f>
        <v>NO</v>
      </c>
      <c r="BJ192" s="11" t="str">
        <f>IF(BD192="","Unknown",BD192)</f>
        <v>NO</v>
      </c>
      <c r="BK192" s="11">
        <f>VALUE(C192)-VALUE(D192)</f>
        <v>42</v>
      </c>
      <c r="BM192" s="11"/>
    </row>
    <row r="193" spans="1:65">
      <c r="A193">
        <v>192</v>
      </c>
      <c r="B193" t="s">
        <v>282</v>
      </c>
      <c r="C193" s="10">
        <v>2022</v>
      </c>
      <c r="D193" s="10">
        <v>2004</v>
      </c>
      <c r="E193" s="10">
        <v>2018</v>
      </c>
      <c r="F193" s="10" t="s">
        <v>241</v>
      </c>
      <c r="G193" s="10" t="s">
        <v>242</v>
      </c>
      <c r="H193" s="10" t="s">
        <v>243</v>
      </c>
      <c r="I193" s="10" t="s">
        <v>271</v>
      </c>
      <c r="J193" s="10" t="s">
        <v>245</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s="10" t="s">
        <v>177</v>
      </c>
      <c r="AD193" t="s">
        <v>177</v>
      </c>
      <c r="AE193" t="s">
        <v>177</v>
      </c>
      <c r="AF193" t="s">
        <v>177</v>
      </c>
      <c r="AG193" t="s">
        <v>173</v>
      </c>
      <c r="AH193" t="s">
        <v>175</v>
      </c>
      <c r="AI193" t="s">
        <v>173</v>
      </c>
      <c r="AJ193" t="s">
        <v>171</v>
      </c>
      <c r="AK193" t="s">
        <v>171</v>
      </c>
      <c r="AL193" t="s">
        <v>171</v>
      </c>
      <c r="AM193" t="s">
        <v>171</v>
      </c>
      <c r="AN193" t="s">
        <v>173</v>
      </c>
      <c r="AO193" t="s">
        <v>175</v>
      </c>
      <c r="AP193" t="s">
        <v>173</v>
      </c>
      <c r="AQ193" t="s">
        <v>175</v>
      </c>
      <c r="AR193" t="s">
        <v>177</v>
      </c>
      <c r="AS193" t="s">
        <v>177</v>
      </c>
      <c r="AT193" t="s">
        <v>177</v>
      </c>
      <c r="AU193" t="s">
        <v>179</v>
      </c>
      <c r="AV193" t="s">
        <v>175</v>
      </c>
      <c r="AW193" t="s">
        <v>175</v>
      </c>
      <c r="AX193" t="s">
        <v>192</v>
      </c>
      <c r="AY193" t="s">
        <v>196</v>
      </c>
      <c r="AZ193" t="s">
        <v>207</v>
      </c>
      <c r="BA193" t="s">
        <v>207</v>
      </c>
      <c r="BB193" t="s">
        <v>207</v>
      </c>
      <c r="BC193" t="s">
        <v>207</v>
      </c>
      <c r="BD193" t="s">
        <v>207</v>
      </c>
      <c r="BE193" t="str">
        <f>IF(AY193="","Unknown",AY193)</f>
        <v>56-60</v>
      </c>
      <c r="BF193" s="11" t="str">
        <f>IF(AZ193="","unknown",AZ193)</f>
        <v>NO</v>
      </c>
      <c r="BG193" s="11" t="str">
        <f>IF(BA193="","UNKNOWN",BA193)</f>
        <v>NO</v>
      </c>
      <c r="BH193" s="11" t="str">
        <f>IF(BB193="","unknown",BB193)</f>
        <v>NO</v>
      </c>
      <c r="BI193" s="11" t="str">
        <f>IF(BC193="","Unknon",BC193)</f>
        <v>NO</v>
      </c>
      <c r="BJ193" s="11" t="str">
        <f>IF(BD193="","Unknown",BD193)</f>
        <v>NO</v>
      </c>
      <c r="BK193" s="11">
        <f>VALUE(C193)-VALUE(D193)</f>
        <v>18</v>
      </c>
      <c r="BM193" s="11"/>
    </row>
    <row r="194" hidden="1" spans="1:56">
      <c r="A194">
        <v>193</v>
      </c>
      <c r="B194" t="s">
        <v>255</v>
      </c>
      <c r="C194">
        <v>2022</v>
      </c>
      <c r="D194">
        <v>2004</v>
      </c>
      <c r="E194">
        <v>2010</v>
      </c>
      <c r="F194" t="s">
        <v>266</v>
      </c>
      <c r="G194"/>
      <c r="H194" t="s">
        <v>273</v>
      </c>
      <c r="I194"/>
      <c r="J194" t="s">
        <v>252</v>
      </c>
      <c r="K194" t="b">
        <v>0</v>
      </c>
      <c r="L194" t="b">
        <v>0</v>
      </c>
      <c r="M194" t="b">
        <v>1</v>
      </c>
      <c r="N194" t="b">
        <v>0</v>
      </c>
      <c r="O194" t="b">
        <v>0</v>
      </c>
      <c r="P194" t="b">
        <v>0</v>
      </c>
      <c r="Q194" t="b">
        <v>0</v>
      </c>
      <c r="R194" t="b">
        <v>0</v>
      </c>
      <c r="S194" t="b">
        <v>0</v>
      </c>
      <c r="T194" t="b">
        <v>0</v>
      </c>
      <c r="U194" t="b">
        <v>0</v>
      </c>
      <c r="V194" t="b">
        <v>0</v>
      </c>
      <c r="W194" t="b">
        <v>0</v>
      </c>
      <c r="X194" t="b">
        <v>0</v>
      </c>
      <c r="Y194" t="b">
        <v>1</v>
      </c>
      <c r="Z194" t="b">
        <v>0</v>
      </c>
      <c r="AA194" t="b">
        <v>0</v>
      </c>
      <c r="AB194" t="b">
        <v>0</v>
      </c>
      <c r="AC194" t="s">
        <v>171</v>
      </c>
      <c r="AD194" t="s">
        <v>173</v>
      </c>
      <c r="AE194" t="s">
        <v>179</v>
      </c>
      <c r="AF194" t="s">
        <v>179</v>
      </c>
      <c r="AG194" t="s">
        <v>175</v>
      </c>
      <c r="AH194" t="s">
        <v>173</v>
      </c>
      <c r="AI194" t="s">
        <v>179</v>
      </c>
      <c r="AJ194" t="s">
        <v>179</v>
      </c>
      <c r="AK194" t="s">
        <v>173</v>
      </c>
      <c r="AL194" t="s">
        <v>171</v>
      </c>
      <c r="AM194" t="s">
        <v>171</v>
      </c>
      <c r="AN194" t="s">
        <v>171</v>
      </c>
      <c r="AO194" t="s">
        <v>179</v>
      </c>
      <c r="AP194" t="s">
        <v>179</v>
      </c>
      <c r="AQ194" t="s">
        <v>179</v>
      </c>
      <c r="AR194" t="s">
        <v>175</v>
      </c>
      <c r="AS194" t="s">
        <v>177</v>
      </c>
      <c r="AT194" t="s">
        <v>173</v>
      </c>
      <c r="AU194" t="s">
        <v>177</v>
      </c>
      <c r="AV194" t="s">
        <v>179</v>
      </c>
      <c r="AW194" t="s">
        <v>175</v>
      </c>
      <c r="AX194" t="s">
        <v>192</v>
      </c>
      <c r="AY194" t="s">
        <v>198</v>
      </c>
      <c r="AZ194" t="s">
        <v>183</v>
      </c>
      <c r="BA194" t="s">
        <v>183</v>
      </c>
      <c r="BB194" t="s">
        <v>183</v>
      </c>
      <c r="BC194" t="s">
        <v>183</v>
      </c>
      <c r="BD194" t="s">
        <v>183</v>
      </c>
    </row>
    <row r="195" spans="1:65">
      <c r="A195">
        <v>194</v>
      </c>
      <c r="B195" t="s">
        <v>296</v>
      </c>
      <c r="C195" s="10">
        <v>2022</v>
      </c>
      <c r="D195" s="10">
        <v>2010</v>
      </c>
      <c r="E195" s="10">
        <v>2021</v>
      </c>
      <c r="F195" s="10" t="s">
        <v>241</v>
      </c>
      <c r="G195" s="10" t="s">
        <v>301</v>
      </c>
      <c r="H195" s="10" t="s">
        <v>243</v>
      </c>
      <c r="I195" s="10" t="s">
        <v>271</v>
      </c>
      <c r="J195" s="10" t="s">
        <v>245</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1</v>
      </c>
      <c r="AC195" s="10" t="s">
        <v>173</v>
      </c>
      <c r="AD195" t="s">
        <v>173</v>
      </c>
      <c r="AE195" t="s">
        <v>177</v>
      </c>
      <c r="AF195" t="s">
        <v>177</v>
      </c>
      <c r="AG195" t="s">
        <v>171</v>
      </c>
      <c r="AH195" t="s">
        <v>171</v>
      </c>
      <c r="AI195" t="s">
        <v>173</v>
      </c>
      <c r="AJ195" t="s">
        <v>175</v>
      </c>
      <c r="AK195" t="s">
        <v>175</v>
      </c>
      <c r="AL195" t="s">
        <v>173</v>
      </c>
      <c r="AM195" t="s">
        <v>173</v>
      </c>
      <c r="AN195" t="s">
        <v>173</v>
      </c>
      <c r="AO195" t="s">
        <v>179</v>
      </c>
      <c r="AP195" t="s">
        <v>179</v>
      </c>
      <c r="AQ195" t="s">
        <v>179</v>
      </c>
      <c r="AR195" t="s">
        <v>173</v>
      </c>
      <c r="AS195" t="s">
        <v>173</v>
      </c>
      <c r="AT195" t="s">
        <v>173</v>
      </c>
      <c r="AU195" t="s">
        <v>173</v>
      </c>
      <c r="AV195" t="s">
        <v>173</v>
      </c>
      <c r="AW195" t="s">
        <v>173</v>
      </c>
      <c r="AX195" t="s">
        <v>193</v>
      </c>
      <c r="AY195" t="s">
        <v>203</v>
      </c>
      <c r="AZ195" t="s">
        <v>207</v>
      </c>
      <c r="BA195" t="s">
        <v>207</v>
      </c>
      <c r="BB195" t="s">
        <v>207</v>
      </c>
      <c r="BC195" t="s">
        <v>207</v>
      </c>
      <c r="BD195" t="s">
        <v>207</v>
      </c>
      <c r="BE195" t="str">
        <f>IF(AY195="","Unknown",AY195)</f>
        <v>31-35</v>
      </c>
      <c r="BF195" s="11" t="str">
        <f>IF(AZ195="","unknown",AZ195)</f>
        <v>NO</v>
      </c>
      <c r="BG195" s="11" t="str">
        <f>IF(BA195="","UNKNOWN",BA195)</f>
        <v>NO</v>
      </c>
      <c r="BH195" s="11" t="str">
        <f>IF(BB195="","unknown",BB195)</f>
        <v>NO</v>
      </c>
      <c r="BI195" s="11" t="str">
        <f>IF(BC195="","Unknon",BC195)</f>
        <v>NO</v>
      </c>
      <c r="BJ195" s="11" t="str">
        <f>IF(BD195="","Unknown",BD195)</f>
        <v>NO</v>
      </c>
      <c r="BK195" s="11">
        <f>VALUE(C195)-VALUE(D195)</f>
        <v>12</v>
      </c>
      <c r="BM195" s="11"/>
    </row>
    <row r="196" hidden="1" spans="1:56">
      <c r="A196">
        <v>195</v>
      </c>
      <c r="B196" t="s">
        <v>259</v>
      </c>
      <c r="C196">
        <v>2023</v>
      </c>
      <c r="D196">
        <v>1972</v>
      </c>
      <c r="E196">
        <v>1993</v>
      </c>
      <c r="F196" t="s">
        <v>256</v>
      </c>
      <c r="G196" t="s">
        <v>257</v>
      </c>
      <c r="H196" t="s">
        <v>247</v>
      </c>
      <c r="I196"/>
      <c r="J196" t="s">
        <v>265</v>
      </c>
      <c r="K196" t="b">
        <v>0</v>
      </c>
      <c r="L196" t="b">
        <v>0</v>
      </c>
      <c r="M196" t="b">
        <v>0</v>
      </c>
      <c r="N196" t="b">
        <v>0</v>
      </c>
      <c r="O196" t="b">
        <v>0</v>
      </c>
      <c r="P196" t="b">
        <v>0</v>
      </c>
      <c r="Q196" t="b">
        <v>0</v>
      </c>
      <c r="R196" t="b">
        <v>0</v>
      </c>
      <c r="S196" t="b">
        <v>0</v>
      </c>
      <c r="T196" t="b">
        <v>0</v>
      </c>
      <c r="U196" t="b">
        <v>1</v>
      </c>
      <c r="V196" t="b">
        <v>0</v>
      </c>
      <c r="W196" t="b">
        <v>0</v>
      </c>
      <c r="X196" t="b">
        <v>0</v>
      </c>
      <c r="Y196" t="b">
        <v>0</v>
      </c>
      <c r="Z196" t="b">
        <v>1</v>
      </c>
      <c r="AA196" t="b">
        <v>1</v>
      </c>
      <c r="AB196" t="b">
        <v>0</v>
      </c>
      <c r="AC196" t="s">
        <v>177</v>
      </c>
      <c r="AD196" t="s">
        <v>175</v>
      </c>
      <c r="AE196" t="s">
        <v>173</v>
      </c>
      <c r="AF196" t="s">
        <v>175</v>
      </c>
      <c r="AG196" t="s">
        <v>177</v>
      </c>
      <c r="AH196" t="s">
        <v>177</v>
      </c>
      <c r="AI196" t="s">
        <v>177</v>
      </c>
      <c r="AJ196" t="s">
        <v>173</v>
      </c>
      <c r="AK196" t="s">
        <v>171</v>
      </c>
      <c r="AL196" t="s">
        <v>173</v>
      </c>
      <c r="AM196" t="s">
        <v>173</v>
      </c>
      <c r="AN196" t="s">
        <v>171</v>
      </c>
      <c r="AO196" t="s">
        <v>177</v>
      </c>
      <c r="AP196" t="s">
        <v>173</v>
      </c>
      <c r="AQ196" t="s">
        <v>175</v>
      </c>
      <c r="AR196" t="s">
        <v>173</v>
      </c>
      <c r="AS196" t="s">
        <v>173</v>
      </c>
      <c r="AT196" t="s">
        <v>173</v>
      </c>
      <c r="AU196" t="s">
        <v>173</v>
      </c>
      <c r="AV196" t="s">
        <v>177</v>
      </c>
      <c r="AW196" t="s">
        <v>173</v>
      </c>
      <c r="AX196" t="s">
        <v>192</v>
      </c>
      <c r="AY196" t="s">
        <v>195</v>
      </c>
      <c r="AZ196" t="s">
        <v>183</v>
      </c>
      <c r="BA196" t="s">
        <v>183</v>
      </c>
      <c r="BB196" t="s">
        <v>183</v>
      </c>
      <c r="BC196" t="s">
        <v>183</v>
      </c>
      <c r="BD196" t="s">
        <v>183</v>
      </c>
    </row>
    <row r="197" hidden="1" spans="1:56">
      <c r="A197">
        <v>196</v>
      </c>
      <c r="B197" t="s">
        <v>269</v>
      </c>
      <c r="C197">
        <v>2022</v>
      </c>
      <c r="D197">
        <v>1998</v>
      </c>
      <c r="E197">
        <v>2019</v>
      </c>
      <c r="F197" t="s">
        <v>289</v>
      </c>
      <c r="G197"/>
      <c r="H197" t="s">
        <v>267</v>
      </c>
      <c r="I197"/>
      <c r="J197" t="s">
        <v>252</v>
      </c>
      <c r="K197" t="b">
        <v>1</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s">
        <v>171</v>
      </c>
      <c r="AD197" t="s">
        <v>173</v>
      </c>
      <c r="AE197" t="s">
        <v>171</v>
      </c>
      <c r="AF197" t="s">
        <v>171</v>
      </c>
      <c r="AG197" t="s">
        <v>171</v>
      </c>
      <c r="AH197" t="s">
        <v>171</v>
      </c>
      <c r="AI197" t="s">
        <v>171</v>
      </c>
      <c r="AJ197" t="s">
        <v>171</v>
      </c>
      <c r="AK197" t="s">
        <v>171</v>
      </c>
      <c r="AL197" t="s">
        <v>171</v>
      </c>
      <c r="AM197" t="s">
        <v>171</v>
      </c>
      <c r="AN197" t="s">
        <v>183</v>
      </c>
      <c r="AO197" t="s">
        <v>173</v>
      </c>
      <c r="AP197" t="s">
        <v>171</v>
      </c>
      <c r="AQ197" t="s">
        <v>171</v>
      </c>
      <c r="AR197" t="s">
        <v>171</v>
      </c>
      <c r="AS197" t="s">
        <v>171</v>
      </c>
      <c r="AT197" t="s">
        <v>171</v>
      </c>
      <c r="AU197" t="s">
        <v>171</v>
      </c>
      <c r="AV197" t="s">
        <v>171</v>
      </c>
      <c r="AW197" t="s">
        <v>171</v>
      </c>
      <c r="AX197" t="s">
        <v>192</v>
      </c>
      <c r="AY197" t="s">
        <v>198</v>
      </c>
      <c r="AZ197" t="s">
        <v>183</v>
      </c>
      <c r="BA197" t="s">
        <v>183</v>
      </c>
      <c r="BB197" t="s">
        <v>183</v>
      </c>
      <c r="BC197" t="s">
        <v>183</v>
      </c>
      <c r="BD197" t="s">
        <v>183</v>
      </c>
    </row>
    <row r="198" hidden="1" spans="1:56">
      <c r="A198">
        <v>197</v>
      </c>
      <c r="B198" t="s">
        <v>255</v>
      </c>
      <c r="C198">
        <v>2022</v>
      </c>
      <c r="D198" t="s">
        <v>247</v>
      </c>
      <c r="E198" t="s">
        <v>247</v>
      </c>
      <c r="F198" t="s">
        <v>266</v>
      </c>
      <c r="G198"/>
      <c r="H198" t="s">
        <v>268</v>
      </c>
      <c r="I198"/>
      <c r="J198" t="s">
        <v>265</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1</v>
      </c>
      <c r="AC198" t="s">
        <v>171</v>
      </c>
      <c r="AD198" t="s">
        <v>179</v>
      </c>
      <c r="AE198" t="s">
        <v>175</v>
      </c>
      <c r="AF198" t="s">
        <v>175</v>
      </c>
      <c r="AG198" t="s">
        <v>173</v>
      </c>
      <c r="AH198" t="s">
        <v>173</v>
      </c>
      <c r="AI198" t="s">
        <v>173</v>
      </c>
      <c r="AJ198" t="s">
        <v>173</v>
      </c>
      <c r="AK198" t="s">
        <v>173</v>
      </c>
      <c r="AL198" t="s">
        <v>175</v>
      </c>
      <c r="AM198" t="s">
        <v>181</v>
      </c>
      <c r="AN198" t="s">
        <v>179</v>
      </c>
      <c r="AO198" t="s">
        <v>173</v>
      </c>
      <c r="AP198" t="s">
        <v>173</v>
      </c>
      <c r="AQ198" t="s">
        <v>173</v>
      </c>
      <c r="AR198" t="s">
        <v>173</v>
      </c>
      <c r="AS198" t="s">
        <v>173</v>
      </c>
      <c r="AT198" t="s">
        <v>173</v>
      </c>
      <c r="AU198" t="s">
        <v>173</v>
      </c>
      <c r="AV198" t="s">
        <v>175</v>
      </c>
      <c r="AW198" t="s">
        <v>175</v>
      </c>
      <c r="AX198" t="s">
        <v>192</v>
      </c>
      <c r="AY198" t="s">
        <v>198</v>
      </c>
      <c r="AZ198" t="s">
        <v>183</v>
      </c>
      <c r="BA198" t="s">
        <v>183</v>
      </c>
      <c r="BB198" t="s">
        <v>183</v>
      </c>
      <c r="BC198" t="s">
        <v>183</v>
      </c>
      <c r="BD198" t="s">
        <v>183</v>
      </c>
    </row>
    <row r="199" hidden="1" spans="1:56">
      <c r="A199">
        <v>198</v>
      </c>
      <c r="B199" t="s">
        <v>269</v>
      </c>
      <c r="C199">
        <v>2022</v>
      </c>
      <c r="D199">
        <v>2014</v>
      </c>
      <c r="E199">
        <v>2014</v>
      </c>
      <c r="F199" t="s">
        <v>248</v>
      </c>
      <c r="G199" t="s">
        <v>242</v>
      </c>
      <c r="H199" t="s">
        <v>261</v>
      </c>
      <c r="I199"/>
      <c r="J199" t="s">
        <v>252</v>
      </c>
      <c r="K199" t="b">
        <v>0</v>
      </c>
      <c r="L199" t="b">
        <v>0</v>
      </c>
      <c r="M199" t="b">
        <v>0</v>
      </c>
      <c r="N199" t="b">
        <v>1</v>
      </c>
      <c r="O199" t="b">
        <v>0</v>
      </c>
      <c r="P199" t="b">
        <v>0</v>
      </c>
      <c r="Q199" t="b">
        <v>1</v>
      </c>
      <c r="R199" t="b">
        <v>0</v>
      </c>
      <c r="S199" t="b">
        <v>0</v>
      </c>
      <c r="T199" t="b">
        <v>0</v>
      </c>
      <c r="U199" t="b">
        <v>0</v>
      </c>
      <c r="V199" t="b">
        <v>0</v>
      </c>
      <c r="W199" t="b">
        <v>0</v>
      </c>
      <c r="X199" t="b">
        <v>0</v>
      </c>
      <c r="Y199" t="b">
        <v>0</v>
      </c>
      <c r="Z199" t="b">
        <v>0</v>
      </c>
      <c r="AA199" t="b">
        <v>0</v>
      </c>
      <c r="AB199" t="b">
        <v>0</v>
      </c>
      <c r="AC199" t="s">
        <v>177</v>
      </c>
      <c r="AD199" t="s">
        <v>179</v>
      </c>
      <c r="AE199" t="s">
        <v>175</v>
      </c>
      <c r="AF199" t="s">
        <v>177</v>
      </c>
      <c r="AG199" t="s">
        <v>173</v>
      </c>
      <c r="AH199" t="s">
        <v>173</v>
      </c>
      <c r="AI199" t="s">
        <v>175</v>
      </c>
      <c r="AJ199" t="s">
        <v>177</v>
      </c>
      <c r="AK199" t="s">
        <v>175</v>
      </c>
      <c r="AL199" t="s">
        <v>177</v>
      </c>
      <c r="AM199" t="s">
        <v>179</v>
      </c>
      <c r="AN199" t="s">
        <v>173</v>
      </c>
      <c r="AO199" t="s">
        <v>177</v>
      </c>
      <c r="AP199" t="s">
        <v>175</v>
      </c>
      <c r="AQ199" t="s">
        <v>177</v>
      </c>
      <c r="AR199" t="s">
        <v>177</v>
      </c>
      <c r="AS199" t="s">
        <v>177</v>
      </c>
      <c r="AT199" t="s">
        <v>175</v>
      </c>
      <c r="AU199" t="s">
        <v>177</v>
      </c>
      <c r="AV199" t="s">
        <v>175</v>
      </c>
      <c r="AW199" t="s">
        <v>177</v>
      </c>
      <c r="AX199" t="s">
        <v>192</v>
      </c>
      <c r="AY199" t="s">
        <v>203</v>
      </c>
      <c r="AZ199" t="s">
        <v>183</v>
      </c>
      <c r="BA199" t="s">
        <v>183</v>
      </c>
      <c r="BB199" t="s">
        <v>183</v>
      </c>
      <c r="BC199" t="s">
        <v>183</v>
      </c>
      <c r="BD199" t="s">
        <v>183</v>
      </c>
    </row>
    <row r="200" hidden="1" spans="1:56">
      <c r="A200">
        <v>199</v>
      </c>
      <c r="B200" t="s">
        <v>280</v>
      </c>
      <c r="C200">
        <v>2022</v>
      </c>
      <c r="D200">
        <v>1993</v>
      </c>
      <c r="E200">
        <v>2004</v>
      </c>
      <c r="F200" t="s">
        <v>256</v>
      </c>
      <c r="G200" t="s">
        <v>257</v>
      </c>
      <c r="H200" t="s">
        <v>264</v>
      </c>
      <c r="I200"/>
      <c r="J200" t="s">
        <v>265</v>
      </c>
      <c r="K200" t="b">
        <v>0</v>
      </c>
      <c r="L200" t="b">
        <v>0</v>
      </c>
      <c r="M200" t="b">
        <v>0</v>
      </c>
      <c r="N200" t="b">
        <v>0</v>
      </c>
      <c r="O200" t="b">
        <v>0</v>
      </c>
      <c r="P200" t="b">
        <v>0</v>
      </c>
      <c r="Q200" t="b">
        <v>0</v>
      </c>
      <c r="R200" t="b">
        <v>0</v>
      </c>
      <c r="S200" t="b">
        <v>0</v>
      </c>
      <c r="T200" t="b">
        <v>0</v>
      </c>
      <c r="U200" t="b">
        <v>0</v>
      </c>
      <c r="V200" t="b">
        <v>0</v>
      </c>
      <c r="W200" t="b">
        <v>0</v>
      </c>
      <c r="X200" t="b">
        <v>1</v>
      </c>
      <c r="Y200" t="b">
        <v>0</v>
      </c>
      <c r="Z200" t="b">
        <v>0</v>
      </c>
      <c r="AA200" t="b">
        <v>0</v>
      </c>
      <c r="AB200" t="b">
        <v>0</v>
      </c>
      <c r="AC200" t="s">
        <v>173</v>
      </c>
      <c r="AD200" t="s">
        <v>173</v>
      </c>
      <c r="AE200" t="s">
        <v>173</v>
      </c>
      <c r="AF200" t="s">
        <v>173</v>
      </c>
      <c r="AG200" t="s">
        <v>173</v>
      </c>
      <c r="AH200" t="s">
        <v>177</v>
      </c>
      <c r="AI200" t="s">
        <v>177</v>
      </c>
      <c r="AJ200" t="s">
        <v>173</v>
      </c>
      <c r="AK200" t="s">
        <v>171</v>
      </c>
      <c r="AL200" t="s">
        <v>171</v>
      </c>
      <c r="AM200" t="s">
        <v>171</v>
      </c>
      <c r="AN200" t="s">
        <v>173</v>
      </c>
      <c r="AO200" t="s">
        <v>177</v>
      </c>
      <c r="AP200" t="s">
        <v>173</v>
      </c>
      <c r="AQ200" t="s">
        <v>175</v>
      </c>
      <c r="AR200" t="s">
        <v>173</v>
      </c>
      <c r="AS200" t="s">
        <v>173</v>
      </c>
      <c r="AT200" t="s">
        <v>173</v>
      </c>
      <c r="AU200" t="s">
        <v>173</v>
      </c>
      <c r="AV200" t="s">
        <v>177</v>
      </c>
      <c r="AW200" t="s">
        <v>173</v>
      </c>
      <c r="AX200" t="s">
        <v>192</v>
      </c>
      <c r="AY200" t="s">
        <v>198</v>
      </c>
      <c r="AZ200" t="s">
        <v>183</v>
      </c>
      <c r="BA200" t="s">
        <v>183</v>
      </c>
      <c r="BB200" t="s">
        <v>183</v>
      </c>
      <c r="BC200" t="s">
        <v>183</v>
      </c>
      <c r="BD200" t="s">
        <v>183</v>
      </c>
    </row>
    <row r="201" hidden="1" spans="1:56">
      <c r="A201">
        <v>200</v>
      </c>
      <c r="B201" t="s">
        <v>259</v>
      </c>
      <c r="C201">
        <v>2022</v>
      </c>
      <c r="D201">
        <v>2012</v>
      </c>
      <c r="E201">
        <v>2015</v>
      </c>
      <c r="F201" t="s">
        <v>275</v>
      </c>
      <c r="G201"/>
      <c r="H201" t="s">
        <v>258</v>
      </c>
      <c r="I201"/>
      <c r="J201" t="s">
        <v>265</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1</v>
      </c>
      <c r="AC201" t="s">
        <v>181</v>
      </c>
      <c r="AD201" t="s">
        <v>181</v>
      </c>
      <c r="AE201" t="s">
        <v>181</v>
      </c>
      <c r="AF201" t="s">
        <v>181</v>
      </c>
      <c r="AG201" t="s">
        <v>181</v>
      </c>
      <c r="AH201" t="s">
        <v>171</v>
      </c>
      <c r="AI201" t="s">
        <v>181</v>
      </c>
      <c r="AJ201" t="s">
        <v>181</v>
      </c>
      <c r="AK201" t="s">
        <v>181</v>
      </c>
      <c r="AL201" t="s">
        <v>181</v>
      </c>
      <c r="AM201" t="s">
        <v>181</v>
      </c>
      <c r="AN201" t="s">
        <v>181</v>
      </c>
      <c r="AO201" t="s">
        <v>181</v>
      </c>
      <c r="AP201" t="s">
        <v>181</v>
      </c>
      <c r="AQ201" t="s">
        <v>181</v>
      </c>
      <c r="AR201" t="s">
        <v>171</v>
      </c>
      <c r="AS201" t="s">
        <v>181</v>
      </c>
      <c r="AT201" t="s">
        <v>181</v>
      </c>
      <c r="AU201" t="s">
        <v>181</v>
      </c>
      <c r="AV201" t="s">
        <v>181</v>
      </c>
      <c r="AW201" t="s">
        <v>181</v>
      </c>
      <c r="AX201" t="s">
        <v>192</v>
      </c>
      <c r="AY201" t="s">
        <v>195</v>
      </c>
      <c r="AZ201" t="s">
        <v>183</v>
      </c>
      <c r="BA201" t="s">
        <v>183</v>
      </c>
      <c r="BB201" t="s">
        <v>183</v>
      </c>
      <c r="BC201" t="s">
        <v>183</v>
      </c>
      <c r="BD201" t="s">
        <v>183</v>
      </c>
    </row>
    <row r="202" spans="1:65">
      <c r="A202">
        <v>201</v>
      </c>
      <c r="B202" t="s">
        <v>296</v>
      </c>
      <c r="C202" s="10">
        <v>2022</v>
      </c>
      <c r="D202" s="10">
        <v>2002</v>
      </c>
      <c r="E202" s="10">
        <v>2019</v>
      </c>
      <c r="F202" s="10" t="s">
        <v>241</v>
      </c>
      <c r="G202" s="10" t="s">
        <v>301</v>
      </c>
      <c r="H202" s="10" t="s">
        <v>243</v>
      </c>
      <c r="I202" s="10" t="s">
        <v>271</v>
      </c>
      <c r="J202" s="10" t="s">
        <v>245</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1</v>
      </c>
      <c r="AC202" s="10" t="s">
        <v>171</v>
      </c>
      <c r="AD202" t="s">
        <v>171</v>
      </c>
      <c r="AE202" t="s">
        <v>171</v>
      </c>
      <c r="AF202" t="s">
        <v>171</v>
      </c>
      <c r="AG202" t="s">
        <v>171</v>
      </c>
      <c r="AH202" t="s">
        <v>171</v>
      </c>
      <c r="AI202" t="s">
        <v>171</v>
      </c>
      <c r="AJ202" t="s">
        <v>171</v>
      </c>
      <c r="AK202" t="s">
        <v>171</v>
      </c>
      <c r="AL202" t="s">
        <v>171</v>
      </c>
      <c r="AM202" t="s">
        <v>171</v>
      </c>
      <c r="AN202" t="s">
        <v>171</v>
      </c>
      <c r="AO202" t="s">
        <v>171</v>
      </c>
      <c r="AP202" t="s">
        <v>171</v>
      </c>
      <c r="AQ202" t="s">
        <v>171</v>
      </c>
      <c r="AR202" t="s">
        <v>171</v>
      </c>
      <c r="AS202" t="s">
        <v>171</v>
      </c>
      <c r="AT202" t="s">
        <v>171</v>
      </c>
      <c r="AU202" t="s">
        <v>171</v>
      </c>
      <c r="AV202" t="s">
        <v>171</v>
      </c>
      <c r="AW202" t="s">
        <v>171</v>
      </c>
      <c r="AX202" t="s">
        <v>192</v>
      </c>
      <c r="AY202" t="s">
        <v>197</v>
      </c>
      <c r="AZ202" t="s">
        <v>207</v>
      </c>
      <c r="BA202" t="s">
        <v>207</v>
      </c>
      <c r="BB202" t="s">
        <v>207</v>
      </c>
      <c r="BC202" t="s">
        <v>207</v>
      </c>
      <c r="BD202" t="s">
        <v>207</v>
      </c>
      <c r="BE202" t="str">
        <f>IF(AY202="","Unknown",AY202)</f>
        <v>51-55</v>
      </c>
      <c r="BF202" s="11" t="str">
        <f>IF(AZ202="","unknown",AZ202)</f>
        <v>NO</v>
      </c>
      <c r="BG202" s="11" t="str">
        <f>IF(BA202="","UNKNOWN",BA202)</f>
        <v>NO</v>
      </c>
      <c r="BH202" s="11" t="str">
        <f>IF(BB202="","unknown",BB202)</f>
        <v>NO</v>
      </c>
      <c r="BI202" s="11" t="str">
        <f>IF(BC202="","Unknon",BC202)</f>
        <v>NO</v>
      </c>
      <c r="BJ202" s="11" t="str">
        <f>IF(BD202="","Unknown",BD202)</f>
        <v>NO</v>
      </c>
      <c r="BK202" s="11">
        <f>VALUE(C202)-VALUE(D202)</f>
        <v>20</v>
      </c>
      <c r="BM202" s="11"/>
    </row>
    <row r="203" hidden="1" spans="1:56">
      <c r="A203">
        <v>202</v>
      </c>
      <c r="B203" t="s">
        <v>246</v>
      </c>
      <c r="C203">
        <v>2022</v>
      </c>
      <c r="D203">
        <v>2000</v>
      </c>
      <c r="E203" t="s">
        <v>247</v>
      </c>
      <c r="F203" t="s">
        <v>266</v>
      </c>
      <c r="G203"/>
      <c r="H203" t="s">
        <v>268</v>
      </c>
      <c r="I203"/>
      <c r="J203" t="s">
        <v>265</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1</v>
      </c>
      <c r="AC203" t="s">
        <v>171</v>
      </c>
      <c r="AD203" t="s">
        <v>175</v>
      </c>
      <c r="AE203" t="s">
        <v>173</v>
      </c>
      <c r="AF203" t="s">
        <v>173</v>
      </c>
      <c r="AG203" t="s">
        <v>173</v>
      </c>
      <c r="AH203" t="s">
        <v>173</v>
      </c>
      <c r="AI203" t="s">
        <v>173</v>
      </c>
      <c r="AJ203" t="s">
        <v>173</v>
      </c>
      <c r="AK203" t="s">
        <v>173</v>
      </c>
      <c r="AL203" t="s">
        <v>173</v>
      </c>
      <c r="AM203" t="s">
        <v>173</v>
      </c>
      <c r="AN203" t="s">
        <v>173</v>
      </c>
      <c r="AO203" t="s">
        <v>175</v>
      </c>
      <c r="AP203" t="s">
        <v>173</v>
      </c>
      <c r="AQ203" t="s">
        <v>171</v>
      </c>
      <c r="AR203" t="s">
        <v>173</v>
      </c>
      <c r="AS203" t="s">
        <v>171</v>
      </c>
      <c r="AT203" t="s">
        <v>173</v>
      </c>
      <c r="AU203" t="s">
        <v>173</v>
      </c>
      <c r="AV203" t="s">
        <v>171</v>
      </c>
      <c r="AW203" t="s">
        <v>171</v>
      </c>
      <c r="AX203" t="s">
        <v>192</v>
      </c>
      <c r="AY203" t="s">
        <v>196</v>
      </c>
      <c r="AZ203" t="s">
        <v>183</v>
      </c>
      <c r="BA203" t="s">
        <v>183</v>
      </c>
      <c r="BB203" t="s">
        <v>183</v>
      </c>
      <c r="BC203" t="s">
        <v>183</v>
      </c>
      <c r="BD203" t="s">
        <v>183</v>
      </c>
    </row>
    <row r="204" hidden="1" spans="1:56">
      <c r="A204">
        <v>203</v>
      </c>
      <c r="B204" t="s">
        <v>280</v>
      </c>
      <c r="C204">
        <v>2022</v>
      </c>
      <c r="D204" t="s">
        <v>247</v>
      </c>
      <c r="E204">
        <v>2012</v>
      </c>
      <c r="F204" t="s">
        <v>266</v>
      </c>
      <c r="G204"/>
      <c r="H204" t="s">
        <v>274</v>
      </c>
      <c r="I204"/>
      <c r="J204" t="s">
        <v>265</v>
      </c>
      <c r="K204" t="b">
        <v>0</v>
      </c>
      <c r="L204" t="b">
        <v>0</v>
      </c>
      <c r="M204" t="b">
        <v>0</v>
      </c>
      <c r="N204" t="b">
        <v>0</v>
      </c>
      <c r="O204" t="b">
        <v>0</v>
      </c>
      <c r="P204" t="b">
        <v>1</v>
      </c>
      <c r="Q204" t="b">
        <v>0</v>
      </c>
      <c r="R204" t="b">
        <v>0</v>
      </c>
      <c r="S204" t="b">
        <v>0</v>
      </c>
      <c r="T204" t="b">
        <v>0</v>
      </c>
      <c r="U204" t="b">
        <v>0</v>
      </c>
      <c r="V204" t="b">
        <v>0</v>
      </c>
      <c r="W204" t="b">
        <v>0</v>
      </c>
      <c r="X204" t="b">
        <v>1</v>
      </c>
      <c r="Y204" t="b">
        <v>1</v>
      </c>
      <c r="Z204" t="b">
        <v>0</v>
      </c>
      <c r="AA204" t="b">
        <v>0</v>
      </c>
      <c r="AB204" t="b">
        <v>0</v>
      </c>
      <c r="AC204" t="s">
        <v>175</v>
      </c>
      <c r="AD204" t="s">
        <v>177</v>
      </c>
      <c r="AE204" t="s">
        <v>175</v>
      </c>
      <c r="AF204" t="s">
        <v>179</v>
      </c>
      <c r="AG204" t="s">
        <v>177</v>
      </c>
      <c r="AH204" t="s">
        <v>179</v>
      </c>
      <c r="AI204" t="s">
        <v>179</v>
      </c>
      <c r="AJ204" t="s">
        <v>179</v>
      </c>
      <c r="AK204" t="s">
        <v>173</v>
      </c>
      <c r="AL204" t="s">
        <v>171</v>
      </c>
      <c r="AM204" t="s">
        <v>171</v>
      </c>
      <c r="AN204" t="s">
        <v>173</v>
      </c>
      <c r="AO204" t="s">
        <v>179</v>
      </c>
      <c r="AP204" t="s">
        <v>175</v>
      </c>
      <c r="AQ204" t="s">
        <v>177</v>
      </c>
      <c r="AR204" t="s">
        <v>179</v>
      </c>
      <c r="AS204" t="s">
        <v>175</v>
      </c>
      <c r="AT204" t="s">
        <v>177</v>
      </c>
      <c r="AU204" t="s">
        <v>179</v>
      </c>
      <c r="AV204" t="s">
        <v>179</v>
      </c>
      <c r="AW204" t="s">
        <v>179</v>
      </c>
      <c r="AX204" t="s">
        <v>192</v>
      </c>
      <c r="AY204" t="s">
        <v>198</v>
      </c>
      <c r="AZ204" t="s">
        <v>183</v>
      </c>
      <c r="BA204" t="s">
        <v>183</v>
      </c>
      <c r="BB204" t="s">
        <v>183</v>
      </c>
      <c r="BC204" t="s">
        <v>183</v>
      </c>
      <c r="BD204" t="s">
        <v>183</v>
      </c>
    </row>
    <row r="205" hidden="1" spans="1:56">
      <c r="A205">
        <v>204</v>
      </c>
      <c r="B205" t="s">
        <v>282</v>
      </c>
      <c r="C205">
        <v>2022</v>
      </c>
      <c r="D205">
        <v>1983</v>
      </c>
      <c r="E205">
        <v>2004</v>
      </c>
      <c r="F205" t="s">
        <v>282</v>
      </c>
      <c r="G205"/>
      <c r="H205" t="s">
        <v>261</v>
      </c>
      <c r="I205"/>
      <c r="J205" t="s">
        <v>252</v>
      </c>
      <c r="K205" t="b">
        <v>0</v>
      </c>
      <c r="L205" t="b">
        <v>0</v>
      </c>
      <c r="M205" t="b">
        <v>0</v>
      </c>
      <c r="N205" t="b">
        <v>0</v>
      </c>
      <c r="O205" t="b">
        <v>0</v>
      </c>
      <c r="P205" t="b">
        <v>1</v>
      </c>
      <c r="Q205" t="b">
        <v>0</v>
      </c>
      <c r="R205" t="b">
        <v>0</v>
      </c>
      <c r="S205" t="b">
        <v>0</v>
      </c>
      <c r="T205" t="b">
        <v>1</v>
      </c>
      <c r="U205" t="b">
        <v>0</v>
      </c>
      <c r="V205" t="b">
        <v>0</v>
      </c>
      <c r="W205" t="b">
        <v>0</v>
      </c>
      <c r="X205" t="b">
        <v>0</v>
      </c>
      <c r="Y205" t="b">
        <v>1</v>
      </c>
      <c r="Z205" t="b">
        <v>0</v>
      </c>
      <c r="AA205" t="b">
        <v>0</v>
      </c>
      <c r="AB205" t="b">
        <v>0</v>
      </c>
      <c r="AC205" t="s">
        <v>173</v>
      </c>
      <c r="AD205" t="s">
        <v>179</v>
      </c>
      <c r="AE205" t="s">
        <v>175</v>
      </c>
      <c r="AF205" t="s">
        <v>179</v>
      </c>
      <c r="AG205" t="s">
        <v>179</v>
      </c>
      <c r="AH205" t="s">
        <v>175</v>
      </c>
      <c r="AI205" t="s">
        <v>175</v>
      </c>
      <c r="AJ205" t="s">
        <v>177</v>
      </c>
      <c r="AK205" t="s">
        <v>175</v>
      </c>
      <c r="AL205" t="s">
        <v>175</v>
      </c>
      <c r="AM205" t="s">
        <v>175</v>
      </c>
      <c r="AN205" t="s">
        <v>177</v>
      </c>
      <c r="AO205" t="s">
        <v>177</v>
      </c>
      <c r="AP205" t="s">
        <v>177</v>
      </c>
      <c r="AQ205" t="s">
        <v>177</v>
      </c>
      <c r="AR205" t="s">
        <v>175</v>
      </c>
      <c r="AS205" t="s">
        <v>177</v>
      </c>
      <c r="AT205" t="s">
        <v>175</v>
      </c>
      <c r="AU205" t="s">
        <v>179</v>
      </c>
      <c r="AV205" t="s">
        <v>183</v>
      </c>
      <c r="AW205" t="s">
        <v>179</v>
      </c>
      <c r="AX205" t="s">
        <v>192</v>
      </c>
      <c r="AY205" t="s">
        <v>195</v>
      </c>
      <c r="AZ205" t="s">
        <v>183</v>
      </c>
      <c r="BA205" t="s">
        <v>183</v>
      </c>
      <c r="BB205" t="s">
        <v>183</v>
      </c>
      <c r="BC205" t="s">
        <v>183</v>
      </c>
      <c r="BD205" t="s">
        <v>183</v>
      </c>
    </row>
    <row r="206" spans="1:65">
      <c r="A206">
        <v>205</v>
      </c>
      <c r="B206" t="s">
        <v>277</v>
      </c>
      <c r="C206" s="10">
        <v>2022</v>
      </c>
      <c r="D206" s="10">
        <v>2017</v>
      </c>
      <c r="E206" s="10">
        <v>2019</v>
      </c>
      <c r="F206" s="10" t="s">
        <v>241</v>
      </c>
      <c r="G206" s="10" t="s">
        <v>242</v>
      </c>
      <c r="H206" s="10" t="s">
        <v>243</v>
      </c>
      <c r="I206" s="10" t="s">
        <v>305</v>
      </c>
      <c r="J206" s="10" t="s">
        <v>302</v>
      </c>
      <c r="K206" t="b">
        <v>0</v>
      </c>
      <c r="L206" t="b">
        <v>1</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s="10" t="s">
        <v>173</v>
      </c>
      <c r="AD206" t="s">
        <v>175</v>
      </c>
      <c r="AE206" t="s">
        <v>173</v>
      </c>
      <c r="AF206" t="s">
        <v>173</v>
      </c>
      <c r="AG206" t="s">
        <v>173</v>
      </c>
      <c r="AH206" t="s">
        <v>173</v>
      </c>
      <c r="AI206" t="s">
        <v>173</v>
      </c>
      <c r="AJ206" t="s">
        <v>173</v>
      </c>
      <c r="AK206" t="s">
        <v>173</v>
      </c>
      <c r="AL206" t="s">
        <v>173</v>
      </c>
      <c r="AM206" t="s">
        <v>173</v>
      </c>
      <c r="AN206" t="s">
        <v>173</v>
      </c>
      <c r="AO206" t="s">
        <v>173</v>
      </c>
      <c r="AP206" t="s">
        <v>173</v>
      </c>
      <c r="AQ206" t="s">
        <v>173</v>
      </c>
      <c r="AR206" t="s">
        <v>173</v>
      </c>
      <c r="AS206" t="s">
        <v>173</v>
      </c>
      <c r="AT206" t="s">
        <v>173</v>
      </c>
      <c r="AU206" t="s">
        <v>173</v>
      </c>
      <c r="AV206" t="s">
        <v>175</v>
      </c>
      <c r="AW206" t="s">
        <v>175</v>
      </c>
      <c r="AX206" t="s">
        <v>192</v>
      </c>
      <c r="AY206" t="s">
        <v>202</v>
      </c>
      <c r="AZ206" t="s">
        <v>207</v>
      </c>
      <c r="BA206" t="s">
        <v>207</v>
      </c>
      <c r="BB206" t="s">
        <v>207</v>
      </c>
      <c r="BC206" t="s">
        <v>207</v>
      </c>
      <c r="BD206" t="s">
        <v>207</v>
      </c>
      <c r="BE206" t="str">
        <f>IF(AY206="","Unknown",AY206)</f>
        <v>21-25</v>
      </c>
      <c r="BF206" s="11" t="str">
        <f>IF(AZ206="","unknown",AZ206)</f>
        <v>NO</v>
      </c>
      <c r="BG206" s="11" t="str">
        <f>IF(BA206="","UNKNOWN",BA206)</f>
        <v>NO</v>
      </c>
      <c r="BH206" s="11" t="str">
        <f>IF(BB206="","unknown",BB206)</f>
        <v>NO</v>
      </c>
      <c r="BI206" s="11" t="str">
        <f>IF(BC206="","Unknon",BC206)</f>
        <v>NO</v>
      </c>
      <c r="BJ206" s="11" t="str">
        <f>IF(BD206="","Unknown",BD206)</f>
        <v>NO</v>
      </c>
      <c r="BK206" s="11">
        <f>VALUE(C206)-VALUE(D206)</f>
        <v>5</v>
      </c>
      <c r="BM206" s="11"/>
    </row>
    <row r="207" hidden="1" spans="1:56">
      <c r="A207">
        <v>206</v>
      </c>
      <c r="B207" t="s">
        <v>255</v>
      </c>
      <c r="C207">
        <v>2022</v>
      </c>
      <c r="D207">
        <v>2015</v>
      </c>
      <c r="E207">
        <v>2015</v>
      </c>
      <c r="F207" t="s">
        <v>266</v>
      </c>
      <c r="G207"/>
      <c r="H207" t="s">
        <v>268</v>
      </c>
      <c r="I207"/>
      <c r="J207" t="s">
        <v>265</v>
      </c>
      <c r="K207" t="b">
        <v>0</v>
      </c>
      <c r="L207" t="b">
        <v>0</v>
      </c>
      <c r="M207" t="b">
        <v>0</v>
      </c>
      <c r="N207" t="b">
        <v>0</v>
      </c>
      <c r="O207" t="b">
        <v>0</v>
      </c>
      <c r="P207" t="b">
        <v>0</v>
      </c>
      <c r="Q207" t="b">
        <v>0</v>
      </c>
      <c r="R207" t="b">
        <v>0</v>
      </c>
      <c r="S207" t="b">
        <v>0</v>
      </c>
      <c r="T207" t="b">
        <v>0</v>
      </c>
      <c r="U207" t="b">
        <v>0</v>
      </c>
      <c r="V207" t="b">
        <v>0</v>
      </c>
      <c r="W207" t="b">
        <v>0</v>
      </c>
      <c r="X207" t="b">
        <v>0</v>
      </c>
      <c r="Y207" t="b">
        <v>0</v>
      </c>
      <c r="Z207" t="b">
        <v>1</v>
      </c>
      <c r="AA207" t="b">
        <v>0</v>
      </c>
      <c r="AB207" t="b">
        <v>0</v>
      </c>
      <c r="AC207" t="s">
        <v>173</v>
      </c>
      <c r="AD207" t="s">
        <v>173</v>
      </c>
      <c r="AE207" t="s">
        <v>173</v>
      </c>
      <c r="AF207" t="s">
        <v>173</v>
      </c>
      <c r="AG207" t="s">
        <v>173</v>
      </c>
      <c r="AH207" t="s">
        <v>177</v>
      </c>
      <c r="AI207" t="s">
        <v>173</v>
      </c>
      <c r="AJ207" t="s">
        <v>173</v>
      </c>
      <c r="AK207" t="s">
        <v>173</v>
      </c>
      <c r="AL207" t="s">
        <v>173</v>
      </c>
      <c r="AM207" t="s">
        <v>173</v>
      </c>
      <c r="AN207" t="s">
        <v>173</v>
      </c>
      <c r="AO207" t="s">
        <v>177</v>
      </c>
      <c r="AP207" t="s">
        <v>177</v>
      </c>
      <c r="AQ207" t="s">
        <v>177</v>
      </c>
      <c r="AR207" t="s">
        <v>173</v>
      </c>
      <c r="AS207" t="s">
        <v>175</v>
      </c>
      <c r="AT207" t="s">
        <v>173</v>
      </c>
      <c r="AU207" t="s">
        <v>175</v>
      </c>
      <c r="AV207" t="s">
        <v>177</v>
      </c>
      <c r="AW207" t="s">
        <v>173</v>
      </c>
      <c r="AX207" t="s">
        <v>192</v>
      </c>
      <c r="AY207" t="s">
        <v>201</v>
      </c>
      <c r="AZ207" t="s">
        <v>183</v>
      </c>
      <c r="BA207" t="s">
        <v>183</v>
      </c>
      <c r="BB207" t="s">
        <v>183</v>
      </c>
      <c r="BC207" t="s">
        <v>183</v>
      </c>
      <c r="BD207" t="s">
        <v>183</v>
      </c>
    </row>
    <row r="208" spans="1:65">
      <c r="A208">
        <v>207</v>
      </c>
      <c r="B208" t="s">
        <v>286</v>
      </c>
      <c r="C208" s="10">
        <v>2022</v>
      </c>
      <c r="D208" s="10">
        <v>1979</v>
      </c>
      <c r="E208" s="10">
        <v>2014</v>
      </c>
      <c r="F208" s="10" t="s">
        <v>241</v>
      </c>
      <c r="G208" s="10" t="s">
        <v>249</v>
      </c>
      <c r="H208" s="10" t="s">
        <v>243</v>
      </c>
      <c r="I208" s="10" t="s">
        <v>278</v>
      </c>
      <c r="J208" s="10" t="s">
        <v>245</v>
      </c>
      <c r="K208" t="b">
        <v>0</v>
      </c>
      <c r="L208" t="b">
        <v>0</v>
      </c>
      <c r="M208" t="b">
        <v>0</v>
      </c>
      <c r="N208" t="b">
        <v>1</v>
      </c>
      <c r="O208" t="b">
        <v>0</v>
      </c>
      <c r="P208" t="b">
        <v>0</v>
      </c>
      <c r="Q208" t="b">
        <v>1</v>
      </c>
      <c r="R208" t="b">
        <v>1</v>
      </c>
      <c r="S208" t="b">
        <v>0</v>
      </c>
      <c r="T208" t="b">
        <v>0</v>
      </c>
      <c r="U208" t="b">
        <v>0</v>
      </c>
      <c r="V208" t="b">
        <v>0</v>
      </c>
      <c r="W208" t="b">
        <v>0</v>
      </c>
      <c r="X208" t="b">
        <v>0</v>
      </c>
      <c r="Y208" t="b">
        <v>0</v>
      </c>
      <c r="Z208" t="b">
        <v>0</v>
      </c>
      <c r="AA208" t="b">
        <v>0</v>
      </c>
      <c r="AB208" t="b">
        <v>0</v>
      </c>
      <c r="AC208" s="10" t="s">
        <v>173</v>
      </c>
      <c r="AD208" t="s">
        <v>173</v>
      </c>
      <c r="AE208" t="s">
        <v>179</v>
      </c>
      <c r="AF208" t="s">
        <v>175</v>
      </c>
      <c r="AG208" t="s">
        <v>173</v>
      </c>
      <c r="AH208" t="s">
        <v>173</v>
      </c>
      <c r="AI208" t="s">
        <v>175</v>
      </c>
      <c r="AJ208" t="s">
        <v>177</v>
      </c>
      <c r="AK208" t="s">
        <v>173</v>
      </c>
      <c r="AL208" t="s">
        <v>175</v>
      </c>
      <c r="AM208" t="s">
        <v>179</v>
      </c>
      <c r="AN208" t="s">
        <v>173</v>
      </c>
      <c r="AO208" t="s">
        <v>173</v>
      </c>
      <c r="AP208" t="s">
        <v>175</v>
      </c>
      <c r="AQ208" t="s">
        <v>177</v>
      </c>
      <c r="AR208" t="s">
        <v>173</v>
      </c>
      <c r="AS208" t="s">
        <v>177</v>
      </c>
      <c r="AT208" t="s">
        <v>177</v>
      </c>
      <c r="AU208" t="s">
        <v>177</v>
      </c>
      <c r="AV208" t="s">
        <v>175</v>
      </c>
      <c r="AW208" t="s">
        <v>173</v>
      </c>
      <c r="AX208" t="s">
        <v>193</v>
      </c>
      <c r="AY208" t="s">
        <v>197</v>
      </c>
      <c r="AZ208" t="s">
        <v>207</v>
      </c>
      <c r="BA208" t="s">
        <v>207</v>
      </c>
      <c r="BB208" t="s">
        <v>207</v>
      </c>
      <c r="BC208" t="s">
        <v>207</v>
      </c>
      <c r="BD208" t="s">
        <v>207</v>
      </c>
      <c r="BE208" t="str">
        <f>IF(AY208="","Unknown",AY208)</f>
        <v>51-55</v>
      </c>
      <c r="BF208" s="11" t="str">
        <f>IF(AZ208="","unknown",AZ208)</f>
        <v>NO</v>
      </c>
      <c r="BG208" s="11" t="str">
        <f>IF(BA208="","UNKNOWN",BA208)</f>
        <v>NO</v>
      </c>
      <c r="BH208" s="11" t="str">
        <f>IF(BB208="","unknown",BB208)</f>
        <v>NO</v>
      </c>
      <c r="BI208" s="11" t="str">
        <f>IF(BC208="","Unknon",BC208)</f>
        <v>NO</v>
      </c>
      <c r="BJ208" s="11" t="str">
        <f>IF(BD208="","Unknown",BD208)</f>
        <v>NO</v>
      </c>
      <c r="BK208" s="11">
        <f>VALUE(C208)-VALUE(D208)</f>
        <v>43</v>
      </c>
      <c r="BM208" s="11"/>
    </row>
    <row r="209" hidden="1" spans="1:56">
      <c r="A209">
        <v>208</v>
      </c>
      <c r="B209" t="s">
        <v>280</v>
      </c>
      <c r="C209">
        <v>2022</v>
      </c>
      <c r="D209" t="s">
        <v>247</v>
      </c>
      <c r="E209" t="s">
        <v>247</v>
      </c>
      <c r="F209" t="s">
        <v>256</v>
      </c>
      <c r="G209" t="s">
        <v>279</v>
      </c>
      <c r="H209" t="s">
        <v>267</v>
      </c>
      <c r="I209"/>
      <c r="J209" t="s">
        <v>265</v>
      </c>
      <c r="K209" t="b">
        <v>0</v>
      </c>
      <c r="L209" t="b">
        <v>0</v>
      </c>
      <c r="M209" t="b">
        <v>0</v>
      </c>
      <c r="N209" t="b">
        <v>0</v>
      </c>
      <c r="O209" t="b">
        <v>0</v>
      </c>
      <c r="P209" t="b">
        <v>0</v>
      </c>
      <c r="Q209" t="b">
        <v>0</v>
      </c>
      <c r="R209" t="b">
        <v>0</v>
      </c>
      <c r="S209" t="b">
        <v>0</v>
      </c>
      <c r="T209" t="b">
        <v>0</v>
      </c>
      <c r="U209" t="b">
        <v>0</v>
      </c>
      <c r="V209" t="b">
        <v>0</v>
      </c>
      <c r="W209" t="b">
        <v>0</v>
      </c>
      <c r="X209" t="b">
        <v>1</v>
      </c>
      <c r="Y209" t="b">
        <v>0</v>
      </c>
      <c r="Z209" t="b">
        <v>0</v>
      </c>
      <c r="AA209" t="b">
        <v>0</v>
      </c>
      <c r="AB209" t="b">
        <v>0</v>
      </c>
      <c r="AC209" t="s">
        <v>173</v>
      </c>
      <c r="AD209" t="s">
        <v>175</v>
      </c>
      <c r="AE209" t="s">
        <v>177</v>
      </c>
      <c r="AF209" t="s">
        <v>175</v>
      </c>
      <c r="AG209" t="s">
        <v>177</v>
      </c>
      <c r="AH209" t="s">
        <v>175</v>
      </c>
      <c r="AI209" t="s">
        <v>177</v>
      </c>
      <c r="AJ209" t="s">
        <v>177</v>
      </c>
      <c r="AK209" t="s">
        <v>173</v>
      </c>
      <c r="AL209" t="s">
        <v>173</v>
      </c>
      <c r="AM209" t="s">
        <v>173</v>
      </c>
      <c r="AN209" t="s">
        <v>173</v>
      </c>
      <c r="AO209" t="s">
        <v>177</v>
      </c>
      <c r="AP209" t="s">
        <v>173</v>
      </c>
      <c r="AQ209" t="s">
        <v>177</v>
      </c>
      <c r="AR209" t="s">
        <v>171</v>
      </c>
      <c r="AS209" t="s">
        <v>173</v>
      </c>
      <c r="AT209" t="s">
        <v>173</v>
      </c>
      <c r="AU209" t="s">
        <v>171</v>
      </c>
      <c r="AW209" t="s">
        <v>173</v>
      </c>
      <c r="AX209" t="s">
        <v>192</v>
      </c>
      <c r="AY209" t="s">
        <v>196</v>
      </c>
      <c r="AZ209" t="s">
        <v>183</v>
      </c>
      <c r="BA209" t="s">
        <v>183</v>
      </c>
      <c r="BB209" t="s">
        <v>183</v>
      </c>
      <c r="BC209" t="s">
        <v>183</v>
      </c>
      <c r="BD209" t="s">
        <v>183</v>
      </c>
    </row>
    <row r="210" hidden="1" spans="1:56">
      <c r="A210">
        <v>209</v>
      </c>
      <c r="B210" t="s">
        <v>259</v>
      </c>
      <c r="C210">
        <v>2022</v>
      </c>
      <c r="D210">
        <v>2002</v>
      </c>
      <c r="E210">
        <v>2002</v>
      </c>
      <c r="F210" t="s">
        <v>266</v>
      </c>
      <c r="G210"/>
      <c r="H210" t="s">
        <v>274</v>
      </c>
      <c r="I210"/>
      <c r="J210" t="s">
        <v>252</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1</v>
      </c>
      <c r="AC210" t="s">
        <v>173</v>
      </c>
      <c r="AE210" t="s">
        <v>173</v>
      </c>
      <c r="AF210" t="s">
        <v>173</v>
      </c>
      <c r="AG210" t="s">
        <v>173</v>
      </c>
      <c r="AH210" t="s">
        <v>173</v>
      </c>
      <c r="AI210" t="s">
        <v>173</v>
      </c>
      <c r="AJ210" t="s">
        <v>173</v>
      </c>
      <c r="AK210" t="s">
        <v>173</v>
      </c>
      <c r="AL210" t="s">
        <v>173</v>
      </c>
      <c r="AM210" t="s">
        <v>173</v>
      </c>
      <c r="AN210" t="s">
        <v>173</v>
      </c>
      <c r="AO210" t="s">
        <v>173</v>
      </c>
      <c r="AP210" t="s">
        <v>173</v>
      </c>
      <c r="AQ210" t="s">
        <v>173</v>
      </c>
      <c r="AR210" t="s">
        <v>173</v>
      </c>
      <c r="AS210" t="s">
        <v>173</v>
      </c>
      <c r="AT210" t="s">
        <v>173</v>
      </c>
      <c r="AU210" t="s">
        <v>173</v>
      </c>
      <c r="AV210" t="s">
        <v>173</v>
      </c>
      <c r="AW210" t="s">
        <v>173</v>
      </c>
      <c r="AX210" t="s">
        <v>192</v>
      </c>
      <c r="AY210" t="s">
        <v>195</v>
      </c>
      <c r="AZ210" t="s">
        <v>183</v>
      </c>
      <c r="BA210" t="s">
        <v>183</v>
      </c>
      <c r="BB210" t="s">
        <v>183</v>
      </c>
      <c r="BC210" t="s">
        <v>183</v>
      </c>
      <c r="BD210" t="s">
        <v>183</v>
      </c>
    </row>
    <row r="211" spans="1:65">
      <c r="A211">
        <v>210</v>
      </c>
      <c r="B211" t="s">
        <v>240</v>
      </c>
      <c r="C211" s="10">
        <v>2022</v>
      </c>
      <c r="D211" s="10">
        <v>2005</v>
      </c>
      <c r="E211" s="10">
        <v>2011</v>
      </c>
      <c r="F211" s="10" t="s">
        <v>256</v>
      </c>
      <c r="G211" s="10" t="s">
        <v>257</v>
      </c>
      <c r="H211" s="10" t="s">
        <v>243</v>
      </c>
      <c r="I211" s="10" t="s">
        <v>306</v>
      </c>
      <c r="J211" s="10" t="s">
        <v>302</v>
      </c>
      <c r="K211" t="b">
        <v>0</v>
      </c>
      <c r="L211" t="b">
        <v>0</v>
      </c>
      <c r="M211" t="b">
        <v>0</v>
      </c>
      <c r="N211" t="b">
        <v>0</v>
      </c>
      <c r="O211" t="b">
        <v>0</v>
      </c>
      <c r="P211" t="b">
        <v>1</v>
      </c>
      <c r="Q211" t="b">
        <v>0</v>
      </c>
      <c r="R211" t="b">
        <v>0</v>
      </c>
      <c r="S211" t="b">
        <v>0</v>
      </c>
      <c r="T211" t="b">
        <v>0</v>
      </c>
      <c r="U211" t="b">
        <v>0</v>
      </c>
      <c r="V211" t="b">
        <v>0</v>
      </c>
      <c r="W211" t="b">
        <v>0</v>
      </c>
      <c r="X211" t="b">
        <v>1</v>
      </c>
      <c r="Y211" t="b">
        <v>0</v>
      </c>
      <c r="Z211" t="b">
        <v>0</v>
      </c>
      <c r="AA211" t="b">
        <v>0</v>
      </c>
      <c r="AB211" t="b">
        <v>0</v>
      </c>
      <c r="AC211" s="10" t="s">
        <v>173</v>
      </c>
      <c r="AD211" t="s">
        <v>175</v>
      </c>
      <c r="AE211" t="s">
        <v>173</v>
      </c>
      <c r="AF211" t="s">
        <v>173</v>
      </c>
      <c r="AG211" t="s">
        <v>173</v>
      </c>
      <c r="AH211" t="s">
        <v>173</v>
      </c>
      <c r="AI211" t="s">
        <v>175</v>
      </c>
      <c r="AJ211" t="s">
        <v>171</v>
      </c>
      <c r="AK211" t="s">
        <v>171</v>
      </c>
      <c r="AL211" t="s">
        <v>171</v>
      </c>
      <c r="AM211" t="s">
        <v>173</v>
      </c>
      <c r="AN211" t="s">
        <v>175</v>
      </c>
      <c r="AO211" t="s">
        <v>173</v>
      </c>
      <c r="AP211" t="s">
        <v>173</v>
      </c>
      <c r="AQ211" t="s">
        <v>175</v>
      </c>
      <c r="AR211" t="s">
        <v>171</v>
      </c>
      <c r="AS211" t="s">
        <v>171</v>
      </c>
      <c r="AT211" t="s">
        <v>171</v>
      </c>
      <c r="AU211" t="s">
        <v>171</v>
      </c>
      <c r="AV211" t="s">
        <v>171</v>
      </c>
      <c r="AW211" t="s">
        <v>171</v>
      </c>
      <c r="AX211" t="s">
        <v>192</v>
      </c>
      <c r="AY211" t="s">
        <v>198</v>
      </c>
      <c r="AZ211" t="s">
        <v>207</v>
      </c>
      <c r="BA211" t="s">
        <v>207</v>
      </c>
      <c r="BB211" t="s">
        <v>207</v>
      </c>
      <c r="BC211" t="s">
        <v>207</v>
      </c>
      <c r="BD211" t="s">
        <v>207</v>
      </c>
      <c r="BE211" t="str">
        <f>IF(AY211="","Unknown",AY211)</f>
        <v>46-50</v>
      </c>
      <c r="BF211" s="11" t="str">
        <f>IF(AZ211="","unknown",AZ211)</f>
        <v>NO</v>
      </c>
      <c r="BG211" s="11" t="str">
        <f>IF(BA211="","UNKNOWN",BA211)</f>
        <v>NO</v>
      </c>
      <c r="BH211" s="11" t="str">
        <f>IF(BB211="","unknown",BB211)</f>
        <v>NO</v>
      </c>
      <c r="BI211" s="11" t="str">
        <f>IF(BC211="","Unknon",BC211)</f>
        <v>NO</v>
      </c>
      <c r="BJ211" s="11" t="str">
        <f>IF(BD211="","Unknown",BD211)</f>
        <v>NO</v>
      </c>
      <c r="BK211" s="11">
        <f>VALUE(C211)-VALUE(D211)</f>
        <v>17</v>
      </c>
      <c r="BM211" s="11"/>
    </row>
    <row r="212" hidden="1" spans="1:56">
      <c r="A212">
        <v>211</v>
      </c>
      <c r="B212" t="s">
        <v>272</v>
      </c>
      <c r="C212">
        <v>2022</v>
      </c>
      <c r="D212">
        <v>2016</v>
      </c>
      <c r="E212">
        <v>2016</v>
      </c>
      <c r="F212" t="s">
        <v>304</v>
      </c>
      <c r="G212" t="s">
        <v>298</v>
      </c>
      <c r="H212" t="s">
        <v>267</v>
      </c>
      <c r="I212"/>
      <c r="J212" t="s">
        <v>265</v>
      </c>
      <c r="K212" t="b">
        <v>0</v>
      </c>
      <c r="L212" t="b">
        <v>0</v>
      </c>
      <c r="M212" t="b">
        <v>0</v>
      </c>
      <c r="N212" t="b">
        <v>0</v>
      </c>
      <c r="O212" t="b">
        <v>0</v>
      </c>
      <c r="P212" t="b">
        <v>0</v>
      </c>
      <c r="Q212" t="b">
        <v>0</v>
      </c>
      <c r="R212" t="b">
        <v>0</v>
      </c>
      <c r="S212" t="b">
        <v>0</v>
      </c>
      <c r="T212" t="b">
        <v>0</v>
      </c>
      <c r="U212" t="b">
        <v>0</v>
      </c>
      <c r="V212" t="b">
        <v>1</v>
      </c>
      <c r="W212" t="b">
        <v>0</v>
      </c>
      <c r="X212" t="b">
        <v>0</v>
      </c>
      <c r="Y212" t="b">
        <v>0</v>
      </c>
      <c r="Z212" t="b">
        <v>0</v>
      </c>
      <c r="AA212" t="b">
        <v>0</v>
      </c>
      <c r="AB212" t="b">
        <v>0</v>
      </c>
      <c r="AC212" t="s">
        <v>171</v>
      </c>
      <c r="AD212" t="s">
        <v>175</v>
      </c>
      <c r="AE212" t="s">
        <v>173</v>
      </c>
      <c r="AF212" t="s">
        <v>173</v>
      </c>
      <c r="AG212" t="s">
        <v>175</v>
      </c>
      <c r="AH212" t="s">
        <v>173</v>
      </c>
      <c r="AI212" t="s">
        <v>173</v>
      </c>
      <c r="AJ212" t="s">
        <v>173</v>
      </c>
      <c r="AK212" t="s">
        <v>173</v>
      </c>
      <c r="AL212" t="s">
        <v>173</v>
      </c>
      <c r="AM212" t="s">
        <v>173</v>
      </c>
      <c r="AN212" t="s">
        <v>173</v>
      </c>
      <c r="AO212" t="s">
        <v>171</v>
      </c>
      <c r="AP212" t="s">
        <v>173</v>
      </c>
      <c r="AQ212" t="s">
        <v>173</v>
      </c>
      <c r="AR212" t="s">
        <v>173</v>
      </c>
      <c r="AS212" t="s">
        <v>173</v>
      </c>
      <c r="AT212" t="s">
        <v>173</v>
      </c>
      <c r="AU212" t="s">
        <v>173</v>
      </c>
      <c r="AV212" t="s">
        <v>175</v>
      </c>
      <c r="AW212" t="s">
        <v>173</v>
      </c>
      <c r="AX212" t="s">
        <v>192</v>
      </c>
      <c r="AY212" t="s">
        <v>197</v>
      </c>
      <c r="AZ212" t="s">
        <v>183</v>
      </c>
      <c r="BA212" t="s">
        <v>183</v>
      </c>
      <c r="BB212" t="s">
        <v>183</v>
      </c>
      <c r="BC212" t="s">
        <v>183</v>
      </c>
      <c r="BD212" t="s">
        <v>183</v>
      </c>
    </row>
    <row r="213" hidden="1" spans="1:56">
      <c r="A213">
        <v>212</v>
      </c>
      <c r="B213" t="s">
        <v>246</v>
      </c>
      <c r="C213">
        <v>2022</v>
      </c>
      <c r="D213">
        <v>1995</v>
      </c>
      <c r="E213">
        <v>1995</v>
      </c>
      <c r="F213" t="s">
        <v>266</v>
      </c>
      <c r="G213"/>
      <c r="H213" t="s">
        <v>268</v>
      </c>
      <c r="I213"/>
      <c r="J213" t="s">
        <v>265</v>
      </c>
      <c r="K213" t="b">
        <v>0</v>
      </c>
      <c r="L213" t="b">
        <v>0</v>
      </c>
      <c r="M213" t="b">
        <v>0</v>
      </c>
      <c r="N213" t="b">
        <v>0</v>
      </c>
      <c r="O213" t="b">
        <v>0</v>
      </c>
      <c r="P213" t="b">
        <v>0</v>
      </c>
      <c r="Q213" t="b">
        <v>0</v>
      </c>
      <c r="R213" t="b">
        <v>0</v>
      </c>
      <c r="S213" t="b">
        <v>0</v>
      </c>
      <c r="T213" t="b">
        <v>0</v>
      </c>
      <c r="U213" t="b">
        <v>0</v>
      </c>
      <c r="V213" t="b">
        <v>0</v>
      </c>
      <c r="W213" t="b">
        <v>0</v>
      </c>
      <c r="X213" t="b">
        <v>0</v>
      </c>
      <c r="Y213" t="b">
        <v>0</v>
      </c>
      <c r="Z213" t="b">
        <v>1</v>
      </c>
      <c r="AA213" t="b">
        <v>0</v>
      </c>
      <c r="AB213" t="b">
        <v>0</v>
      </c>
      <c r="AC213" t="s">
        <v>173</v>
      </c>
      <c r="AD213" t="s">
        <v>183</v>
      </c>
      <c r="AE213" t="s">
        <v>175</v>
      </c>
      <c r="AF213" t="s">
        <v>173</v>
      </c>
      <c r="AG213" t="s">
        <v>173</v>
      </c>
      <c r="AH213" t="s">
        <v>173</v>
      </c>
      <c r="AI213" t="s">
        <v>173</v>
      </c>
      <c r="AJ213" t="s">
        <v>177</v>
      </c>
      <c r="AK213" t="s">
        <v>173</v>
      </c>
      <c r="AL213" t="s">
        <v>173</v>
      </c>
      <c r="AM213" t="s">
        <v>173</v>
      </c>
      <c r="AN213" t="s">
        <v>173</v>
      </c>
      <c r="AO213" t="s">
        <v>183</v>
      </c>
      <c r="AP213" t="s">
        <v>173</v>
      </c>
      <c r="AQ213" t="s">
        <v>173</v>
      </c>
      <c r="AR213" t="s">
        <v>173</v>
      </c>
      <c r="AS213" t="s">
        <v>173</v>
      </c>
      <c r="AT213" t="s">
        <v>173</v>
      </c>
      <c r="AU213" t="s">
        <v>173</v>
      </c>
      <c r="AV213" t="s">
        <v>175</v>
      </c>
      <c r="AW213" t="s">
        <v>175</v>
      </c>
      <c r="AX213" t="s">
        <v>192</v>
      </c>
      <c r="AY213" t="s">
        <v>195</v>
      </c>
      <c r="AZ213" t="s">
        <v>183</v>
      </c>
      <c r="BA213" t="s">
        <v>183</v>
      </c>
      <c r="BB213" t="s">
        <v>183</v>
      </c>
      <c r="BC213" t="s">
        <v>183</v>
      </c>
      <c r="BD213" t="s">
        <v>183</v>
      </c>
    </row>
    <row r="214" hidden="1" spans="1:56">
      <c r="A214">
        <v>213</v>
      </c>
      <c r="B214" t="s">
        <v>255</v>
      </c>
      <c r="C214">
        <v>2022</v>
      </c>
      <c r="D214">
        <v>1995</v>
      </c>
      <c r="E214">
        <v>2006</v>
      </c>
      <c r="F214" t="s">
        <v>256</v>
      </c>
      <c r="G214" t="s">
        <v>263</v>
      </c>
      <c r="H214" t="s">
        <v>274</v>
      </c>
      <c r="I214"/>
      <c r="J214" t="s">
        <v>265</v>
      </c>
      <c r="K214" t="b">
        <v>0</v>
      </c>
      <c r="L214" t="b">
        <v>0</v>
      </c>
      <c r="M214" t="b">
        <v>0</v>
      </c>
      <c r="N214" t="b">
        <v>1</v>
      </c>
      <c r="O214" t="b">
        <v>0</v>
      </c>
      <c r="P214" t="b">
        <v>0</v>
      </c>
      <c r="Q214" t="b">
        <v>0</v>
      </c>
      <c r="R214" t="b">
        <v>0</v>
      </c>
      <c r="S214" t="b">
        <v>0</v>
      </c>
      <c r="T214" t="b">
        <v>0</v>
      </c>
      <c r="U214" t="b">
        <v>0</v>
      </c>
      <c r="V214" t="b">
        <v>0</v>
      </c>
      <c r="W214" t="b">
        <v>0</v>
      </c>
      <c r="X214" t="b">
        <v>0</v>
      </c>
      <c r="Y214" t="b">
        <v>0</v>
      </c>
      <c r="Z214" t="b">
        <v>0</v>
      </c>
      <c r="AA214" t="b">
        <v>1</v>
      </c>
      <c r="AB214" t="b">
        <v>0</v>
      </c>
      <c r="AC214" t="s">
        <v>173</v>
      </c>
      <c r="AD214" t="s">
        <v>171</v>
      </c>
      <c r="AE214" t="s">
        <v>179</v>
      </c>
      <c r="AF214" t="s">
        <v>171</v>
      </c>
      <c r="AG214" t="s">
        <v>171</v>
      </c>
      <c r="AH214" t="s">
        <v>171</v>
      </c>
      <c r="AI214" t="s">
        <v>171</v>
      </c>
      <c r="AJ214" t="s">
        <v>171</v>
      </c>
      <c r="AK214" t="s">
        <v>175</v>
      </c>
      <c r="AL214" t="s">
        <v>177</v>
      </c>
      <c r="AM214" t="s">
        <v>177</v>
      </c>
      <c r="AN214" t="s">
        <v>175</v>
      </c>
      <c r="AO214" t="s">
        <v>171</v>
      </c>
      <c r="AP214" t="s">
        <v>171</v>
      </c>
      <c r="AQ214" t="s">
        <v>175</v>
      </c>
      <c r="AR214" t="s">
        <v>179</v>
      </c>
      <c r="AS214" t="s">
        <v>173</v>
      </c>
      <c r="AT214" t="s">
        <v>175</v>
      </c>
      <c r="AU214" t="s">
        <v>175</v>
      </c>
      <c r="AV214" t="s">
        <v>173</v>
      </c>
      <c r="AW214" t="s">
        <v>171</v>
      </c>
      <c r="AX214" t="s">
        <v>193</v>
      </c>
      <c r="AY214" t="s">
        <v>195</v>
      </c>
      <c r="AZ214" t="s">
        <v>183</v>
      </c>
      <c r="BA214" t="s">
        <v>183</v>
      </c>
      <c r="BB214" t="s">
        <v>183</v>
      </c>
      <c r="BC214" t="s">
        <v>183</v>
      </c>
      <c r="BD214" t="s">
        <v>183</v>
      </c>
    </row>
    <row r="215" hidden="1" spans="1:56">
      <c r="A215">
        <v>214</v>
      </c>
      <c r="B215" t="s">
        <v>282</v>
      </c>
      <c r="C215">
        <v>2022</v>
      </c>
      <c r="D215" t="s">
        <v>247</v>
      </c>
      <c r="E215" t="s">
        <v>247</v>
      </c>
      <c r="F215" t="s">
        <v>275</v>
      </c>
      <c r="G215"/>
      <c r="H215" t="s">
        <v>258</v>
      </c>
      <c r="I215"/>
      <c r="J215" t="s">
        <v>252</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1</v>
      </c>
      <c r="AC215" t="s">
        <v>173</v>
      </c>
      <c r="AD215" t="s">
        <v>173</v>
      </c>
      <c r="AE215" t="s">
        <v>173</v>
      </c>
      <c r="AF215" t="s">
        <v>173</v>
      </c>
      <c r="AG215" t="s">
        <v>173</v>
      </c>
      <c r="AH215" t="s">
        <v>173</v>
      </c>
      <c r="AI215" t="s">
        <v>173</v>
      </c>
      <c r="AJ215" t="s">
        <v>171</v>
      </c>
      <c r="AK215" t="s">
        <v>173</v>
      </c>
      <c r="AL215" t="s">
        <v>173</v>
      </c>
      <c r="AM215" t="s">
        <v>173</v>
      </c>
      <c r="AN215" t="s">
        <v>173</v>
      </c>
      <c r="AO215" t="s">
        <v>173</v>
      </c>
      <c r="AP215" t="s">
        <v>171</v>
      </c>
      <c r="AQ215" t="s">
        <v>173</v>
      </c>
      <c r="AR215" t="s">
        <v>173</v>
      </c>
      <c r="AS215" t="s">
        <v>173</v>
      </c>
      <c r="AT215" t="s">
        <v>173</v>
      </c>
      <c r="AU215" t="s">
        <v>173</v>
      </c>
      <c r="AW215" t="s">
        <v>173</v>
      </c>
      <c r="AX215" t="s">
        <v>192</v>
      </c>
      <c r="AY215" t="s">
        <v>196</v>
      </c>
      <c r="AZ215" t="s">
        <v>183</v>
      </c>
      <c r="BA215" t="s">
        <v>183</v>
      </c>
      <c r="BB215" t="s">
        <v>183</v>
      </c>
      <c r="BC215" t="s">
        <v>183</v>
      </c>
      <c r="BD215" t="s">
        <v>183</v>
      </c>
    </row>
    <row r="216" hidden="1" spans="1:56">
      <c r="A216">
        <v>215</v>
      </c>
      <c r="B216" t="s">
        <v>255</v>
      </c>
      <c r="C216">
        <v>2022</v>
      </c>
      <c r="D216">
        <v>2008</v>
      </c>
      <c r="E216">
        <v>2020</v>
      </c>
      <c r="F216" t="s">
        <v>276</v>
      </c>
      <c r="G216"/>
      <c r="H216" t="s">
        <v>264</v>
      </c>
      <c r="I216"/>
      <c r="J216" t="s">
        <v>265</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s">
        <v>177</v>
      </c>
      <c r="AD216" t="s">
        <v>177</v>
      </c>
      <c r="AE216" t="s">
        <v>173</v>
      </c>
      <c r="AF216" t="s">
        <v>173</v>
      </c>
      <c r="AG216" t="s">
        <v>173</v>
      </c>
      <c r="AH216" t="s">
        <v>173</v>
      </c>
      <c r="AI216" t="s">
        <v>173</v>
      </c>
      <c r="AJ216" t="s">
        <v>177</v>
      </c>
      <c r="AK216" t="s">
        <v>173</v>
      </c>
      <c r="AL216" t="s">
        <v>173</v>
      </c>
      <c r="AM216" t="s">
        <v>173</v>
      </c>
      <c r="AN216" t="s">
        <v>175</v>
      </c>
      <c r="AO216" t="s">
        <v>177</v>
      </c>
      <c r="AP216" t="s">
        <v>173</v>
      </c>
      <c r="AQ216" t="s">
        <v>177</v>
      </c>
      <c r="AR216" t="s">
        <v>173</v>
      </c>
      <c r="AS216" t="s">
        <v>173</v>
      </c>
      <c r="AT216" t="s">
        <v>173</v>
      </c>
      <c r="AU216" t="s">
        <v>173</v>
      </c>
      <c r="AV216" t="s">
        <v>175</v>
      </c>
      <c r="AW216" t="s">
        <v>175</v>
      </c>
      <c r="AX216" t="s">
        <v>192</v>
      </c>
      <c r="AZ216" t="s">
        <v>183</v>
      </c>
      <c r="BA216" t="s">
        <v>183</v>
      </c>
      <c r="BB216" t="s">
        <v>183</v>
      </c>
      <c r="BC216" t="s">
        <v>183</v>
      </c>
      <c r="BD216" t="s">
        <v>183</v>
      </c>
    </row>
    <row r="217" spans="1:65">
      <c r="A217">
        <v>216</v>
      </c>
      <c r="B217" t="s">
        <v>286</v>
      </c>
      <c r="C217" s="10">
        <v>2022</v>
      </c>
      <c r="D217" s="10">
        <v>1996</v>
      </c>
      <c r="E217" s="10">
        <v>2019</v>
      </c>
      <c r="F217" s="10" t="s">
        <v>241</v>
      </c>
      <c r="G217" s="10" t="s">
        <v>301</v>
      </c>
      <c r="H217" s="10" t="s">
        <v>243</v>
      </c>
      <c r="I217" s="10" t="s">
        <v>295</v>
      </c>
      <c r="J217" s="10" t="s">
        <v>245</v>
      </c>
      <c r="K217" t="b">
        <v>0</v>
      </c>
      <c r="L217" t="b">
        <v>0</v>
      </c>
      <c r="M217" t="b">
        <v>0</v>
      </c>
      <c r="N217" t="b">
        <v>0</v>
      </c>
      <c r="O217" t="b">
        <v>0</v>
      </c>
      <c r="P217" t="b">
        <v>0</v>
      </c>
      <c r="Q217" t="b">
        <v>0</v>
      </c>
      <c r="R217" t="b">
        <v>1</v>
      </c>
      <c r="S217" t="b">
        <v>0</v>
      </c>
      <c r="T217" t="b">
        <v>0</v>
      </c>
      <c r="U217" t="b">
        <v>0</v>
      </c>
      <c r="V217" t="b">
        <v>0</v>
      </c>
      <c r="W217" t="b">
        <v>0</v>
      </c>
      <c r="X217" t="b">
        <v>0</v>
      </c>
      <c r="Y217" t="b">
        <v>0</v>
      </c>
      <c r="Z217" t="b">
        <v>0</v>
      </c>
      <c r="AA217" t="b">
        <v>0</v>
      </c>
      <c r="AB217" t="b">
        <v>0</v>
      </c>
      <c r="AC217" s="10" t="s">
        <v>173</v>
      </c>
      <c r="AD217" t="s">
        <v>173</v>
      </c>
      <c r="AE217" t="s">
        <v>173</v>
      </c>
      <c r="AF217" t="s">
        <v>175</v>
      </c>
      <c r="AG217" t="s">
        <v>171</v>
      </c>
      <c r="AH217" t="s">
        <v>173</v>
      </c>
      <c r="AI217" t="s">
        <v>175</v>
      </c>
      <c r="AJ217" t="s">
        <v>173</v>
      </c>
      <c r="AK217" t="s">
        <v>173</v>
      </c>
      <c r="AL217" t="s">
        <v>175</v>
      </c>
      <c r="AM217" t="s">
        <v>173</v>
      </c>
      <c r="AN217" t="s">
        <v>173</v>
      </c>
      <c r="AO217" t="s">
        <v>173</v>
      </c>
      <c r="AP217" t="s">
        <v>173</v>
      </c>
      <c r="AQ217" t="s">
        <v>173</v>
      </c>
      <c r="AR217" t="s">
        <v>175</v>
      </c>
      <c r="AS217" t="s">
        <v>173</v>
      </c>
      <c r="AT217" t="s">
        <v>173</v>
      </c>
      <c r="AU217" t="s">
        <v>175</v>
      </c>
      <c r="AV217" t="s">
        <v>173</v>
      </c>
      <c r="AW217" t="s">
        <v>173</v>
      </c>
      <c r="AX217" t="s">
        <v>193</v>
      </c>
      <c r="AY217" t="s">
        <v>197</v>
      </c>
      <c r="AZ217" t="s">
        <v>207</v>
      </c>
      <c r="BA217" t="s">
        <v>207</v>
      </c>
      <c r="BB217" t="s">
        <v>207</v>
      </c>
      <c r="BC217" t="s">
        <v>207</v>
      </c>
      <c r="BD217" t="s">
        <v>207</v>
      </c>
      <c r="BE217" t="str">
        <f>IF(AY217="","Unknown",AY217)</f>
        <v>51-55</v>
      </c>
      <c r="BF217" s="11" t="str">
        <f>IF(AZ217="","unknown",AZ217)</f>
        <v>NO</v>
      </c>
      <c r="BG217" s="11" t="str">
        <f>IF(BA217="","UNKNOWN",BA217)</f>
        <v>NO</v>
      </c>
      <c r="BH217" s="11" t="str">
        <f>IF(BB217="","unknown",BB217)</f>
        <v>NO</v>
      </c>
      <c r="BI217" s="11" t="str">
        <f>IF(BC217="","Unknon",BC217)</f>
        <v>NO</v>
      </c>
      <c r="BJ217" s="11" t="str">
        <f>IF(BD217="","Unknown",BD217)</f>
        <v>NO</v>
      </c>
      <c r="BK217" s="11">
        <f>VALUE(C217)-VALUE(D217)</f>
        <v>26</v>
      </c>
      <c r="BM217" s="11"/>
    </row>
    <row r="218" hidden="1" spans="1:56">
      <c r="A218">
        <v>217</v>
      </c>
      <c r="B218" t="s">
        <v>259</v>
      </c>
      <c r="C218">
        <v>2023</v>
      </c>
      <c r="D218">
        <v>1988</v>
      </c>
      <c r="E218">
        <v>1988</v>
      </c>
      <c r="F218" t="s">
        <v>256</v>
      </c>
      <c r="G218" t="s">
        <v>257</v>
      </c>
      <c r="H218" t="s">
        <v>268</v>
      </c>
      <c r="I218"/>
      <c r="J218" t="s">
        <v>252</v>
      </c>
      <c r="K218" t="b">
        <v>0</v>
      </c>
      <c r="L218" t="b">
        <v>0</v>
      </c>
      <c r="M218" t="b">
        <v>0</v>
      </c>
      <c r="N218" t="b">
        <v>1</v>
      </c>
      <c r="O218" t="b">
        <v>0</v>
      </c>
      <c r="P218" t="b">
        <v>0</v>
      </c>
      <c r="Q218" t="b">
        <v>0</v>
      </c>
      <c r="R218" t="b">
        <v>0</v>
      </c>
      <c r="S218" t="b">
        <v>0</v>
      </c>
      <c r="T218" t="b">
        <v>0</v>
      </c>
      <c r="U218" t="b">
        <v>0</v>
      </c>
      <c r="V218" t="b">
        <v>0</v>
      </c>
      <c r="W218" t="b">
        <v>0</v>
      </c>
      <c r="X218" t="b">
        <v>0</v>
      </c>
      <c r="Y218" t="b">
        <v>0</v>
      </c>
      <c r="Z218" t="b">
        <v>1</v>
      </c>
      <c r="AA218" t="b">
        <v>1</v>
      </c>
      <c r="AB218" t="b">
        <v>0</v>
      </c>
      <c r="AC218" t="s">
        <v>173</v>
      </c>
      <c r="AD218" t="s">
        <v>173</v>
      </c>
      <c r="AE218" t="s">
        <v>173</v>
      </c>
      <c r="AF218" t="s">
        <v>173</v>
      </c>
      <c r="AG218" t="s">
        <v>173</v>
      </c>
      <c r="AH218" t="s">
        <v>177</v>
      </c>
      <c r="AI218" t="s">
        <v>173</v>
      </c>
      <c r="AJ218" t="s">
        <v>173</v>
      </c>
      <c r="AK218" t="s">
        <v>173</v>
      </c>
      <c r="AL218" t="s">
        <v>173</v>
      </c>
      <c r="AM218" t="s">
        <v>173</v>
      </c>
      <c r="AN218" t="s">
        <v>171</v>
      </c>
      <c r="AO218" t="s">
        <v>173</v>
      </c>
      <c r="AP218" t="s">
        <v>173</v>
      </c>
      <c r="AQ218" t="s">
        <v>173</v>
      </c>
      <c r="AR218" t="s">
        <v>173</v>
      </c>
      <c r="AS218" t="s">
        <v>173</v>
      </c>
      <c r="AT218" t="s">
        <v>173</v>
      </c>
      <c r="AU218" t="s">
        <v>173</v>
      </c>
      <c r="AV218" t="s">
        <v>173</v>
      </c>
      <c r="AW218" t="s">
        <v>173</v>
      </c>
      <c r="AX218" t="s">
        <v>192</v>
      </c>
      <c r="AY218" t="s">
        <v>197</v>
      </c>
      <c r="AZ218" t="s">
        <v>183</v>
      </c>
      <c r="BA218" t="s">
        <v>183</v>
      </c>
      <c r="BB218" t="s">
        <v>183</v>
      </c>
      <c r="BC218" t="s">
        <v>183</v>
      </c>
      <c r="BD218" t="s">
        <v>183</v>
      </c>
    </row>
    <row r="219" hidden="1" spans="1:56">
      <c r="A219">
        <v>218</v>
      </c>
      <c r="B219" t="s">
        <v>246</v>
      </c>
      <c r="C219">
        <v>2023</v>
      </c>
      <c r="D219">
        <v>2004</v>
      </c>
      <c r="E219">
        <v>2004</v>
      </c>
      <c r="F219" t="s">
        <v>256</v>
      </c>
      <c r="G219" t="s">
        <v>263</v>
      </c>
      <c r="H219" t="s">
        <v>261</v>
      </c>
      <c r="I219"/>
      <c r="J219" t="s">
        <v>265</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1</v>
      </c>
      <c r="AC219" t="s">
        <v>173</v>
      </c>
      <c r="AD219" t="s">
        <v>173</v>
      </c>
      <c r="AE219" t="s">
        <v>173</v>
      </c>
      <c r="AF219" t="s">
        <v>173</v>
      </c>
      <c r="AG219" t="s">
        <v>173</v>
      </c>
      <c r="AH219" t="s">
        <v>173</v>
      </c>
      <c r="AI219" t="s">
        <v>173</v>
      </c>
      <c r="AJ219" t="s">
        <v>173</v>
      </c>
      <c r="AK219" t="s">
        <v>173</v>
      </c>
      <c r="AL219" t="s">
        <v>173</v>
      </c>
      <c r="AM219" t="s">
        <v>173</v>
      </c>
      <c r="AN219" t="s">
        <v>173</v>
      </c>
      <c r="AO219" t="s">
        <v>175</v>
      </c>
      <c r="AP219" t="s">
        <v>173</v>
      </c>
      <c r="AQ219" t="s">
        <v>173</v>
      </c>
      <c r="AR219" t="s">
        <v>173</v>
      </c>
      <c r="AS219" t="s">
        <v>173</v>
      </c>
      <c r="AT219" t="s">
        <v>173</v>
      </c>
      <c r="AU219" t="s">
        <v>173</v>
      </c>
      <c r="AV219" t="s">
        <v>173</v>
      </c>
      <c r="AW219" t="s">
        <v>173</v>
      </c>
      <c r="AX219" t="s">
        <v>193</v>
      </c>
      <c r="AY219" t="s">
        <v>196</v>
      </c>
      <c r="AZ219" t="s">
        <v>183</v>
      </c>
      <c r="BA219" t="s">
        <v>183</v>
      </c>
      <c r="BB219" t="s">
        <v>183</v>
      </c>
      <c r="BC219" t="s">
        <v>183</v>
      </c>
      <c r="BD219" t="s">
        <v>208</v>
      </c>
    </row>
    <row r="220" hidden="1" spans="1:56">
      <c r="A220">
        <v>219</v>
      </c>
      <c r="B220" t="s">
        <v>259</v>
      </c>
      <c r="C220">
        <v>2022</v>
      </c>
      <c r="D220">
        <v>2008</v>
      </c>
      <c r="E220">
        <v>2008</v>
      </c>
      <c r="F220" t="s">
        <v>256</v>
      </c>
      <c r="G220" t="s">
        <v>279</v>
      </c>
      <c r="H220" t="s">
        <v>258</v>
      </c>
      <c r="I220"/>
      <c r="J220" t="s">
        <v>265</v>
      </c>
      <c r="K220" t="b">
        <v>0</v>
      </c>
      <c r="L220" t="b">
        <v>0</v>
      </c>
      <c r="M220" t="b">
        <v>0</v>
      </c>
      <c r="N220" t="b">
        <v>0</v>
      </c>
      <c r="O220" t="b">
        <v>0</v>
      </c>
      <c r="P220" t="b">
        <v>1</v>
      </c>
      <c r="Q220" t="b">
        <v>0</v>
      </c>
      <c r="R220" t="b">
        <v>0</v>
      </c>
      <c r="S220" t="b">
        <v>0</v>
      </c>
      <c r="T220" t="b">
        <v>0</v>
      </c>
      <c r="U220" t="b">
        <v>0</v>
      </c>
      <c r="V220" t="b">
        <v>0</v>
      </c>
      <c r="W220" t="b">
        <v>0</v>
      </c>
      <c r="X220" t="b">
        <v>1</v>
      </c>
      <c r="Y220" t="b">
        <v>0</v>
      </c>
      <c r="Z220" t="b">
        <v>0</v>
      </c>
      <c r="AA220" t="b">
        <v>0</v>
      </c>
      <c r="AB220" t="b">
        <v>0</v>
      </c>
      <c r="AC220" t="s">
        <v>173</v>
      </c>
      <c r="AD220" t="s">
        <v>173</v>
      </c>
      <c r="AE220" t="s">
        <v>173</v>
      </c>
      <c r="AF220" t="s">
        <v>173</v>
      </c>
      <c r="AG220" t="s">
        <v>173</v>
      </c>
      <c r="AH220" t="s">
        <v>173</v>
      </c>
      <c r="AI220" t="s">
        <v>173</v>
      </c>
      <c r="AJ220" t="s">
        <v>173</v>
      </c>
      <c r="AK220" t="s">
        <v>173</v>
      </c>
      <c r="AL220" t="s">
        <v>173</v>
      </c>
      <c r="AM220" t="s">
        <v>173</v>
      </c>
      <c r="AN220" t="s">
        <v>173</v>
      </c>
      <c r="AO220" t="s">
        <v>173</v>
      </c>
      <c r="AP220" t="s">
        <v>173</v>
      </c>
      <c r="AQ220" t="s">
        <v>173</v>
      </c>
      <c r="AR220" t="s">
        <v>173</v>
      </c>
      <c r="AS220" t="s">
        <v>173</v>
      </c>
      <c r="AT220" t="s">
        <v>173</v>
      </c>
      <c r="AU220" t="s">
        <v>173</v>
      </c>
      <c r="AV220" t="s">
        <v>173</v>
      </c>
      <c r="AW220" t="s">
        <v>173</v>
      </c>
      <c r="AX220" t="s">
        <v>192</v>
      </c>
      <c r="AY220" t="s">
        <v>197</v>
      </c>
      <c r="AZ220" t="s">
        <v>183</v>
      </c>
      <c r="BA220" t="s">
        <v>183</v>
      </c>
      <c r="BB220" t="s">
        <v>183</v>
      </c>
      <c r="BC220" t="s">
        <v>183</v>
      </c>
      <c r="BD220" t="s">
        <v>183</v>
      </c>
    </row>
    <row r="221" hidden="1" spans="1:56">
      <c r="A221">
        <v>220</v>
      </c>
      <c r="B221" t="s">
        <v>259</v>
      </c>
      <c r="C221">
        <v>2022</v>
      </c>
      <c r="D221">
        <v>2008</v>
      </c>
      <c r="E221">
        <v>2008</v>
      </c>
      <c r="F221" t="s">
        <v>256</v>
      </c>
      <c r="G221" t="s">
        <v>257</v>
      </c>
      <c r="H221" t="s">
        <v>273</v>
      </c>
      <c r="I221"/>
      <c r="J221" t="s">
        <v>265</v>
      </c>
      <c r="K221" t="b">
        <v>0</v>
      </c>
      <c r="L221" t="b">
        <v>0</v>
      </c>
      <c r="M221" t="b">
        <v>0</v>
      </c>
      <c r="N221" t="b">
        <v>0</v>
      </c>
      <c r="O221" t="b">
        <v>0</v>
      </c>
      <c r="P221" t="b">
        <v>0</v>
      </c>
      <c r="Q221" t="b">
        <v>1</v>
      </c>
      <c r="R221" t="b">
        <v>0</v>
      </c>
      <c r="S221" t="b">
        <v>0</v>
      </c>
      <c r="T221" t="b">
        <v>0</v>
      </c>
      <c r="U221" t="b">
        <v>0</v>
      </c>
      <c r="V221" t="b">
        <v>0</v>
      </c>
      <c r="W221" t="b">
        <v>0</v>
      </c>
      <c r="X221" t="b">
        <v>0</v>
      </c>
      <c r="Y221" t="b">
        <v>0</v>
      </c>
      <c r="Z221" t="b">
        <v>1</v>
      </c>
      <c r="AA221" t="b">
        <v>0</v>
      </c>
      <c r="AB221" t="b">
        <v>0</v>
      </c>
      <c r="AC221" t="s">
        <v>171</v>
      </c>
      <c r="AD221" t="s">
        <v>175</v>
      </c>
      <c r="AE221" t="s">
        <v>175</v>
      </c>
      <c r="AF221" t="s">
        <v>179</v>
      </c>
      <c r="AG221" t="s">
        <v>175</v>
      </c>
      <c r="AH221" t="s">
        <v>173</v>
      </c>
      <c r="AI221" t="s">
        <v>177</v>
      </c>
      <c r="AJ221" t="s">
        <v>179</v>
      </c>
      <c r="AK221" t="s">
        <v>173</v>
      </c>
      <c r="AL221" t="s">
        <v>173</v>
      </c>
      <c r="AM221" t="s">
        <v>173</v>
      </c>
      <c r="AN221" t="s">
        <v>173</v>
      </c>
      <c r="AO221" t="s">
        <v>183</v>
      </c>
      <c r="AP221" t="s">
        <v>179</v>
      </c>
      <c r="AQ221" t="s">
        <v>183</v>
      </c>
      <c r="AR221" t="s">
        <v>177</v>
      </c>
      <c r="AS221" t="s">
        <v>175</v>
      </c>
      <c r="AT221" t="s">
        <v>173</v>
      </c>
      <c r="AU221" t="s">
        <v>173</v>
      </c>
      <c r="AV221" t="s">
        <v>177</v>
      </c>
      <c r="AW221" t="s">
        <v>173</v>
      </c>
      <c r="AX221" t="s">
        <v>192</v>
      </c>
      <c r="AY221" t="s">
        <v>195</v>
      </c>
      <c r="AZ221" t="s">
        <v>183</v>
      </c>
      <c r="BA221" t="s">
        <v>183</v>
      </c>
      <c r="BB221" t="s">
        <v>183</v>
      </c>
      <c r="BC221" t="s">
        <v>183</v>
      </c>
      <c r="BD221" t="s">
        <v>183</v>
      </c>
    </row>
    <row r="222" hidden="1" spans="1:56">
      <c r="A222">
        <v>221</v>
      </c>
      <c r="B222" t="s">
        <v>280</v>
      </c>
      <c r="C222">
        <v>2022</v>
      </c>
      <c r="D222">
        <v>2016</v>
      </c>
      <c r="E222">
        <v>2019</v>
      </c>
      <c r="F222" t="s">
        <v>275</v>
      </c>
      <c r="G222"/>
      <c r="H222" t="s">
        <v>250</v>
      </c>
      <c r="I222" t="s">
        <v>254</v>
      </c>
      <c r="J222" t="s">
        <v>265</v>
      </c>
      <c r="K222" t="b">
        <v>0</v>
      </c>
      <c r="L222" t="b">
        <v>0</v>
      </c>
      <c r="M222" t="b">
        <v>0</v>
      </c>
      <c r="N222" t="b">
        <v>0</v>
      </c>
      <c r="O222" t="b">
        <v>0</v>
      </c>
      <c r="P222" t="b">
        <v>0</v>
      </c>
      <c r="Q222" t="b">
        <v>0</v>
      </c>
      <c r="R222" t="b">
        <v>0</v>
      </c>
      <c r="S222" t="b">
        <v>0</v>
      </c>
      <c r="T222" t="b">
        <v>0</v>
      </c>
      <c r="U222" t="b">
        <v>0</v>
      </c>
      <c r="V222" t="b">
        <v>0</v>
      </c>
      <c r="W222" t="b">
        <v>0</v>
      </c>
      <c r="X222" t="b">
        <v>1</v>
      </c>
      <c r="Y222" t="b">
        <v>0</v>
      </c>
      <c r="Z222" t="b">
        <v>0</v>
      </c>
      <c r="AA222" t="b">
        <v>0</v>
      </c>
      <c r="AB222" t="b">
        <v>0</v>
      </c>
      <c r="AC222" t="s">
        <v>173</v>
      </c>
      <c r="AD222" t="s">
        <v>183</v>
      </c>
      <c r="AE222" t="s">
        <v>177</v>
      </c>
      <c r="AF222" t="s">
        <v>177</v>
      </c>
      <c r="AG222" t="s">
        <v>177</v>
      </c>
      <c r="AH222" t="s">
        <v>173</v>
      </c>
      <c r="AI222" t="s">
        <v>175</v>
      </c>
      <c r="AJ222" t="s">
        <v>177</v>
      </c>
      <c r="AK222" t="s">
        <v>173</v>
      </c>
      <c r="AL222" t="s">
        <v>177</v>
      </c>
      <c r="AM222" t="s">
        <v>177</v>
      </c>
      <c r="AN222" t="s">
        <v>177</v>
      </c>
      <c r="AO222" t="s">
        <v>183</v>
      </c>
      <c r="AP222" t="s">
        <v>183</v>
      </c>
      <c r="AQ222" t="s">
        <v>183</v>
      </c>
      <c r="AR222" t="s">
        <v>173</v>
      </c>
      <c r="AS222" t="s">
        <v>173</v>
      </c>
      <c r="AT222" t="s">
        <v>173</v>
      </c>
      <c r="AU222" t="s">
        <v>173</v>
      </c>
      <c r="AV222" t="s">
        <v>173</v>
      </c>
      <c r="AW222" t="s">
        <v>173</v>
      </c>
      <c r="AX222" t="s">
        <v>192</v>
      </c>
      <c r="AY222" t="s">
        <v>196</v>
      </c>
      <c r="AZ222" t="s">
        <v>183</v>
      </c>
      <c r="BA222" t="s">
        <v>183</v>
      </c>
      <c r="BB222" t="s">
        <v>183</v>
      </c>
      <c r="BC222" t="s">
        <v>183</v>
      </c>
      <c r="BD222" t="s">
        <v>183</v>
      </c>
    </row>
    <row r="223" hidden="1" spans="1:56">
      <c r="A223">
        <v>222</v>
      </c>
      <c r="B223" t="s">
        <v>259</v>
      </c>
      <c r="C223">
        <v>2022</v>
      </c>
      <c r="D223">
        <v>1986</v>
      </c>
      <c r="E223">
        <v>1997</v>
      </c>
      <c r="F223" t="s">
        <v>256</v>
      </c>
      <c r="G223" t="s">
        <v>257</v>
      </c>
      <c r="H223" t="s">
        <v>261</v>
      </c>
      <c r="I223"/>
      <c r="J223" t="s">
        <v>265</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1</v>
      </c>
      <c r="AC223" t="s">
        <v>173</v>
      </c>
      <c r="AD223" t="s">
        <v>177</v>
      </c>
      <c r="AE223" t="s">
        <v>175</v>
      </c>
      <c r="AF223" t="s">
        <v>177</v>
      </c>
      <c r="AG223" t="s">
        <v>175</v>
      </c>
      <c r="AH223" t="s">
        <v>177</v>
      </c>
      <c r="AI223" t="s">
        <v>177</v>
      </c>
      <c r="AJ223" t="s">
        <v>177</v>
      </c>
      <c r="AK223" t="s">
        <v>173</v>
      </c>
      <c r="AL223" t="s">
        <v>177</v>
      </c>
      <c r="AM223" t="s">
        <v>177</v>
      </c>
      <c r="AN223" t="s">
        <v>173</v>
      </c>
      <c r="AO223" t="s">
        <v>179</v>
      </c>
      <c r="AP223" t="s">
        <v>179</v>
      </c>
      <c r="AQ223" t="s">
        <v>177</v>
      </c>
      <c r="AR223" t="s">
        <v>173</v>
      </c>
      <c r="AS223" t="s">
        <v>177</v>
      </c>
      <c r="AT223" t="s">
        <v>177</v>
      </c>
      <c r="AU223" t="s">
        <v>177</v>
      </c>
      <c r="AV223" t="s">
        <v>179</v>
      </c>
      <c r="AW223" t="s">
        <v>173</v>
      </c>
      <c r="AX223" t="s">
        <v>192</v>
      </c>
      <c r="AY223" t="s">
        <v>197</v>
      </c>
      <c r="AZ223" t="s">
        <v>183</v>
      </c>
      <c r="BA223" t="s">
        <v>183</v>
      </c>
      <c r="BB223" t="s">
        <v>183</v>
      </c>
      <c r="BC223" t="s">
        <v>183</v>
      </c>
      <c r="BD223" t="s">
        <v>183</v>
      </c>
    </row>
    <row r="224" spans="1:65">
      <c r="A224">
        <v>223</v>
      </c>
      <c r="B224" t="s">
        <v>284</v>
      </c>
      <c r="C224" s="10">
        <v>2022</v>
      </c>
      <c r="D224" s="10">
        <v>2020</v>
      </c>
      <c r="E224" s="10">
        <v>2020</v>
      </c>
      <c r="F224" s="10" t="s">
        <v>241</v>
      </c>
      <c r="G224" s="10" t="s">
        <v>249</v>
      </c>
      <c r="H224" s="10" t="s">
        <v>243</v>
      </c>
      <c r="I224" s="10" t="s">
        <v>271</v>
      </c>
      <c r="J224" s="10" t="s">
        <v>285</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1</v>
      </c>
      <c r="AC224" s="10" t="s">
        <v>173</v>
      </c>
      <c r="AD224" t="s">
        <v>173</v>
      </c>
      <c r="AE224" t="s">
        <v>173</v>
      </c>
      <c r="AF224" t="s">
        <v>173</v>
      </c>
      <c r="AG224" t="s">
        <v>173</v>
      </c>
      <c r="AH224" t="s">
        <v>175</v>
      </c>
      <c r="AI224" t="s">
        <v>173</v>
      </c>
      <c r="AJ224" t="s">
        <v>173</v>
      </c>
      <c r="AK224" t="s">
        <v>173</v>
      </c>
      <c r="AL224" t="s">
        <v>173</v>
      </c>
      <c r="AM224" t="s">
        <v>173</v>
      </c>
      <c r="AN224" t="s">
        <v>173</v>
      </c>
      <c r="AO224" t="s">
        <v>173</v>
      </c>
      <c r="AP224" t="s">
        <v>173</v>
      </c>
      <c r="AQ224" t="s">
        <v>171</v>
      </c>
      <c r="AR224" t="s">
        <v>173</v>
      </c>
      <c r="AS224" t="s">
        <v>173</v>
      </c>
      <c r="AT224" t="s">
        <v>173</v>
      </c>
      <c r="AU224" t="s">
        <v>175</v>
      </c>
      <c r="AV224" t="s">
        <v>175</v>
      </c>
      <c r="AW224" t="s">
        <v>175</v>
      </c>
      <c r="AX224" t="s">
        <v>192</v>
      </c>
      <c r="AY224" t="s">
        <v>201</v>
      </c>
      <c r="AZ224" t="s">
        <v>207</v>
      </c>
      <c r="BA224" t="s">
        <v>207</v>
      </c>
      <c r="BB224" t="s">
        <v>207</v>
      </c>
      <c r="BC224" t="s">
        <v>207</v>
      </c>
      <c r="BD224" t="s">
        <v>207</v>
      </c>
      <c r="BE224" t="str">
        <f>IF(AY224="","Unknown",AY224)</f>
        <v>36-40</v>
      </c>
      <c r="BF224" s="11" t="str">
        <f>IF(AZ224="","unknown",AZ224)</f>
        <v>NO</v>
      </c>
      <c r="BG224" s="11" t="str">
        <f>IF(BA224="","UNKNOWN",BA224)</f>
        <v>NO</v>
      </c>
      <c r="BH224" s="11" t="str">
        <f>IF(BB224="","unknown",BB224)</f>
        <v>NO</v>
      </c>
      <c r="BI224" s="11" t="str">
        <f>IF(BC224="","Unknon",BC224)</f>
        <v>NO</v>
      </c>
      <c r="BJ224" s="11" t="str">
        <f>IF(BD224="","Unknown",BD224)</f>
        <v>NO</v>
      </c>
      <c r="BK224" s="11">
        <f>VALUE(C224)-VALUE(D224)</f>
        <v>2</v>
      </c>
      <c r="BM224" s="11"/>
    </row>
    <row r="225" hidden="1" spans="1:56">
      <c r="A225">
        <v>224</v>
      </c>
      <c r="B225" t="s">
        <v>255</v>
      </c>
      <c r="C225">
        <v>2022</v>
      </c>
      <c r="D225">
        <v>2005</v>
      </c>
      <c r="E225">
        <v>2015</v>
      </c>
      <c r="F225" t="s">
        <v>256</v>
      </c>
      <c r="G225" t="s">
        <v>257</v>
      </c>
      <c r="H225" t="s">
        <v>274</v>
      </c>
      <c r="I225"/>
      <c r="J225" t="s">
        <v>252</v>
      </c>
      <c r="K225" t="b">
        <v>0</v>
      </c>
      <c r="L225" t="b">
        <v>0</v>
      </c>
      <c r="M225" t="b">
        <v>1</v>
      </c>
      <c r="N225" t="b">
        <v>0</v>
      </c>
      <c r="O225" t="b">
        <v>1</v>
      </c>
      <c r="P225" t="b">
        <v>0</v>
      </c>
      <c r="Q225" t="b">
        <v>0</v>
      </c>
      <c r="R225" t="b">
        <v>1</v>
      </c>
      <c r="S225" t="b">
        <v>0</v>
      </c>
      <c r="T225" t="b">
        <v>0</v>
      </c>
      <c r="U225" t="b">
        <v>0</v>
      </c>
      <c r="V225" t="b">
        <v>0</v>
      </c>
      <c r="W225" t="b">
        <v>0</v>
      </c>
      <c r="X225" t="b">
        <v>0</v>
      </c>
      <c r="Y225" t="b">
        <v>0</v>
      </c>
      <c r="Z225" t="b">
        <v>0</v>
      </c>
      <c r="AA225" t="b">
        <v>0</v>
      </c>
      <c r="AB225" t="b">
        <v>0</v>
      </c>
      <c r="AC225" t="s">
        <v>173</v>
      </c>
      <c r="AD225" t="s">
        <v>175</v>
      </c>
      <c r="AE225" t="s">
        <v>179</v>
      </c>
      <c r="AF225" t="s">
        <v>179</v>
      </c>
      <c r="AG225" t="s">
        <v>173</v>
      </c>
      <c r="AH225" t="s">
        <v>177</v>
      </c>
      <c r="AI225" t="s">
        <v>177</v>
      </c>
      <c r="AJ225" t="s">
        <v>179</v>
      </c>
      <c r="AK225" t="s">
        <v>177</v>
      </c>
      <c r="AL225" t="s">
        <v>179</v>
      </c>
      <c r="AM225" t="s">
        <v>179</v>
      </c>
      <c r="AN225" t="s">
        <v>179</v>
      </c>
      <c r="AO225" t="s">
        <v>179</v>
      </c>
      <c r="AP225" t="s">
        <v>179</v>
      </c>
      <c r="AQ225" t="s">
        <v>179</v>
      </c>
      <c r="AR225" t="s">
        <v>179</v>
      </c>
      <c r="AS225" t="s">
        <v>179</v>
      </c>
      <c r="AT225" t="s">
        <v>179</v>
      </c>
      <c r="AU225" t="s">
        <v>177</v>
      </c>
      <c r="AV225" t="s">
        <v>179</v>
      </c>
      <c r="AW225" t="s">
        <v>179</v>
      </c>
      <c r="AY225" t="s">
        <v>197</v>
      </c>
      <c r="AZ225" t="s">
        <v>183</v>
      </c>
      <c r="BA225" t="s">
        <v>183</v>
      </c>
      <c r="BB225" t="s">
        <v>183</v>
      </c>
      <c r="BC225" t="s">
        <v>183</v>
      </c>
      <c r="BD225" t="s">
        <v>183</v>
      </c>
    </row>
    <row r="226" hidden="1" spans="1:56">
      <c r="A226">
        <v>225</v>
      </c>
      <c r="B226" t="s">
        <v>255</v>
      </c>
      <c r="C226">
        <v>2022</v>
      </c>
      <c r="D226">
        <v>2018</v>
      </c>
      <c r="E226">
        <v>2018</v>
      </c>
      <c r="F226" t="s">
        <v>256</v>
      </c>
      <c r="G226" t="s">
        <v>263</v>
      </c>
      <c r="H226" t="s">
        <v>247</v>
      </c>
      <c r="I226"/>
      <c r="J226" t="s">
        <v>252</v>
      </c>
      <c r="K226" t="b">
        <v>0</v>
      </c>
      <c r="L226" t="b">
        <v>0</v>
      </c>
      <c r="M226" t="b">
        <v>0</v>
      </c>
      <c r="N226" t="b">
        <v>0</v>
      </c>
      <c r="O226" t="b">
        <v>0</v>
      </c>
      <c r="P226" t="b">
        <v>0</v>
      </c>
      <c r="Q226" t="b">
        <v>0</v>
      </c>
      <c r="R226" t="b">
        <v>0</v>
      </c>
      <c r="S226" t="b">
        <v>0</v>
      </c>
      <c r="T226" t="b">
        <v>0</v>
      </c>
      <c r="U226" t="b">
        <v>0</v>
      </c>
      <c r="V226" t="b">
        <v>0</v>
      </c>
      <c r="W226" t="b">
        <v>0</v>
      </c>
      <c r="X226" t="b">
        <v>0</v>
      </c>
      <c r="Y226" t="b">
        <v>0</v>
      </c>
      <c r="Z226" t="b">
        <v>1</v>
      </c>
      <c r="AA226" t="b">
        <v>1</v>
      </c>
      <c r="AB226" t="b">
        <v>0</v>
      </c>
      <c r="AC226" t="s">
        <v>173</v>
      </c>
      <c r="AD226" t="s">
        <v>173</v>
      </c>
      <c r="AE226" t="s">
        <v>177</v>
      </c>
      <c r="AF226" t="s">
        <v>175</v>
      </c>
      <c r="AG226" t="s">
        <v>173</v>
      </c>
      <c r="AH226" t="s">
        <v>179</v>
      </c>
      <c r="AI226" t="s">
        <v>179</v>
      </c>
      <c r="AJ226" t="s">
        <v>177</v>
      </c>
      <c r="AK226" t="s">
        <v>173</v>
      </c>
      <c r="AL226" t="s">
        <v>173</v>
      </c>
      <c r="AM226" t="s">
        <v>173</v>
      </c>
      <c r="AN226" t="s">
        <v>173</v>
      </c>
      <c r="AO226" t="s">
        <v>177</v>
      </c>
      <c r="AP226" t="s">
        <v>177</v>
      </c>
      <c r="AQ226" t="s">
        <v>173</v>
      </c>
      <c r="AR226" t="s">
        <v>173</v>
      </c>
      <c r="AS226" t="s">
        <v>173</v>
      </c>
      <c r="AT226" t="s">
        <v>173</v>
      </c>
      <c r="AU226" t="s">
        <v>173</v>
      </c>
      <c r="AV226" t="s">
        <v>177</v>
      </c>
      <c r="AW226" t="s">
        <v>177</v>
      </c>
      <c r="AX226" t="s">
        <v>192</v>
      </c>
      <c r="AY226" t="s">
        <v>201</v>
      </c>
      <c r="AZ226" t="s">
        <v>183</v>
      </c>
      <c r="BA226" t="s">
        <v>183</v>
      </c>
      <c r="BB226" t="s">
        <v>183</v>
      </c>
      <c r="BC226" t="s">
        <v>183</v>
      </c>
      <c r="BD226" t="s">
        <v>183</v>
      </c>
    </row>
    <row r="227" hidden="1" spans="1:56">
      <c r="A227">
        <v>226</v>
      </c>
      <c r="B227" t="s">
        <v>259</v>
      </c>
      <c r="C227">
        <v>2022</v>
      </c>
      <c r="D227">
        <v>2006</v>
      </c>
      <c r="E227">
        <v>2006</v>
      </c>
      <c r="F227" t="s">
        <v>275</v>
      </c>
      <c r="G227"/>
      <c r="H227" t="s">
        <v>261</v>
      </c>
      <c r="I227"/>
      <c r="J227" t="s">
        <v>265</v>
      </c>
      <c r="K227" t="b">
        <v>0</v>
      </c>
      <c r="L227" t="b">
        <v>0</v>
      </c>
      <c r="M227" t="b">
        <v>0</v>
      </c>
      <c r="N227" t="b">
        <v>0</v>
      </c>
      <c r="O227" t="b">
        <v>0</v>
      </c>
      <c r="P227" t="b">
        <v>0</v>
      </c>
      <c r="Q227" t="b">
        <v>0</v>
      </c>
      <c r="R227" t="b">
        <v>0</v>
      </c>
      <c r="S227" t="b">
        <v>0</v>
      </c>
      <c r="T227" t="b">
        <v>0</v>
      </c>
      <c r="U227" t="b">
        <v>0</v>
      </c>
      <c r="V227" t="b">
        <v>0</v>
      </c>
      <c r="W227" t="b">
        <v>0</v>
      </c>
      <c r="X227" t="b">
        <v>0</v>
      </c>
      <c r="Y227" t="b">
        <v>0</v>
      </c>
      <c r="Z227" t="b">
        <v>1</v>
      </c>
      <c r="AA227" t="b">
        <v>0</v>
      </c>
      <c r="AB227" t="b">
        <v>0</v>
      </c>
      <c r="AC227" t="s">
        <v>175</v>
      </c>
      <c r="AD227" t="s">
        <v>177</v>
      </c>
      <c r="AE227" t="s">
        <v>175</v>
      </c>
      <c r="AF227" t="s">
        <v>175</v>
      </c>
      <c r="AG227" t="s">
        <v>175</v>
      </c>
      <c r="AH227" t="s">
        <v>175</v>
      </c>
      <c r="AI227" t="s">
        <v>175</v>
      </c>
      <c r="AJ227" t="s">
        <v>175</v>
      </c>
      <c r="AK227" t="s">
        <v>175</v>
      </c>
      <c r="AL227" t="s">
        <v>175</v>
      </c>
      <c r="AM227" t="s">
        <v>175</v>
      </c>
      <c r="AN227" t="s">
        <v>177</v>
      </c>
      <c r="AO227" t="s">
        <v>175</v>
      </c>
      <c r="AP227" t="s">
        <v>175</v>
      </c>
      <c r="AQ227" t="s">
        <v>175</v>
      </c>
      <c r="AR227" t="s">
        <v>175</v>
      </c>
      <c r="AS227" t="s">
        <v>175</v>
      </c>
      <c r="AT227" t="s">
        <v>175</v>
      </c>
      <c r="AU227" t="s">
        <v>175</v>
      </c>
      <c r="AV227" t="s">
        <v>177</v>
      </c>
      <c r="AW227" t="s">
        <v>177</v>
      </c>
      <c r="AX227" t="s">
        <v>192</v>
      </c>
      <c r="AY227" t="s">
        <v>196</v>
      </c>
      <c r="AZ227" t="s">
        <v>183</v>
      </c>
      <c r="BA227" t="s">
        <v>183</v>
      </c>
      <c r="BB227" t="s">
        <v>183</v>
      </c>
      <c r="BC227" t="s">
        <v>183</v>
      </c>
      <c r="BD227" t="s">
        <v>183</v>
      </c>
    </row>
    <row r="228" hidden="1" spans="1:56">
      <c r="A228">
        <v>227</v>
      </c>
      <c r="B228" t="s">
        <v>288</v>
      </c>
      <c r="C228">
        <v>2022</v>
      </c>
      <c r="D228">
        <v>2019</v>
      </c>
      <c r="E228">
        <v>2020</v>
      </c>
      <c r="F228" t="s">
        <v>248</v>
      </c>
      <c r="G228" t="s">
        <v>242</v>
      </c>
      <c r="H228" t="s">
        <v>250</v>
      </c>
      <c r="I228"/>
      <c r="J228" t="s">
        <v>290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1</v>
      </c>
      <c r="AC228" t="s">
        <v>175</v>
      </c>
      <c r="AD228" t="s">
        <v>177</v>
      </c>
      <c r="AE228" t="s">
        <v>173</v>
      </c>
      <c r="AF228" t="s">
        <v>173</v>
      </c>
      <c r="AG228" t="s">
        <v>171</v>
      </c>
      <c r="AH228" t="s">
        <v>171</v>
      </c>
      <c r="AI228" t="s">
        <v>171</v>
      </c>
      <c r="AJ228" t="s">
        <v>173</v>
      </c>
      <c r="AK228" t="s">
        <v>171</v>
      </c>
      <c r="AL228" t="s">
        <v>173</v>
      </c>
      <c r="AM228" t="s">
        <v>173</v>
      </c>
      <c r="AN228" t="s">
        <v>183</v>
      </c>
      <c r="AO228" t="s">
        <v>177</v>
      </c>
      <c r="AP228" t="s">
        <v>173</v>
      </c>
      <c r="AQ228" t="s">
        <v>177</v>
      </c>
      <c r="AR228" t="s">
        <v>173</v>
      </c>
      <c r="AS228" t="s">
        <v>173</v>
      </c>
      <c r="AT228" t="s">
        <v>173</v>
      </c>
      <c r="AU228" t="s">
        <v>173</v>
      </c>
      <c r="AV228" t="s">
        <v>177</v>
      </c>
      <c r="AW228" t="s">
        <v>177</v>
      </c>
      <c r="AX228" t="s">
        <v>192</v>
      </c>
      <c r="AY228" t="s">
        <v>200</v>
      </c>
      <c r="AZ228" t="s">
        <v>183</v>
      </c>
      <c r="BA228" t="s">
        <v>183</v>
      </c>
      <c r="BB228" t="s">
        <v>183</v>
      </c>
      <c r="BC228" t="s">
        <v>183</v>
      </c>
      <c r="BD228" t="s">
        <v>183</v>
      </c>
    </row>
    <row r="229" spans="1:65">
      <c r="A229">
        <v>228</v>
      </c>
      <c r="B229" t="s">
        <v>296</v>
      </c>
      <c r="C229" s="10">
        <v>2022</v>
      </c>
      <c r="D229" s="10">
        <v>2001</v>
      </c>
      <c r="E229" s="10">
        <v>2017</v>
      </c>
      <c r="F229" s="10" t="s">
        <v>241</v>
      </c>
      <c r="G229" s="10" t="s">
        <v>301</v>
      </c>
      <c r="H229" s="10" t="s">
        <v>243</v>
      </c>
      <c r="I229" s="10" t="s">
        <v>299</v>
      </c>
      <c r="J229" s="10" t="s">
        <v>245</v>
      </c>
      <c r="K229" t="b">
        <v>0</v>
      </c>
      <c r="L229" t="b">
        <v>0</v>
      </c>
      <c r="M229" t="b">
        <v>0</v>
      </c>
      <c r="N229" t="b">
        <v>0</v>
      </c>
      <c r="O229" t="b">
        <v>1</v>
      </c>
      <c r="P229" t="b">
        <v>0</v>
      </c>
      <c r="Q229" t="b">
        <v>0</v>
      </c>
      <c r="R229" t="b">
        <v>0</v>
      </c>
      <c r="S229" t="b">
        <v>1</v>
      </c>
      <c r="T229" t="b">
        <v>0</v>
      </c>
      <c r="U229" t="b">
        <v>0</v>
      </c>
      <c r="V229" t="b">
        <v>0</v>
      </c>
      <c r="W229" t="b">
        <v>0</v>
      </c>
      <c r="X229" t="b">
        <v>0</v>
      </c>
      <c r="Y229" t="b">
        <v>0</v>
      </c>
      <c r="Z229" t="b">
        <v>1</v>
      </c>
      <c r="AA229" t="b">
        <v>0</v>
      </c>
      <c r="AB229" t="b">
        <v>0</v>
      </c>
      <c r="AC229" s="10" t="s">
        <v>177</v>
      </c>
      <c r="AD229" t="s">
        <v>175</v>
      </c>
      <c r="AE229" t="s">
        <v>175</v>
      </c>
      <c r="AF229" t="s">
        <v>173</v>
      </c>
      <c r="AG229" t="s">
        <v>175</v>
      </c>
      <c r="AH229" t="s">
        <v>177</v>
      </c>
      <c r="AI229" t="s">
        <v>173</v>
      </c>
      <c r="AJ229" t="s">
        <v>175</v>
      </c>
      <c r="AK229" t="s">
        <v>173</v>
      </c>
      <c r="AL229" t="s">
        <v>173</v>
      </c>
      <c r="AM229" t="s">
        <v>175</v>
      </c>
      <c r="AN229" t="s">
        <v>173</v>
      </c>
      <c r="AO229" t="s">
        <v>175</v>
      </c>
      <c r="AP229" t="s">
        <v>175</v>
      </c>
      <c r="AQ229" t="s">
        <v>175</v>
      </c>
      <c r="AR229" t="s">
        <v>173</v>
      </c>
      <c r="AS229" t="s">
        <v>173</v>
      </c>
      <c r="AT229" t="s">
        <v>173</v>
      </c>
      <c r="AU229" t="s">
        <v>173</v>
      </c>
      <c r="AV229" t="s">
        <v>177</v>
      </c>
      <c r="AW229" t="s">
        <v>177</v>
      </c>
      <c r="AX229" t="s">
        <v>193</v>
      </c>
      <c r="AY229" t="s">
        <v>198</v>
      </c>
      <c r="AZ229" t="s">
        <v>207</v>
      </c>
      <c r="BA229" t="s">
        <v>207</v>
      </c>
      <c r="BB229" t="s">
        <v>207</v>
      </c>
      <c r="BC229" t="s">
        <v>207</v>
      </c>
      <c r="BD229" t="s">
        <v>207</v>
      </c>
      <c r="BE229" t="str">
        <f>IF(AY229="","Unknown",AY229)</f>
        <v>46-50</v>
      </c>
      <c r="BF229" s="11" t="str">
        <f>IF(AZ229="","unknown",AZ229)</f>
        <v>NO</v>
      </c>
      <c r="BG229" s="11" t="str">
        <f>IF(BA229="","UNKNOWN",BA229)</f>
        <v>NO</v>
      </c>
      <c r="BH229" s="11" t="str">
        <f>IF(BB229="","unknown",BB229)</f>
        <v>NO</v>
      </c>
      <c r="BI229" s="11" t="str">
        <f>IF(BC229="","Unknon",BC229)</f>
        <v>NO</v>
      </c>
      <c r="BJ229" s="11" t="str">
        <f>IF(BD229="","Unknown",BD229)</f>
        <v>NO</v>
      </c>
      <c r="BK229" s="11">
        <f>VALUE(C229)-VALUE(D229)</f>
        <v>21</v>
      </c>
      <c r="BM229" s="11"/>
    </row>
    <row r="230" hidden="1" spans="1:56">
      <c r="A230">
        <v>229</v>
      </c>
      <c r="B230" t="s">
        <v>255</v>
      </c>
      <c r="C230">
        <v>2022</v>
      </c>
      <c r="D230">
        <v>2003</v>
      </c>
      <c r="E230">
        <v>2021</v>
      </c>
      <c r="F230" t="s">
        <v>275</v>
      </c>
      <c r="G230" t="s">
        <v>257</v>
      </c>
      <c r="H230" t="s">
        <v>261</v>
      </c>
      <c r="I230"/>
      <c r="J230" t="s">
        <v>265</v>
      </c>
      <c r="K230" t="b">
        <v>0</v>
      </c>
      <c r="L230" t="b">
        <v>0</v>
      </c>
      <c r="M230" t="b">
        <v>0</v>
      </c>
      <c r="N230" t="b">
        <v>0</v>
      </c>
      <c r="O230" t="b">
        <v>0</v>
      </c>
      <c r="P230" t="b">
        <v>0</v>
      </c>
      <c r="Q230" t="b">
        <v>0</v>
      </c>
      <c r="R230" t="b">
        <v>0</v>
      </c>
      <c r="S230" t="b">
        <v>0</v>
      </c>
      <c r="T230" t="b">
        <v>0</v>
      </c>
      <c r="U230" t="b">
        <v>1</v>
      </c>
      <c r="V230" t="b">
        <v>1</v>
      </c>
      <c r="W230" t="b">
        <v>0</v>
      </c>
      <c r="X230" t="b">
        <v>0</v>
      </c>
      <c r="Y230" t="b">
        <v>0</v>
      </c>
      <c r="Z230" t="b">
        <v>1</v>
      </c>
      <c r="AA230" t="b">
        <v>0</v>
      </c>
      <c r="AB230" t="b">
        <v>0</v>
      </c>
      <c r="AC230" t="s">
        <v>171</v>
      </c>
      <c r="AD230" t="s">
        <v>183</v>
      </c>
      <c r="AE230" t="s">
        <v>175</v>
      </c>
      <c r="AF230" t="s">
        <v>173</v>
      </c>
      <c r="AG230" t="s">
        <v>175</v>
      </c>
      <c r="AH230" t="s">
        <v>179</v>
      </c>
      <c r="AI230" t="s">
        <v>177</v>
      </c>
      <c r="AJ230" t="s">
        <v>171</v>
      </c>
      <c r="AK230" t="s">
        <v>177</v>
      </c>
      <c r="AL230" t="s">
        <v>173</v>
      </c>
      <c r="AM230" t="s">
        <v>173</v>
      </c>
      <c r="AN230" t="s">
        <v>173</v>
      </c>
      <c r="AO230" t="s">
        <v>183</v>
      </c>
      <c r="AP230" t="s">
        <v>173</v>
      </c>
      <c r="AQ230" t="s">
        <v>183</v>
      </c>
      <c r="AR230" t="s">
        <v>171</v>
      </c>
      <c r="AS230" t="s">
        <v>173</v>
      </c>
      <c r="AT230" t="s">
        <v>173</v>
      </c>
      <c r="AU230" t="s">
        <v>173</v>
      </c>
      <c r="AV230" t="s">
        <v>173</v>
      </c>
      <c r="AW230" t="s">
        <v>171</v>
      </c>
      <c r="AX230" t="s">
        <v>193</v>
      </c>
      <c r="AY230" t="s">
        <v>196</v>
      </c>
      <c r="AZ230" t="s">
        <v>183</v>
      </c>
      <c r="BA230" t="s">
        <v>183</v>
      </c>
      <c r="BB230" t="s">
        <v>183</v>
      </c>
      <c r="BC230" t="s">
        <v>183</v>
      </c>
      <c r="BD230" t="s">
        <v>183</v>
      </c>
    </row>
    <row r="231" hidden="1" spans="1:56">
      <c r="A231">
        <v>230</v>
      </c>
      <c r="B231" t="s">
        <v>259</v>
      </c>
      <c r="C231">
        <v>2022</v>
      </c>
      <c r="D231">
        <v>2017</v>
      </c>
      <c r="E231">
        <v>2021</v>
      </c>
      <c r="F231" t="s">
        <v>256</v>
      </c>
      <c r="G231" t="s">
        <v>263</v>
      </c>
      <c r="H231" t="s">
        <v>264</v>
      </c>
      <c r="I231"/>
      <c r="J231" t="s">
        <v>281</v>
      </c>
      <c r="K231" t="b">
        <v>0</v>
      </c>
      <c r="L231" t="b">
        <v>0</v>
      </c>
      <c r="M231" t="b">
        <v>0</v>
      </c>
      <c r="N231" t="b">
        <v>0</v>
      </c>
      <c r="O231" t="b">
        <v>0</v>
      </c>
      <c r="P231" t="b">
        <v>0</v>
      </c>
      <c r="Q231" t="b">
        <v>0</v>
      </c>
      <c r="R231" t="b">
        <v>0</v>
      </c>
      <c r="S231" t="b">
        <v>0</v>
      </c>
      <c r="T231" t="b">
        <v>0</v>
      </c>
      <c r="U231" t="b">
        <v>1</v>
      </c>
      <c r="V231" t="b">
        <v>0</v>
      </c>
      <c r="W231" t="b">
        <v>0</v>
      </c>
      <c r="X231" t="b">
        <v>0</v>
      </c>
      <c r="Y231" t="b">
        <v>0</v>
      </c>
      <c r="Z231" t="b">
        <v>1</v>
      </c>
      <c r="AA231" t="b">
        <v>0</v>
      </c>
      <c r="AB231" t="b">
        <v>0</v>
      </c>
      <c r="AC231" t="s">
        <v>175</v>
      </c>
      <c r="AD231" t="s">
        <v>177</v>
      </c>
      <c r="AE231" t="s">
        <v>173</v>
      </c>
      <c r="AF231" t="s">
        <v>175</v>
      </c>
      <c r="AG231" t="s">
        <v>177</v>
      </c>
      <c r="AH231" t="s">
        <v>175</v>
      </c>
      <c r="AI231" t="s">
        <v>173</v>
      </c>
      <c r="AJ231" t="s">
        <v>173</v>
      </c>
      <c r="AK231" t="s">
        <v>171</v>
      </c>
      <c r="AL231" t="s">
        <v>173</v>
      </c>
      <c r="AM231" t="s">
        <v>177</v>
      </c>
      <c r="AN231" t="s">
        <v>175</v>
      </c>
      <c r="AO231" t="s">
        <v>175</v>
      </c>
      <c r="AP231" t="s">
        <v>175</v>
      </c>
      <c r="AQ231" t="s">
        <v>175</v>
      </c>
      <c r="AR231" t="s">
        <v>173</v>
      </c>
      <c r="AS231" t="s">
        <v>173</v>
      </c>
      <c r="AT231" t="s">
        <v>173</v>
      </c>
      <c r="AU231" t="s">
        <v>173</v>
      </c>
      <c r="AV231" t="s">
        <v>173</v>
      </c>
      <c r="AW231" t="s">
        <v>173</v>
      </c>
      <c r="AX231" t="s">
        <v>192</v>
      </c>
      <c r="AY231" t="s">
        <v>196</v>
      </c>
      <c r="AZ231" t="s">
        <v>183</v>
      </c>
      <c r="BA231" t="s">
        <v>183</v>
      </c>
      <c r="BB231" t="s">
        <v>183</v>
      </c>
      <c r="BC231" t="s">
        <v>183</v>
      </c>
      <c r="BD231" t="s">
        <v>183</v>
      </c>
    </row>
    <row r="232" hidden="1" spans="1:56">
      <c r="A232">
        <v>231</v>
      </c>
      <c r="B232" t="s">
        <v>246</v>
      </c>
      <c r="C232">
        <v>2022</v>
      </c>
      <c r="D232">
        <v>2004</v>
      </c>
      <c r="E232">
        <v>2021</v>
      </c>
      <c r="F232" t="s">
        <v>248</v>
      </c>
      <c r="G232" t="s">
        <v>249</v>
      </c>
      <c r="H232" t="s">
        <v>267</v>
      </c>
      <c r="I232"/>
      <c r="J232" t="s">
        <v>252</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1</v>
      </c>
      <c r="AC232" t="s">
        <v>173</v>
      </c>
      <c r="AD232" t="s">
        <v>171</v>
      </c>
      <c r="AE232" t="s">
        <v>175</v>
      </c>
      <c r="AF232" t="s">
        <v>173</v>
      </c>
      <c r="AG232" t="s">
        <v>171</v>
      </c>
      <c r="AH232" t="s">
        <v>173</v>
      </c>
      <c r="AI232" t="s">
        <v>173</v>
      </c>
      <c r="AJ232" t="s">
        <v>173</v>
      </c>
      <c r="AK232" t="s">
        <v>171</v>
      </c>
      <c r="AL232" t="s">
        <v>171</v>
      </c>
      <c r="AM232" t="s">
        <v>171</v>
      </c>
      <c r="AN232" t="s">
        <v>173</v>
      </c>
      <c r="AO232" t="s">
        <v>171</v>
      </c>
      <c r="AP232" t="s">
        <v>171</v>
      </c>
      <c r="AQ232" t="s">
        <v>171</v>
      </c>
      <c r="AR232" t="s">
        <v>175</v>
      </c>
      <c r="AS232" t="s">
        <v>173</v>
      </c>
      <c r="AT232" t="s">
        <v>173</v>
      </c>
      <c r="AU232" t="s">
        <v>175</v>
      </c>
      <c r="AV232" t="s">
        <v>171</v>
      </c>
      <c r="AW232" t="s">
        <v>173</v>
      </c>
      <c r="AX232" t="s">
        <v>192</v>
      </c>
      <c r="AY232" t="s">
        <v>195</v>
      </c>
      <c r="AZ232" t="s">
        <v>183</v>
      </c>
      <c r="BA232" t="s">
        <v>183</v>
      </c>
      <c r="BB232" t="s">
        <v>183</v>
      </c>
      <c r="BC232" t="s">
        <v>183</v>
      </c>
      <c r="BD232" t="s">
        <v>183</v>
      </c>
    </row>
    <row r="233" hidden="1" spans="1:56">
      <c r="A233">
        <v>232</v>
      </c>
      <c r="B233" t="s">
        <v>246</v>
      </c>
      <c r="C233">
        <v>2022</v>
      </c>
      <c r="D233">
        <v>1979</v>
      </c>
      <c r="E233">
        <v>2011</v>
      </c>
      <c r="F233" t="s">
        <v>248</v>
      </c>
      <c r="G233" t="s">
        <v>249</v>
      </c>
      <c r="H233" t="s">
        <v>267</v>
      </c>
      <c r="I233"/>
      <c r="J233" t="s">
        <v>252</v>
      </c>
      <c r="K233" t="b">
        <v>0</v>
      </c>
      <c r="L233" t="b">
        <v>0</v>
      </c>
      <c r="M233" t="b">
        <v>0</v>
      </c>
      <c r="N233" t="b">
        <v>0</v>
      </c>
      <c r="O233" t="b">
        <v>0</v>
      </c>
      <c r="P233" t="b">
        <v>0</v>
      </c>
      <c r="Q233" t="b">
        <v>0</v>
      </c>
      <c r="R233" t="b">
        <v>0</v>
      </c>
      <c r="S233" t="b">
        <v>0</v>
      </c>
      <c r="T233" t="b">
        <v>0</v>
      </c>
      <c r="U233" t="b">
        <v>0</v>
      </c>
      <c r="V233" t="b">
        <v>0</v>
      </c>
      <c r="W233" t="b">
        <v>1</v>
      </c>
      <c r="X233" t="b">
        <v>0</v>
      </c>
      <c r="Y233" t="b">
        <v>0</v>
      </c>
      <c r="Z233" t="b">
        <v>1</v>
      </c>
      <c r="AA233" t="b">
        <v>0</v>
      </c>
      <c r="AB233" t="b">
        <v>0</v>
      </c>
      <c r="AC233" t="s">
        <v>173</v>
      </c>
      <c r="AD233" t="s">
        <v>177</v>
      </c>
      <c r="AE233" t="s">
        <v>175</v>
      </c>
      <c r="AF233" t="s">
        <v>175</v>
      </c>
      <c r="AG233" t="s">
        <v>171</v>
      </c>
      <c r="AH233" t="s">
        <v>173</v>
      </c>
      <c r="AI233" t="s">
        <v>173</v>
      </c>
      <c r="AJ233" t="s">
        <v>175</v>
      </c>
      <c r="AK233" t="s">
        <v>173</v>
      </c>
      <c r="AL233" t="s">
        <v>173</v>
      </c>
      <c r="AM233" t="s">
        <v>173</v>
      </c>
      <c r="AN233" t="s">
        <v>173</v>
      </c>
      <c r="AO233" t="s">
        <v>177</v>
      </c>
      <c r="AP233" t="s">
        <v>177</v>
      </c>
      <c r="AQ233" t="s">
        <v>173</v>
      </c>
      <c r="AR233" t="s">
        <v>173</v>
      </c>
      <c r="AS233" t="s">
        <v>173</v>
      </c>
      <c r="AT233" t="s">
        <v>175</v>
      </c>
      <c r="AU233" t="s">
        <v>175</v>
      </c>
      <c r="AV233" t="s">
        <v>175</v>
      </c>
      <c r="AW233" t="s">
        <v>173</v>
      </c>
      <c r="AX233" t="s">
        <v>193</v>
      </c>
      <c r="AY233" t="s">
        <v>196</v>
      </c>
      <c r="AZ233" t="s">
        <v>183</v>
      </c>
      <c r="BA233" t="s">
        <v>183</v>
      </c>
      <c r="BB233" t="s">
        <v>183</v>
      </c>
      <c r="BC233" t="s">
        <v>183</v>
      </c>
      <c r="BD233" t="s">
        <v>183</v>
      </c>
    </row>
    <row r="234" spans="1:65">
      <c r="A234">
        <v>233</v>
      </c>
      <c r="B234" t="s">
        <v>282</v>
      </c>
      <c r="C234" s="10">
        <v>2022</v>
      </c>
      <c r="D234" s="10">
        <v>1988</v>
      </c>
      <c r="E234" s="10">
        <v>2014</v>
      </c>
      <c r="F234" s="10" t="s">
        <v>241</v>
      </c>
      <c r="G234" s="10" t="s">
        <v>242</v>
      </c>
      <c r="H234" s="10" t="s">
        <v>243</v>
      </c>
      <c r="I234" s="10" t="s">
        <v>271</v>
      </c>
      <c r="J234" s="10" t="s">
        <v>245</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1</v>
      </c>
      <c r="AC234" s="10" t="s">
        <v>175</v>
      </c>
      <c r="AD234" t="s">
        <v>179</v>
      </c>
      <c r="AE234" t="s">
        <v>179</v>
      </c>
      <c r="AG234" t="s">
        <v>175</v>
      </c>
      <c r="AH234" t="s">
        <v>175</v>
      </c>
      <c r="AI234" t="s">
        <v>175</v>
      </c>
      <c r="AJ234" t="s">
        <v>179</v>
      </c>
      <c r="AK234" t="s">
        <v>175</v>
      </c>
      <c r="AL234" t="s">
        <v>175</v>
      </c>
      <c r="AM234" t="s">
        <v>175</v>
      </c>
      <c r="AN234" t="s">
        <v>173</v>
      </c>
      <c r="AO234" t="s">
        <v>179</v>
      </c>
      <c r="AP234" t="s">
        <v>179</v>
      </c>
      <c r="AQ234" t="s">
        <v>179</v>
      </c>
      <c r="AR234" t="s">
        <v>175</v>
      </c>
      <c r="AS234" t="s">
        <v>175</v>
      </c>
      <c r="AT234" t="s">
        <v>175</v>
      </c>
      <c r="AU234" t="s">
        <v>175</v>
      </c>
      <c r="AV234" t="s">
        <v>173</v>
      </c>
      <c r="AW234" t="s">
        <v>175</v>
      </c>
      <c r="AX234" t="s">
        <v>192</v>
      </c>
      <c r="AY234" t="s">
        <v>201</v>
      </c>
      <c r="AZ234" t="s">
        <v>207</v>
      </c>
      <c r="BA234" t="s">
        <v>207</v>
      </c>
      <c r="BB234" t="s">
        <v>207</v>
      </c>
      <c r="BC234" t="s">
        <v>207</v>
      </c>
      <c r="BD234" t="s">
        <v>207</v>
      </c>
      <c r="BE234" t="str">
        <f>IF(AY234="","Unknown",AY234)</f>
        <v>36-40</v>
      </c>
      <c r="BF234" s="11" t="str">
        <f>IF(AZ234="","unknown",AZ234)</f>
        <v>NO</v>
      </c>
      <c r="BG234" s="11" t="str">
        <f>IF(BA234="","UNKNOWN",BA234)</f>
        <v>NO</v>
      </c>
      <c r="BH234" s="11" t="str">
        <f>IF(BB234="","unknown",BB234)</f>
        <v>NO</v>
      </c>
      <c r="BI234" s="11" t="str">
        <f>IF(BC234="","Unknon",BC234)</f>
        <v>NO</v>
      </c>
      <c r="BJ234" s="11" t="str">
        <f>IF(BD234="","Unknown",BD234)</f>
        <v>NO</v>
      </c>
      <c r="BK234" s="11">
        <f>VALUE(C234)-VALUE(D234)</f>
        <v>34</v>
      </c>
      <c r="BM234" s="11"/>
    </row>
    <row r="235" hidden="1" spans="1:56">
      <c r="A235">
        <v>234</v>
      </c>
      <c r="B235" t="s">
        <v>246</v>
      </c>
      <c r="C235">
        <v>2022</v>
      </c>
      <c r="D235">
        <v>1994</v>
      </c>
      <c r="E235">
        <v>2007</v>
      </c>
      <c r="F235" t="s">
        <v>248</v>
      </c>
      <c r="G235" t="s">
        <v>242</v>
      </c>
      <c r="H235" t="s">
        <v>258</v>
      </c>
      <c r="I235"/>
      <c r="J235" t="s">
        <v>252</v>
      </c>
      <c r="K235" t="b">
        <v>0</v>
      </c>
      <c r="L235" t="b">
        <v>0</v>
      </c>
      <c r="M235" t="b">
        <v>0</v>
      </c>
      <c r="N235" t="b">
        <v>0</v>
      </c>
      <c r="O235" t="b">
        <v>0</v>
      </c>
      <c r="P235" t="b">
        <v>0</v>
      </c>
      <c r="Q235" t="b">
        <v>0</v>
      </c>
      <c r="R235" t="b">
        <v>0</v>
      </c>
      <c r="S235" t="b">
        <v>0</v>
      </c>
      <c r="T235" t="b">
        <v>0</v>
      </c>
      <c r="U235" t="b">
        <v>0</v>
      </c>
      <c r="V235" t="b">
        <v>0</v>
      </c>
      <c r="W235" t="b">
        <v>0</v>
      </c>
      <c r="X235" t="b">
        <v>0</v>
      </c>
      <c r="Y235" t="b">
        <v>0</v>
      </c>
      <c r="Z235" t="b">
        <v>1</v>
      </c>
      <c r="AA235" t="b">
        <v>0</v>
      </c>
      <c r="AB235" t="b">
        <v>0</v>
      </c>
      <c r="AC235" t="s">
        <v>173</v>
      </c>
      <c r="AD235" t="s">
        <v>175</v>
      </c>
      <c r="AE235" t="s">
        <v>173</v>
      </c>
      <c r="AF235" t="s">
        <v>173</v>
      </c>
      <c r="AG235" t="s">
        <v>171</v>
      </c>
      <c r="AH235" t="s">
        <v>171</v>
      </c>
      <c r="AI235" t="s">
        <v>173</v>
      </c>
      <c r="AJ235" t="s">
        <v>175</v>
      </c>
      <c r="AK235" t="s">
        <v>173</v>
      </c>
      <c r="AL235" t="s">
        <v>171</v>
      </c>
      <c r="AM235" t="s">
        <v>171</v>
      </c>
      <c r="AN235" t="s">
        <v>173</v>
      </c>
      <c r="AO235" t="s">
        <v>175</v>
      </c>
      <c r="AP235" t="s">
        <v>173</v>
      </c>
      <c r="AQ235" t="s">
        <v>175</v>
      </c>
      <c r="AR235" t="s">
        <v>175</v>
      </c>
      <c r="AS235" t="s">
        <v>173</v>
      </c>
      <c r="AT235" t="s">
        <v>171</v>
      </c>
      <c r="AU235" t="s">
        <v>171</v>
      </c>
      <c r="AV235" t="s">
        <v>173</v>
      </c>
      <c r="AW235" t="s">
        <v>173</v>
      </c>
      <c r="AX235" t="s">
        <v>192</v>
      </c>
      <c r="AY235" t="s">
        <v>198</v>
      </c>
      <c r="AZ235" t="s">
        <v>183</v>
      </c>
      <c r="BA235" t="s">
        <v>183</v>
      </c>
      <c r="BB235" t="s">
        <v>183</v>
      </c>
      <c r="BC235" t="s">
        <v>183</v>
      </c>
      <c r="BD235" t="s">
        <v>183</v>
      </c>
    </row>
    <row r="236" hidden="1" spans="1:56">
      <c r="A236">
        <v>235</v>
      </c>
      <c r="B236" t="s">
        <v>259</v>
      </c>
      <c r="C236">
        <v>2022</v>
      </c>
      <c r="D236">
        <v>2009</v>
      </c>
      <c r="E236">
        <v>2009</v>
      </c>
      <c r="F236" t="s">
        <v>275</v>
      </c>
      <c r="G236"/>
      <c r="H236" t="s">
        <v>250</v>
      </c>
      <c r="I236" t="s">
        <v>254</v>
      </c>
      <c r="J236" t="s">
        <v>252</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1</v>
      </c>
      <c r="AC236" t="s">
        <v>173</v>
      </c>
      <c r="AD236" t="s">
        <v>183</v>
      </c>
      <c r="AE236" t="s">
        <v>173</v>
      </c>
      <c r="AF236" t="s">
        <v>173</v>
      </c>
      <c r="AG236" t="s">
        <v>173</v>
      </c>
      <c r="AH236" t="s">
        <v>173</v>
      </c>
      <c r="AI236" t="s">
        <v>173</v>
      </c>
      <c r="AJ236" t="s">
        <v>173</v>
      </c>
      <c r="AK236" t="s">
        <v>173</v>
      </c>
      <c r="AL236" t="s">
        <v>173</v>
      </c>
      <c r="AM236" t="s">
        <v>173</v>
      </c>
      <c r="AN236" t="s">
        <v>183</v>
      </c>
      <c r="AO236" t="s">
        <v>183</v>
      </c>
      <c r="AP236" t="s">
        <v>183</v>
      </c>
      <c r="AQ236" t="s">
        <v>183</v>
      </c>
      <c r="AR236" t="s">
        <v>173</v>
      </c>
      <c r="AS236" t="s">
        <v>173</v>
      </c>
      <c r="AT236" t="s">
        <v>173</v>
      </c>
      <c r="AU236" t="s">
        <v>173</v>
      </c>
      <c r="AV236" t="s">
        <v>183</v>
      </c>
      <c r="AW236" t="s">
        <v>173</v>
      </c>
      <c r="AX236" t="s">
        <v>192</v>
      </c>
      <c r="AY236" t="s">
        <v>195</v>
      </c>
      <c r="AZ236" t="s">
        <v>183</v>
      </c>
      <c r="BA236" t="s">
        <v>183</v>
      </c>
      <c r="BB236" t="s">
        <v>183</v>
      </c>
      <c r="BC236" t="s">
        <v>183</v>
      </c>
      <c r="BD236" t="s">
        <v>183</v>
      </c>
    </row>
    <row r="237" hidden="1" spans="1:56">
      <c r="A237">
        <v>236</v>
      </c>
      <c r="B237" t="s">
        <v>272</v>
      </c>
      <c r="C237">
        <v>2022</v>
      </c>
      <c r="D237">
        <v>2018</v>
      </c>
      <c r="E237">
        <v>2018</v>
      </c>
      <c r="F237" t="s">
        <v>289</v>
      </c>
      <c r="G237"/>
      <c r="H237" t="s">
        <v>258</v>
      </c>
      <c r="I237"/>
      <c r="J237" t="s">
        <v>252</v>
      </c>
      <c r="K237" t="b">
        <v>0</v>
      </c>
      <c r="L237" t="b">
        <v>0</v>
      </c>
      <c r="M237" t="b">
        <v>0</v>
      </c>
      <c r="N237" t="b">
        <v>0</v>
      </c>
      <c r="O237" t="b">
        <v>0</v>
      </c>
      <c r="P237" t="b">
        <v>0</v>
      </c>
      <c r="Q237" t="b">
        <v>0</v>
      </c>
      <c r="R237" t="b">
        <v>0</v>
      </c>
      <c r="S237" t="b">
        <v>0</v>
      </c>
      <c r="T237" t="b">
        <v>0</v>
      </c>
      <c r="U237" t="b">
        <v>0</v>
      </c>
      <c r="V237" t="b">
        <v>1</v>
      </c>
      <c r="W237" t="b">
        <v>1</v>
      </c>
      <c r="X237" t="b">
        <v>0</v>
      </c>
      <c r="Y237" t="b">
        <v>0</v>
      </c>
      <c r="Z237" t="b">
        <v>0</v>
      </c>
      <c r="AA237" t="b">
        <v>0</v>
      </c>
      <c r="AB237" t="b">
        <v>0</v>
      </c>
      <c r="AC237" t="s">
        <v>179</v>
      </c>
      <c r="AD237" t="s">
        <v>179</v>
      </c>
      <c r="AE237" t="s">
        <v>173</v>
      </c>
      <c r="AF237" t="s">
        <v>177</v>
      </c>
      <c r="AG237" t="s">
        <v>177</v>
      </c>
      <c r="AH237" t="s">
        <v>177</v>
      </c>
      <c r="AI237" t="s">
        <v>183</v>
      </c>
      <c r="AJ237" t="s">
        <v>177</v>
      </c>
      <c r="AK237" t="s">
        <v>173</v>
      </c>
      <c r="AL237" t="s">
        <v>171</v>
      </c>
      <c r="AM237" t="s">
        <v>171</v>
      </c>
      <c r="AN237" t="s">
        <v>183</v>
      </c>
      <c r="AO237" t="s">
        <v>183</v>
      </c>
      <c r="AP237" t="s">
        <v>183</v>
      </c>
      <c r="AQ237" t="s">
        <v>179</v>
      </c>
      <c r="AR237" t="s">
        <v>173</v>
      </c>
      <c r="AS237" t="s">
        <v>177</v>
      </c>
      <c r="AT237" t="s">
        <v>177</v>
      </c>
      <c r="AU237" t="s">
        <v>175</v>
      </c>
      <c r="AV237" t="s">
        <v>173</v>
      </c>
      <c r="AW237" t="s">
        <v>177</v>
      </c>
      <c r="AX237" t="s">
        <v>192</v>
      </c>
      <c r="AY237" t="s">
        <v>202</v>
      </c>
      <c r="AZ237" t="s">
        <v>183</v>
      </c>
      <c r="BA237" t="s">
        <v>183</v>
      </c>
      <c r="BB237" t="s">
        <v>183</v>
      </c>
      <c r="BC237" t="s">
        <v>183</v>
      </c>
      <c r="BD237" t="s">
        <v>183</v>
      </c>
    </row>
    <row r="238" hidden="1" spans="1:56">
      <c r="A238">
        <v>237</v>
      </c>
      <c r="B238" t="s">
        <v>259</v>
      </c>
      <c r="C238">
        <v>2022</v>
      </c>
      <c r="D238">
        <v>1988</v>
      </c>
      <c r="E238">
        <v>1988</v>
      </c>
      <c r="F238" t="s">
        <v>256</v>
      </c>
      <c r="G238" t="s">
        <v>263</v>
      </c>
      <c r="H238" t="s">
        <v>247</v>
      </c>
      <c r="I238"/>
      <c r="J238" t="s">
        <v>252</v>
      </c>
      <c r="K238" t="b">
        <v>0</v>
      </c>
      <c r="L238" t="b">
        <v>0</v>
      </c>
      <c r="M238" t="b">
        <v>0</v>
      </c>
      <c r="N238" t="b">
        <v>0</v>
      </c>
      <c r="O238" t="b">
        <v>0</v>
      </c>
      <c r="P238" t="b">
        <v>0</v>
      </c>
      <c r="Q238" t="b">
        <v>0</v>
      </c>
      <c r="R238" t="b">
        <v>0</v>
      </c>
      <c r="S238" t="b">
        <v>0</v>
      </c>
      <c r="T238" t="b">
        <v>0</v>
      </c>
      <c r="U238" t="b">
        <v>0</v>
      </c>
      <c r="V238" t="b">
        <v>0</v>
      </c>
      <c r="W238" t="b">
        <v>0</v>
      </c>
      <c r="X238" t="b">
        <v>0</v>
      </c>
      <c r="Y238" t="b">
        <v>0</v>
      </c>
      <c r="Z238" t="b">
        <v>1</v>
      </c>
      <c r="AA238" t="b">
        <v>0</v>
      </c>
      <c r="AB238" t="b">
        <v>0</v>
      </c>
      <c r="AC238" t="s">
        <v>173</v>
      </c>
      <c r="AD238" t="s">
        <v>175</v>
      </c>
      <c r="AE238" t="s">
        <v>173</v>
      </c>
      <c r="AF238" t="s">
        <v>173</v>
      </c>
      <c r="AG238" t="s">
        <v>175</v>
      </c>
      <c r="AH238" t="s">
        <v>177</v>
      </c>
      <c r="AI238" t="s">
        <v>175</v>
      </c>
      <c r="AJ238" t="s">
        <v>173</v>
      </c>
      <c r="AK238" t="s">
        <v>173</v>
      </c>
      <c r="AL238" t="s">
        <v>173</v>
      </c>
      <c r="AM238" t="s">
        <v>173</v>
      </c>
      <c r="AN238" t="s">
        <v>173</v>
      </c>
      <c r="AO238" t="s">
        <v>175</v>
      </c>
      <c r="AP238" t="s">
        <v>175</v>
      </c>
      <c r="AQ238" t="s">
        <v>173</v>
      </c>
      <c r="AR238" t="s">
        <v>173</v>
      </c>
      <c r="AS238" t="s">
        <v>173</v>
      </c>
      <c r="AT238" t="s">
        <v>173</v>
      </c>
      <c r="AU238" t="s">
        <v>173</v>
      </c>
      <c r="AV238" t="s">
        <v>177</v>
      </c>
      <c r="AW238" t="s">
        <v>173</v>
      </c>
      <c r="AX238" t="s">
        <v>192</v>
      </c>
      <c r="AY238" t="s">
        <v>197</v>
      </c>
      <c r="AZ238" t="s">
        <v>183</v>
      </c>
      <c r="BA238" t="s">
        <v>183</v>
      </c>
      <c r="BB238" t="s">
        <v>183</v>
      </c>
      <c r="BC238" t="s">
        <v>183</v>
      </c>
      <c r="BD238" t="s">
        <v>183</v>
      </c>
    </row>
    <row r="239" hidden="1" spans="1:56">
      <c r="A239">
        <v>238</v>
      </c>
      <c r="B239" t="s">
        <v>259</v>
      </c>
      <c r="C239">
        <v>2022</v>
      </c>
      <c r="D239">
        <v>2003</v>
      </c>
      <c r="E239">
        <v>2007</v>
      </c>
      <c r="F239" t="s">
        <v>275</v>
      </c>
      <c r="G239"/>
      <c r="H239" t="s">
        <v>261</v>
      </c>
      <c r="I239"/>
      <c r="J239" t="s">
        <v>252</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1</v>
      </c>
      <c r="AC239" t="s">
        <v>173</v>
      </c>
      <c r="AD239" t="s">
        <v>173</v>
      </c>
      <c r="AE239" t="s">
        <v>173</v>
      </c>
      <c r="AF239" t="s">
        <v>173</v>
      </c>
      <c r="AG239" t="s">
        <v>173</v>
      </c>
      <c r="AH239" t="s">
        <v>173</v>
      </c>
      <c r="AI239" t="s">
        <v>173</v>
      </c>
      <c r="AJ239" t="s">
        <v>173</v>
      </c>
      <c r="AK239" t="s">
        <v>173</v>
      </c>
      <c r="AL239" t="s">
        <v>173</v>
      </c>
      <c r="AM239" t="s">
        <v>173</v>
      </c>
      <c r="AN239" t="s">
        <v>181</v>
      </c>
      <c r="AO239" t="s">
        <v>173</v>
      </c>
      <c r="AP239" t="s">
        <v>175</v>
      </c>
      <c r="AQ239" t="s">
        <v>173</v>
      </c>
      <c r="AR239" t="s">
        <v>177</v>
      </c>
      <c r="AS239" t="s">
        <v>173</v>
      </c>
      <c r="AT239" t="s">
        <v>175</v>
      </c>
      <c r="AU239" t="s">
        <v>179</v>
      </c>
      <c r="AV239" t="s">
        <v>179</v>
      </c>
      <c r="AW239" t="s">
        <v>175</v>
      </c>
      <c r="AX239" t="s">
        <v>193</v>
      </c>
      <c r="AY239" t="s">
        <v>195</v>
      </c>
      <c r="AZ239" t="s">
        <v>183</v>
      </c>
      <c r="BA239" t="s">
        <v>183</v>
      </c>
      <c r="BB239" t="s">
        <v>183</v>
      </c>
      <c r="BC239" t="s">
        <v>183</v>
      </c>
      <c r="BD239" t="s">
        <v>183</v>
      </c>
    </row>
    <row r="240" spans="1:65">
      <c r="A240">
        <v>239</v>
      </c>
      <c r="B240" t="s">
        <v>296</v>
      </c>
      <c r="C240" s="10">
        <v>2022</v>
      </c>
      <c r="D240" s="10">
        <v>1985</v>
      </c>
      <c r="E240" s="10">
        <v>2012</v>
      </c>
      <c r="F240" s="10" t="s">
        <v>241</v>
      </c>
      <c r="G240" s="10" t="s">
        <v>249</v>
      </c>
      <c r="H240" s="10" t="s">
        <v>307</v>
      </c>
      <c r="I240" s="10" t="s">
        <v>299</v>
      </c>
      <c r="J240" s="10" t="s">
        <v>302</v>
      </c>
      <c r="K240" t="b">
        <v>0</v>
      </c>
      <c r="L240" t="b">
        <v>1</v>
      </c>
      <c r="M240" t="b">
        <v>0</v>
      </c>
      <c r="N240" t="b">
        <v>0</v>
      </c>
      <c r="O240" t="b">
        <v>0</v>
      </c>
      <c r="P240" t="b">
        <v>0</v>
      </c>
      <c r="Q240" t="b">
        <v>0</v>
      </c>
      <c r="R240" t="b">
        <v>0</v>
      </c>
      <c r="S240" t="b">
        <v>0</v>
      </c>
      <c r="T240" t="b">
        <v>0</v>
      </c>
      <c r="U240" t="b">
        <v>0</v>
      </c>
      <c r="V240" t="b">
        <v>0</v>
      </c>
      <c r="W240" t="b">
        <v>0</v>
      </c>
      <c r="X240" t="b">
        <v>0</v>
      </c>
      <c r="Y240" t="b">
        <v>0</v>
      </c>
      <c r="Z240" t="b">
        <v>1</v>
      </c>
      <c r="AA240" t="b">
        <v>0</v>
      </c>
      <c r="AB240" t="b">
        <v>0</v>
      </c>
      <c r="AC240" s="10" t="s">
        <v>173</v>
      </c>
      <c r="AD240" t="s">
        <v>171</v>
      </c>
      <c r="AE240" t="s">
        <v>173</v>
      </c>
      <c r="AF240" t="s">
        <v>173</v>
      </c>
      <c r="AG240" t="s">
        <v>173</v>
      </c>
      <c r="AH240" t="s">
        <v>173</v>
      </c>
      <c r="AI240" t="s">
        <v>173</v>
      </c>
      <c r="AJ240" t="s">
        <v>173</v>
      </c>
      <c r="AK240" t="s">
        <v>173</v>
      </c>
      <c r="AL240" t="s">
        <v>173</v>
      </c>
      <c r="AM240" t="s">
        <v>171</v>
      </c>
      <c r="AN240" t="s">
        <v>171</v>
      </c>
      <c r="AO240" t="s">
        <v>173</v>
      </c>
      <c r="AP240" t="s">
        <v>173</v>
      </c>
      <c r="AQ240" t="s">
        <v>173</v>
      </c>
      <c r="AR240" t="s">
        <v>171</v>
      </c>
      <c r="AS240" t="s">
        <v>171</v>
      </c>
      <c r="AT240" t="s">
        <v>171</v>
      </c>
      <c r="AU240" t="s">
        <v>171</v>
      </c>
      <c r="AV240" t="s">
        <v>171</v>
      </c>
      <c r="AW240" t="s">
        <v>171</v>
      </c>
      <c r="AX240" t="s">
        <v>193</v>
      </c>
      <c r="AY240" t="s">
        <v>197</v>
      </c>
      <c r="AZ240" t="s">
        <v>207</v>
      </c>
      <c r="BA240" t="s">
        <v>207</v>
      </c>
      <c r="BB240" t="s">
        <v>207</v>
      </c>
      <c r="BC240" t="s">
        <v>207</v>
      </c>
      <c r="BD240" t="s">
        <v>207</v>
      </c>
      <c r="BE240" t="str">
        <f>IF(AY240="","Unknown",AY240)</f>
        <v>51-55</v>
      </c>
      <c r="BF240" s="11" t="str">
        <f>IF(AZ240="","unknown",AZ240)</f>
        <v>NO</v>
      </c>
      <c r="BG240" s="11" t="str">
        <f>IF(BA240="","UNKNOWN",BA240)</f>
        <v>NO</v>
      </c>
      <c r="BH240" s="11" t="str">
        <f>IF(BB240="","unknown",BB240)</f>
        <v>NO</v>
      </c>
      <c r="BI240" s="11" t="str">
        <f>IF(BC240="","Unknon",BC240)</f>
        <v>NO</v>
      </c>
      <c r="BJ240" s="11" t="str">
        <f>IF(BD240="","Unknown",BD240)</f>
        <v>NO</v>
      </c>
      <c r="BK240" s="11">
        <f>VALUE(C240)-VALUE(D240)</f>
        <v>37</v>
      </c>
      <c r="BM240" s="11"/>
    </row>
    <row r="241" hidden="1" spans="1:56">
      <c r="A241">
        <v>240</v>
      </c>
      <c r="B241" t="s">
        <v>259</v>
      </c>
      <c r="C241">
        <v>2022</v>
      </c>
      <c r="D241">
        <v>1979</v>
      </c>
      <c r="E241">
        <v>2004</v>
      </c>
      <c r="F241" t="s">
        <v>256</v>
      </c>
      <c r="G241" t="s">
        <v>257</v>
      </c>
      <c r="H241" t="s">
        <v>274</v>
      </c>
      <c r="I241"/>
      <c r="J241" t="s">
        <v>252</v>
      </c>
      <c r="K241" t="b">
        <v>0</v>
      </c>
      <c r="L241" t="b">
        <v>0</v>
      </c>
      <c r="M241" t="b">
        <v>0</v>
      </c>
      <c r="N241" t="b">
        <v>0</v>
      </c>
      <c r="O241" t="b">
        <v>0</v>
      </c>
      <c r="P241" t="b">
        <v>0</v>
      </c>
      <c r="Q241" t="b">
        <v>0</v>
      </c>
      <c r="R241" t="b">
        <v>0</v>
      </c>
      <c r="S241" t="b">
        <v>0</v>
      </c>
      <c r="T241" t="b">
        <v>0</v>
      </c>
      <c r="U241" t="b">
        <v>0</v>
      </c>
      <c r="V241" t="b">
        <v>0</v>
      </c>
      <c r="W241" t="b">
        <v>0</v>
      </c>
      <c r="X241" t="b">
        <v>0</v>
      </c>
      <c r="Y241" t="b">
        <v>0</v>
      </c>
      <c r="Z241" t="b">
        <v>1</v>
      </c>
      <c r="AA241" t="b">
        <v>0</v>
      </c>
      <c r="AB241" t="b">
        <v>0</v>
      </c>
      <c r="AC241" t="s">
        <v>171</v>
      </c>
      <c r="AD241" t="s">
        <v>175</v>
      </c>
      <c r="AE241" t="s">
        <v>173</v>
      </c>
      <c r="AF241" t="s">
        <v>173</v>
      </c>
      <c r="AG241" t="s">
        <v>177</v>
      </c>
      <c r="AH241" t="s">
        <v>179</v>
      </c>
      <c r="AI241" t="s">
        <v>175</v>
      </c>
      <c r="AJ241" t="s">
        <v>173</v>
      </c>
      <c r="AK241" t="s">
        <v>173</v>
      </c>
      <c r="AL241" t="s">
        <v>173</v>
      </c>
      <c r="AM241" t="s">
        <v>173</v>
      </c>
      <c r="AN241" t="s">
        <v>173</v>
      </c>
      <c r="AO241" t="s">
        <v>175</v>
      </c>
      <c r="AP241" t="s">
        <v>175</v>
      </c>
      <c r="AQ241" t="s">
        <v>175</v>
      </c>
      <c r="AR241" t="s">
        <v>177</v>
      </c>
      <c r="AS241" t="s">
        <v>177</v>
      </c>
      <c r="AT241" t="s">
        <v>173</v>
      </c>
      <c r="AU241" t="s">
        <v>173</v>
      </c>
      <c r="AV241" t="s">
        <v>177</v>
      </c>
      <c r="AW241" t="s">
        <v>173</v>
      </c>
      <c r="AX241" t="s">
        <v>192</v>
      </c>
      <c r="AY241" t="s">
        <v>195</v>
      </c>
      <c r="AZ241" t="s">
        <v>183</v>
      </c>
      <c r="BA241" t="s">
        <v>183</v>
      </c>
      <c r="BB241" t="s">
        <v>183</v>
      </c>
      <c r="BC241" t="s">
        <v>183</v>
      </c>
      <c r="BD241" t="s">
        <v>183</v>
      </c>
    </row>
    <row r="242" hidden="1" spans="1:56">
      <c r="A242">
        <v>241</v>
      </c>
      <c r="B242" t="s">
        <v>259</v>
      </c>
      <c r="C242">
        <v>2023</v>
      </c>
      <c r="D242">
        <v>1979</v>
      </c>
      <c r="E242">
        <v>2010</v>
      </c>
      <c r="F242" t="s">
        <v>292</v>
      </c>
      <c r="G242"/>
      <c r="H242" t="s">
        <v>250</v>
      </c>
      <c r="I242" t="s">
        <v>254</v>
      </c>
      <c r="J242" t="s">
        <v>252</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1</v>
      </c>
      <c r="AC242" t="s">
        <v>173</v>
      </c>
      <c r="AD242" t="s">
        <v>173</v>
      </c>
      <c r="AE242" t="s">
        <v>173</v>
      </c>
      <c r="AF242" t="s">
        <v>175</v>
      </c>
      <c r="AG242" t="s">
        <v>173</v>
      </c>
      <c r="AH242" t="s">
        <v>175</v>
      </c>
      <c r="AI242" t="s">
        <v>173</v>
      </c>
      <c r="AJ242" t="s">
        <v>177</v>
      </c>
      <c r="AK242" t="s">
        <v>173</v>
      </c>
      <c r="AL242" t="s">
        <v>175</v>
      </c>
      <c r="AM242" t="s">
        <v>173</v>
      </c>
      <c r="AN242" t="s">
        <v>171</v>
      </c>
      <c r="AO242" t="s">
        <v>175</v>
      </c>
      <c r="AP242" t="s">
        <v>173</v>
      </c>
      <c r="AQ242" t="s">
        <v>173</v>
      </c>
      <c r="AR242" t="s">
        <v>173</v>
      </c>
      <c r="AS242" t="s">
        <v>175</v>
      </c>
      <c r="AT242" t="s">
        <v>181</v>
      </c>
      <c r="AU242" t="s">
        <v>173</v>
      </c>
      <c r="AV242" t="s">
        <v>177</v>
      </c>
      <c r="AW242" t="s">
        <v>173</v>
      </c>
      <c r="AX242" t="s">
        <v>192</v>
      </c>
      <c r="AY242" t="s">
        <v>195</v>
      </c>
      <c r="AZ242" t="s">
        <v>183</v>
      </c>
      <c r="BA242" t="s">
        <v>183</v>
      </c>
      <c r="BB242" t="s">
        <v>183</v>
      </c>
      <c r="BC242" t="s">
        <v>183</v>
      </c>
      <c r="BD242" t="s">
        <v>183</v>
      </c>
    </row>
    <row r="243" hidden="1" spans="1:56">
      <c r="A243">
        <v>242</v>
      </c>
      <c r="B243" t="s">
        <v>280</v>
      </c>
      <c r="C243">
        <v>2022</v>
      </c>
      <c r="D243">
        <v>2002</v>
      </c>
      <c r="E243">
        <v>2002</v>
      </c>
      <c r="F243" t="s">
        <v>253</v>
      </c>
      <c r="G243"/>
      <c r="H243" t="s">
        <v>261</v>
      </c>
      <c r="I243" t="s">
        <v>308</v>
      </c>
      <c r="J243" t="s">
        <v>252</v>
      </c>
      <c r="K243" t="b">
        <v>0</v>
      </c>
      <c r="L243" t="b">
        <v>0</v>
      </c>
      <c r="M243" t="b">
        <v>0</v>
      </c>
      <c r="N243" t="b">
        <v>0</v>
      </c>
      <c r="O243" t="b">
        <v>0</v>
      </c>
      <c r="P243" t="b">
        <v>0</v>
      </c>
      <c r="Q243" t="b">
        <v>0</v>
      </c>
      <c r="R243" t="b">
        <v>0</v>
      </c>
      <c r="S243" t="b">
        <v>0</v>
      </c>
      <c r="T243" t="b">
        <v>0</v>
      </c>
      <c r="U243" t="b">
        <v>0</v>
      </c>
      <c r="V243" t="b">
        <v>0</v>
      </c>
      <c r="W243" t="b">
        <v>0</v>
      </c>
      <c r="X243" t="b">
        <v>1</v>
      </c>
      <c r="Y243" t="b">
        <v>0</v>
      </c>
      <c r="Z243" t="b">
        <v>0</v>
      </c>
      <c r="AA243" t="b">
        <v>0</v>
      </c>
      <c r="AB243" t="b">
        <v>0</v>
      </c>
      <c r="AC243" t="s">
        <v>179</v>
      </c>
      <c r="AD243" t="s">
        <v>179</v>
      </c>
      <c r="AE243" t="s">
        <v>179</v>
      </c>
      <c r="AF243" t="s">
        <v>179</v>
      </c>
      <c r="AG243" t="s">
        <v>177</v>
      </c>
      <c r="AH243" t="s">
        <v>175</v>
      </c>
      <c r="AI243" t="s">
        <v>177</v>
      </c>
      <c r="AJ243" t="s">
        <v>179</v>
      </c>
      <c r="AK243" t="s">
        <v>179</v>
      </c>
      <c r="AL243" t="s">
        <v>179</v>
      </c>
      <c r="AM243" t="s">
        <v>179</v>
      </c>
      <c r="AN243" t="s">
        <v>179</v>
      </c>
      <c r="AO243" t="s">
        <v>179</v>
      </c>
      <c r="AP243" t="s">
        <v>179</v>
      </c>
      <c r="AQ243" t="s">
        <v>179</v>
      </c>
      <c r="AR243" t="s">
        <v>179</v>
      </c>
      <c r="AS243" t="s">
        <v>179</v>
      </c>
      <c r="AT243" t="s">
        <v>179</v>
      </c>
      <c r="AU243" t="s">
        <v>179</v>
      </c>
      <c r="AV243" t="s">
        <v>179</v>
      </c>
      <c r="AW243" t="s">
        <v>173</v>
      </c>
      <c r="AX243" t="s">
        <v>193</v>
      </c>
      <c r="AY243" t="s">
        <v>196</v>
      </c>
      <c r="AZ243" t="s">
        <v>183</v>
      </c>
      <c r="BA243" t="s">
        <v>183</v>
      </c>
      <c r="BB243" t="s">
        <v>183</v>
      </c>
      <c r="BC243" t="s">
        <v>208</v>
      </c>
      <c r="BD243" t="s">
        <v>183</v>
      </c>
    </row>
    <row r="244" hidden="1" spans="1:56">
      <c r="A244">
        <v>243</v>
      </c>
      <c r="B244" t="s">
        <v>259</v>
      </c>
      <c r="C244">
        <v>2023</v>
      </c>
      <c r="D244">
        <v>1989</v>
      </c>
      <c r="E244">
        <v>2004</v>
      </c>
      <c r="F244" t="s">
        <v>248</v>
      </c>
      <c r="G244" t="s">
        <v>242</v>
      </c>
      <c r="H244" t="s">
        <v>274</v>
      </c>
      <c r="I244"/>
      <c r="J244" t="s">
        <v>252</v>
      </c>
      <c r="K244" t="b">
        <v>0</v>
      </c>
      <c r="L244" t="b">
        <v>0</v>
      </c>
      <c r="M244" t="b">
        <v>0</v>
      </c>
      <c r="N244" t="b">
        <v>0</v>
      </c>
      <c r="O244" t="b">
        <v>0</v>
      </c>
      <c r="P244" t="b">
        <v>0</v>
      </c>
      <c r="Q244" t="b">
        <v>0</v>
      </c>
      <c r="R244" t="b">
        <v>0</v>
      </c>
      <c r="S244" t="b">
        <v>0</v>
      </c>
      <c r="T244" t="b">
        <v>0</v>
      </c>
      <c r="U244" t="b">
        <v>0</v>
      </c>
      <c r="V244" t="b">
        <v>0</v>
      </c>
      <c r="W244" t="b">
        <v>0</v>
      </c>
      <c r="X244" t="b">
        <v>0</v>
      </c>
      <c r="Y244" t="b">
        <v>0</v>
      </c>
      <c r="Z244" t="b">
        <v>1</v>
      </c>
      <c r="AA244" t="b">
        <v>0</v>
      </c>
      <c r="AB244" t="b">
        <v>0</v>
      </c>
      <c r="AC244" t="s">
        <v>173</v>
      </c>
      <c r="AD244" t="s">
        <v>175</v>
      </c>
      <c r="AE244" t="s">
        <v>175</v>
      </c>
      <c r="AF244" t="s">
        <v>173</v>
      </c>
      <c r="AG244" t="s">
        <v>175</v>
      </c>
      <c r="AH244" t="s">
        <v>173</v>
      </c>
      <c r="AI244" t="s">
        <v>177</v>
      </c>
      <c r="AJ244" t="s">
        <v>175</v>
      </c>
      <c r="AK244" t="s">
        <v>175</v>
      </c>
      <c r="AL244" t="s">
        <v>173</v>
      </c>
      <c r="AM244" t="s">
        <v>173</v>
      </c>
      <c r="AN244" t="s">
        <v>175</v>
      </c>
      <c r="AO244" t="s">
        <v>177</v>
      </c>
      <c r="AP244" t="s">
        <v>177</v>
      </c>
      <c r="AQ244" t="s">
        <v>175</v>
      </c>
      <c r="AR244" t="s">
        <v>173</v>
      </c>
      <c r="AS244" t="s">
        <v>173</v>
      </c>
      <c r="AT244" t="s">
        <v>173</v>
      </c>
      <c r="AU244" t="s">
        <v>173</v>
      </c>
      <c r="AV244" t="s">
        <v>173</v>
      </c>
      <c r="AW244" t="s">
        <v>173</v>
      </c>
      <c r="AX244" t="s">
        <v>193</v>
      </c>
      <c r="AY244" t="s">
        <v>197</v>
      </c>
      <c r="AZ244" t="s">
        <v>183</v>
      </c>
      <c r="BA244" t="s">
        <v>183</v>
      </c>
      <c r="BB244" t="s">
        <v>183</v>
      </c>
      <c r="BC244" t="s">
        <v>183</v>
      </c>
      <c r="BD244" t="s">
        <v>183</v>
      </c>
    </row>
    <row r="245" hidden="1" spans="1:56">
      <c r="A245">
        <v>244</v>
      </c>
      <c r="B245" t="s">
        <v>259</v>
      </c>
      <c r="C245">
        <v>2022</v>
      </c>
      <c r="D245">
        <v>1990</v>
      </c>
      <c r="E245">
        <v>1990</v>
      </c>
      <c r="F245" t="s">
        <v>266</v>
      </c>
      <c r="G245"/>
      <c r="H245" t="s">
        <v>258</v>
      </c>
      <c r="I245" t="s">
        <v>309</v>
      </c>
      <c r="J245" t="s">
        <v>265</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1</v>
      </c>
      <c r="AC245" t="s">
        <v>173</v>
      </c>
      <c r="AD245" t="s">
        <v>173</v>
      </c>
      <c r="AE245" t="s">
        <v>173</v>
      </c>
      <c r="AF245" t="s">
        <v>173</v>
      </c>
      <c r="AG245" t="s">
        <v>173</v>
      </c>
      <c r="AH245" t="s">
        <v>173</v>
      </c>
      <c r="AI245" t="s">
        <v>173</v>
      </c>
      <c r="AJ245" t="s">
        <v>173</v>
      </c>
      <c r="AK245" t="s">
        <v>173</v>
      </c>
      <c r="AL245" t="s">
        <v>173</v>
      </c>
      <c r="AM245" t="s">
        <v>173</v>
      </c>
      <c r="AN245" t="s">
        <v>181</v>
      </c>
      <c r="AO245" t="s">
        <v>181</v>
      </c>
      <c r="AP245" t="s">
        <v>181</v>
      </c>
      <c r="AQ245" t="s">
        <v>173</v>
      </c>
      <c r="AR245" t="s">
        <v>173</v>
      </c>
      <c r="AS245" t="s">
        <v>173</v>
      </c>
      <c r="AT245" t="s">
        <v>173</v>
      </c>
      <c r="AU245" t="s">
        <v>173</v>
      </c>
      <c r="AV245" t="s">
        <v>173</v>
      </c>
      <c r="AW245" t="s">
        <v>181</v>
      </c>
      <c r="AX245" t="s">
        <v>192</v>
      </c>
      <c r="AY245" t="s">
        <v>195</v>
      </c>
      <c r="AZ245" t="s">
        <v>183</v>
      </c>
      <c r="BA245" t="s">
        <v>183</v>
      </c>
      <c r="BB245" t="s">
        <v>183</v>
      </c>
      <c r="BC245" t="s">
        <v>183</v>
      </c>
      <c r="BD245" t="s">
        <v>183</v>
      </c>
    </row>
    <row r="246" hidden="1" spans="1:56">
      <c r="A246">
        <v>245</v>
      </c>
      <c r="B246" t="s">
        <v>246</v>
      </c>
      <c r="C246">
        <v>2022</v>
      </c>
      <c r="D246">
        <v>1976</v>
      </c>
      <c r="E246" t="s">
        <v>247</v>
      </c>
      <c r="F246" t="s">
        <v>248</v>
      </c>
      <c r="G246" t="s">
        <v>249</v>
      </c>
      <c r="H246" t="s">
        <v>267</v>
      </c>
      <c r="I246"/>
      <c r="J246" t="s">
        <v>252</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1</v>
      </c>
      <c r="AC246" t="s">
        <v>175</v>
      </c>
      <c r="AD246" t="s">
        <v>173</v>
      </c>
      <c r="AE246" t="s">
        <v>173</v>
      </c>
      <c r="AF246" t="s">
        <v>173</v>
      </c>
      <c r="AG246" t="s">
        <v>173</v>
      </c>
      <c r="AH246" t="s">
        <v>173</v>
      </c>
      <c r="AI246" t="s">
        <v>173</v>
      </c>
      <c r="AJ246" t="s">
        <v>173</v>
      </c>
      <c r="AK246" t="s">
        <v>173</v>
      </c>
      <c r="AL246" t="s">
        <v>173</v>
      </c>
      <c r="AM246" t="s">
        <v>179</v>
      </c>
      <c r="AN246" t="s">
        <v>173</v>
      </c>
      <c r="AO246" t="s">
        <v>173</v>
      </c>
      <c r="AP246" t="s">
        <v>173</v>
      </c>
      <c r="AQ246" t="s">
        <v>175</v>
      </c>
      <c r="AR246" t="s">
        <v>173</v>
      </c>
      <c r="AS246" t="s">
        <v>173</v>
      </c>
      <c r="AT246" t="s">
        <v>173</v>
      </c>
      <c r="AU246" t="s">
        <v>173</v>
      </c>
      <c r="AV246" t="s">
        <v>173</v>
      </c>
      <c r="AW246" t="s">
        <v>173</v>
      </c>
      <c r="AX246" t="s">
        <v>192</v>
      </c>
      <c r="AY246" t="s">
        <v>195</v>
      </c>
      <c r="AZ246" t="s">
        <v>183</v>
      </c>
      <c r="BA246" t="s">
        <v>183</v>
      </c>
      <c r="BB246" t="s">
        <v>183</v>
      </c>
      <c r="BC246" t="s">
        <v>183</v>
      </c>
      <c r="BD246" t="s">
        <v>183</v>
      </c>
    </row>
    <row r="247" hidden="1" spans="1:56">
      <c r="A247">
        <v>246</v>
      </c>
      <c r="B247" t="s">
        <v>246</v>
      </c>
      <c r="C247">
        <v>2022</v>
      </c>
      <c r="D247">
        <v>1999</v>
      </c>
      <c r="E247">
        <v>2001</v>
      </c>
      <c r="F247" t="s">
        <v>248</v>
      </c>
      <c r="G247" t="s">
        <v>242</v>
      </c>
      <c r="H247" t="s">
        <v>258</v>
      </c>
      <c r="I247"/>
      <c r="J247" t="s">
        <v>265</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1</v>
      </c>
      <c r="AC247" t="s">
        <v>173</v>
      </c>
      <c r="AD247" t="s">
        <v>173</v>
      </c>
      <c r="AE247" t="s">
        <v>173</v>
      </c>
      <c r="AF247" t="s">
        <v>173</v>
      </c>
      <c r="AG247" t="s">
        <v>173</v>
      </c>
      <c r="AH247" t="s">
        <v>173</v>
      </c>
      <c r="AI247" t="s">
        <v>173</v>
      </c>
      <c r="AJ247" t="s">
        <v>173</v>
      </c>
      <c r="AK247" t="s">
        <v>173</v>
      </c>
      <c r="AL247" t="s">
        <v>173</v>
      </c>
      <c r="AM247" t="s">
        <v>173</v>
      </c>
      <c r="AN247" t="s">
        <v>173</v>
      </c>
      <c r="AO247" t="s">
        <v>175</v>
      </c>
      <c r="AP247" t="s">
        <v>175</v>
      </c>
      <c r="AQ247" t="s">
        <v>173</v>
      </c>
      <c r="AR247" t="s">
        <v>175</v>
      </c>
      <c r="AS247" t="s">
        <v>173</v>
      </c>
      <c r="AT247" t="s">
        <v>175</v>
      </c>
      <c r="AU247" t="s">
        <v>175</v>
      </c>
      <c r="AV247" t="s">
        <v>173</v>
      </c>
      <c r="AW247" t="s">
        <v>173</v>
      </c>
      <c r="AX247" t="s">
        <v>192</v>
      </c>
      <c r="AY247" t="s">
        <v>195</v>
      </c>
      <c r="AZ247" t="s">
        <v>183</v>
      </c>
      <c r="BA247" t="s">
        <v>183</v>
      </c>
      <c r="BB247" t="s">
        <v>183</v>
      </c>
      <c r="BC247" t="s">
        <v>183</v>
      </c>
      <c r="BD247" t="s">
        <v>183</v>
      </c>
    </row>
    <row r="248" hidden="1" spans="1:56">
      <c r="A248">
        <v>247</v>
      </c>
      <c r="B248" t="s">
        <v>246</v>
      </c>
      <c r="C248">
        <v>2022</v>
      </c>
      <c r="D248">
        <v>1984</v>
      </c>
      <c r="E248">
        <v>1997</v>
      </c>
      <c r="F248" t="s">
        <v>248</v>
      </c>
      <c r="G248" t="s">
        <v>242</v>
      </c>
      <c r="H248" t="s">
        <v>261</v>
      </c>
      <c r="I248"/>
      <c r="J248" t="s">
        <v>252</v>
      </c>
      <c r="K248" t="b">
        <v>0</v>
      </c>
      <c r="L248" t="b">
        <v>0</v>
      </c>
      <c r="M248" t="b">
        <v>0</v>
      </c>
      <c r="N248" t="b">
        <v>0</v>
      </c>
      <c r="O248" t="b">
        <v>0</v>
      </c>
      <c r="P248" t="b">
        <v>0</v>
      </c>
      <c r="Q248" t="b">
        <v>0</v>
      </c>
      <c r="R248" t="b">
        <v>0</v>
      </c>
      <c r="S248" t="b">
        <v>0</v>
      </c>
      <c r="T248" t="b">
        <v>0</v>
      </c>
      <c r="U248" t="b">
        <v>0</v>
      </c>
      <c r="V248" t="b">
        <v>0</v>
      </c>
      <c r="W248" t="b">
        <v>0</v>
      </c>
      <c r="X248" t="b">
        <v>0</v>
      </c>
      <c r="Y248" t="b">
        <v>0</v>
      </c>
      <c r="Z248" t="b">
        <v>1</v>
      </c>
      <c r="AA248" t="b">
        <v>0</v>
      </c>
      <c r="AB248" t="b">
        <v>0</v>
      </c>
      <c r="AC248" t="s">
        <v>173</v>
      </c>
      <c r="AD248" t="s">
        <v>175</v>
      </c>
      <c r="AE248" t="s">
        <v>171</v>
      </c>
      <c r="AF248" t="s">
        <v>175</v>
      </c>
      <c r="AG248" t="s">
        <v>173</v>
      </c>
      <c r="AH248" t="s">
        <v>173</v>
      </c>
      <c r="AI248" t="s">
        <v>173</v>
      </c>
      <c r="AJ248" t="s">
        <v>173</v>
      </c>
      <c r="AK248" t="s">
        <v>173</v>
      </c>
      <c r="AL248" t="s">
        <v>173</v>
      </c>
      <c r="AM248" t="s">
        <v>173</v>
      </c>
      <c r="AN248" t="s">
        <v>177</v>
      </c>
      <c r="AO248" t="s">
        <v>173</v>
      </c>
      <c r="AP248" t="s">
        <v>173</v>
      </c>
      <c r="AQ248" t="s">
        <v>173</v>
      </c>
      <c r="AR248" t="s">
        <v>173</v>
      </c>
      <c r="AS248" t="s">
        <v>173</v>
      </c>
      <c r="AT248" t="s">
        <v>173</v>
      </c>
      <c r="AU248" t="s">
        <v>173</v>
      </c>
      <c r="AV248" t="s">
        <v>173</v>
      </c>
      <c r="AW248" t="s">
        <v>175</v>
      </c>
      <c r="AX248" t="s">
        <v>192</v>
      </c>
      <c r="AY248" t="s">
        <v>197</v>
      </c>
      <c r="AZ248" t="s">
        <v>183</v>
      </c>
      <c r="BA248" t="s">
        <v>183</v>
      </c>
      <c r="BB248" t="s">
        <v>183</v>
      </c>
      <c r="BC248" t="s">
        <v>183</v>
      </c>
      <c r="BD248" t="s">
        <v>208</v>
      </c>
    </row>
    <row r="249" hidden="1" spans="1:56">
      <c r="A249">
        <v>248</v>
      </c>
      <c r="B249" t="s">
        <v>272</v>
      </c>
      <c r="C249">
        <v>2023</v>
      </c>
      <c r="D249">
        <v>2016</v>
      </c>
      <c r="E249">
        <v>2016</v>
      </c>
      <c r="F249" t="s">
        <v>310</v>
      </c>
      <c r="G249" t="s">
        <v>298</v>
      </c>
      <c r="H249" t="s">
        <v>261</v>
      </c>
      <c r="I249"/>
      <c r="J249" t="s">
        <v>252</v>
      </c>
      <c r="K249" t="b">
        <v>0</v>
      </c>
      <c r="L249" t="b">
        <v>0</v>
      </c>
      <c r="M249" t="b">
        <v>0</v>
      </c>
      <c r="N249" t="b">
        <v>0</v>
      </c>
      <c r="O249" t="b">
        <v>0</v>
      </c>
      <c r="P249" t="b">
        <v>0</v>
      </c>
      <c r="Q249" t="b">
        <v>0</v>
      </c>
      <c r="R249" t="b">
        <v>0</v>
      </c>
      <c r="S249" t="b">
        <v>0</v>
      </c>
      <c r="T249" t="b">
        <v>0</v>
      </c>
      <c r="U249" t="b">
        <v>0</v>
      </c>
      <c r="V249" t="b">
        <v>1</v>
      </c>
      <c r="W249" t="b">
        <v>1</v>
      </c>
      <c r="X249" t="b">
        <v>0</v>
      </c>
      <c r="Y249" t="b">
        <v>0</v>
      </c>
      <c r="Z249" t="b">
        <v>0</v>
      </c>
      <c r="AA249" t="b">
        <v>0</v>
      </c>
      <c r="AB249" t="b">
        <v>0</v>
      </c>
      <c r="AC249" t="s">
        <v>173</v>
      </c>
      <c r="AD249" t="s">
        <v>177</v>
      </c>
      <c r="AE249" t="s">
        <v>177</v>
      </c>
      <c r="AF249" t="s">
        <v>173</v>
      </c>
      <c r="AG249" t="s">
        <v>173</v>
      </c>
      <c r="AH249" t="s">
        <v>175</v>
      </c>
      <c r="AI249" t="s">
        <v>173</v>
      </c>
      <c r="AJ249" t="s">
        <v>173</v>
      </c>
      <c r="AK249" t="s">
        <v>173</v>
      </c>
      <c r="AL249" t="s">
        <v>173</v>
      </c>
      <c r="AM249" t="s">
        <v>173</v>
      </c>
      <c r="AN249" t="s">
        <v>173</v>
      </c>
      <c r="AO249" t="s">
        <v>173</v>
      </c>
      <c r="AP249" t="s">
        <v>173</v>
      </c>
      <c r="AQ249" t="s">
        <v>173</v>
      </c>
      <c r="AR249" t="s">
        <v>173</v>
      </c>
      <c r="AS249" t="s">
        <v>173</v>
      </c>
      <c r="AT249" t="s">
        <v>173</v>
      </c>
      <c r="AU249" t="s">
        <v>173</v>
      </c>
      <c r="AV249" t="s">
        <v>173</v>
      </c>
      <c r="AW249" t="s">
        <v>175</v>
      </c>
      <c r="AX249" t="s">
        <v>192</v>
      </c>
      <c r="AY249" t="s">
        <v>200</v>
      </c>
      <c r="AZ249" t="s">
        <v>183</v>
      </c>
      <c r="BA249" t="s">
        <v>183</v>
      </c>
      <c r="BB249" t="s">
        <v>183</v>
      </c>
      <c r="BC249" t="s">
        <v>183</v>
      </c>
      <c r="BD249" t="s">
        <v>183</v>
      </c>
    </row>
    <row r="250" hidden="1" spans="1:56">
      <c r="A250">
        <v>249</v>
      </c>
      <c r="B250" t="s">
        <v>272</v>
      </c>
      <c r="C250">
        <v>2022</v>
      </c>
      <c r="D250">
        <v>2020</v>
      </c>
      <c r="E250">
        <v>2020</v>
      </c>
      <c r="F250" t="s">
        <v>256</v>
      </c>
      <c r="G250" t="s">
        <v>257</v>
      </c>
      <c r="H250" t="s">
        <v>273</v>
      </c>
      <c r="I250"/>
      <c r="J250" t="s">
        <v>290</v>
      </c>
      <c r="K250" t="b">
        <v>0</v>
      </c>
      <c r="L250" t="b">
        <v>0</v>
      </c>
      <c r="M250" t="b">
        <v>0</v>
      </c>
      <c r="N250" t="b">
        <v>0</v>
      </c>
      <c r="O250" t="b">
        <v>0</v>
      </c>
      <c r="P250" t="b">
        <v>0</v>
      </c>
      <c r="Q250" t="b">
        <v>0</v>
      </c>
      <c r="R250" t="b">
        <v>0</v>
      </c>
      <c r="S250" t="b">
        <v>0</v>
      </c>
      <c r="T250" t="b">
        <v>0</v>
      </c>
      <c r="U250" t="b">
        <v>0</v>
      </c>
      <c r="V250" t="b">
        <v>1</v>
      </c>
      <c r="W250" t="b">
        <v>0</v>
      </c>
      <c r="X250" t="b">
        <v>0</v>
      </c>
      <c r="Y250" t="b">
        <v>0</v>
      </c>
      <c r="Z250" t="b">
        <v>0</v>
      </c>
      <c r="AA250" t="b">
        <v>0</v>
      </c>
      <c r="AB250" t="b">
        <v>0</v>
      </c>
      <c r="AC250" t="s">
        <v>173</v>
      </c>
      <c r="AD250" t="s">
        <v>179</v>
      </c>
      <c r="AE250" t="s">
        <v>177</v>
      </c>
      <c r="AF250" t="s">
        <v>171</v>
      </c>
      <c r="AG250" t="s">
        <v>171</v>
      </c>
      <c r="AH250" t="s">
        <v>175</v>
      </c>
      <c r="AI250" t="s">
        <v>171</v>
      </c>
      <c r="AJ250" t="s">
        <v>171</v>
      </c>
      <c r="AK250" t="s">
        <v>173</v>
      </c>
      <c r="AL250" t="s">
        <v>171</v>
      </c>
      <c r="AM250" t="s">
        <v>171</v>
      </c>
      <c r="AN250" t="s">
        <v>171</v>
      </c>
      <c r="AO250" t="s">
        <v>171</v>
      </c>
      <c r="AP250" t="s">
        <v>171</v>
      </c>
      <c r="AQ250" t="s">
        <v>171</v>
      </c>
      <c r="AR250" t="s">
        <v>175</v>
      </c>
      <c r="AS250" t="s">
        <v>171</v>
      </c>
      <c r="AT250" t="s">
        <v>173</v>
      </c>
      <c r="AU250" t="s">
        <v>175</v>
      </c>
      <c r="AV250" t="s">
        <v>173</v>
      </c>
      <c r="AW250" t="s">
        <v>175</v>
      </c>
      <c r="AX250" t="s">
        <v>193</v>
      </c>
      <c r="AY250" t="s">
        <v>203</v>
      </c>
      <c r="AZ250" t="s">
        <v>183</v>
      </c>
      <c r="BA250" t="s">
        <v>183</v>
      </c>
      <c r="BB250" t="s">
        <v>183</v>
      </c>
      <c r="BC250" t="s">
        <v>183</v>
      </c>
      <c r="BD250" t="s">
        <v>183</v>
      </c>
    </row>
    <row r="251" hidden="1" spans="1:56">
      <c r="A251">
        <v>250</v>
      </c>
      <c r="B251" t="s">
        <v>288</v>
      </c>
      <c r="C251">
        <v>2022</v>
      </c>
      <c r="D251">
        <v>2020</v>
      </c>
      <c r="E251">
        <v>2021</v>
      </c>
      <c r="F251" t="s">
        <v>266</v>
      </c>
      <c r="G251"/>
      <c r="H251" t="s">
        <v>258</v>
      </c>
      <c r="I251"/>
      <c r="J251" t="s">
        <v>252</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1</v>
      </c>
      <c r="AC251" t="s">
        <v>173</v>
      </c>
      <c r="AD251" t="s">
        <v>177</v>
      </c>
      <c r="AE251" t="s">
        <v>173</v>
      </c>
      <c r="AF251" t="s">
        <v>175</v>
      </c>
      <c r="AG251" t="s">
        <v>173</v>
      </c>
      <c r="AH251" t="s">
        <v>173</v>
      </c>
      <c r="AI251" t="s">
        <v>173</v>
      </c>
      <c r="AJ251" t="s">
        <v>173</v>
      </c>
      <c r="AK251" t="s">
        <v>173</v>
      </c>
      <c r="AL251" t="s">
        <v>173</v>
      </c>
      <c r="AM251" t="s">
        <v>173</v>
      </c>
      <c r="AN251" t="s">
        <v>175</v>
      </c>
      <c r="AO251" t="s">
        <v>175</v>
      </c>
      <c r="AP251" t="s">
        <v>175</v>
      </c>
      <c r="AQ251" t="s">
        <v>175</v>
      </c>
      <c r="AR251" t="s">
        <v>173</v>
      </c>
      <c r="AS251" t="s">
        <v>173</v>
      </c>
      <c r="AT251" t="s">
        <v>173</v>
      </c>
      <c r="AU251" t="s">
        <v>175</v>
      </c>
      <c r="AV251" t="s">
        <v>173</v>
      </c>
      <c r="AW251" t="s">
        <v>173</v>
      </c>
      <c r="AX251" t="s">
        <v>192</v>
      </c>
      <c r="AY251" t="s">
        <v>198</v>
      </c>
      <c r="AZ251" t="s">
        <v>208</v>
      </c>
      <c r="BA251" t="s">
        <v>183</v>
      </c>
      <c r="BB251" t="s">
        <v>183</v>
      </c>
      <c r="BC251" t="s">
        <v>183</v>
      </c>
      <c r="BD251" t="s">
        <v>183</v>
      </c>
    </row>
    <row r="252" hidden="1" spans="1:56">
      <c r="A252">
        <v>251</v>
      </c>
      <c r="B252" t="s">
        <v>255</v>
      </c>
      <c r="C252">
        <v>2023</v>
      </c>
      <c r="D252">
        <v>2015</v>
      </c>
      <c r="E252">
        <v>2015</v>
      </c>
      <c r="F252" t="s">
        <v>256</v>
      </c>
      <c r="G252" t="s">
        <v>257</v>
      </c>
      <c r="H252" t="s">
        <v>247</v>
      </c>
      <c r="I252"/>
      <c r="J252" t="s">
        <v>252</v>
      </c>
      <c r="K252" t="b">
        <v>0</v>
      </c>
      <c r="L252" t="b">
        <v>0</v>
      </c>
      <c r="M252" t="b">
        <v>0</v>
      </c>
      <c r="N252" t="b">
        <v>0</v>
      </c>
      <c r="O252" t="b">
        <v>0</v>
      </c>
      <c r="P252" t="b">
        <v>0</v>
      </c>
      <c r="Q252" t="b">
        <v>0</v>
      </c>
      <c r="R252" t="b">
        <v>0</v>
      </c>
      <c r="S252" t="b">
        <v>1</v>
      </c>
      <c r="T252" t="b">
        <v>0</v>
      </c>
      <c r="U252" t="b">
        <v>0</v>
      </c>
      <c r="V252" t="b">
        <v>0</v>
      </c>
      <c r="W252" t="b">
        <v>1</v>
      </c>
      <c r="X252" t="b">
        <v>0</v>
      </c>
      <c r="Y252" t="b">
        <v>0</v>
      </c>
      <c r="Z252" t="b">
        <v>0</v>
      </c>
      <c r="AA252" t="b">
        <v>0</v>
      </c>
      <c r="AB252" t="b">
        <v>0</v>
      </c>
      <c r="AC252" t="s">
        <v>171</v>
      </c>
      <c r="AD252" t="s">
        <v>173</v>
      </c>
      <c r="AE252" t="s">
        <v>177</v>
      </c>
      <c r="AF252" t="s">
        <v>173</v>
      </c>
      <c r="AG252" t="s">
        <v>171</v>
      </c>
      <c r="AH252" t="s">
        <v>173</v>
      </c>
      <c r="AI252" t="s">
        <v>173</v>
      </c>
      <c r="AJ252" t="s">
        <v>171</v>
      </c>
      <c r="AK252" t="s">
        <v>171</v>
      </c>
      <c r="AL252" t="s">
        <v>171</v>
      </c>
      <c r="AM252" t="s">
        <v>171</v>
      </c>
      <c r="AN252" t="s">
        <v>171</v>
      </c>
      <c r="AO252" t="s">
        <v>173</v>
      </c>
      <c r="AP252" t="s">
        <v>173</v>
      </c>
      <c r="AQ252" t="s">
        <v>173</v>
      </c>
      <c r="AR252" t="s">
        <v>173</v>
      </c>
      <c r="AS252" t="s">
        <v>173</v>
      </c>
      <c r="AT252" t="s">
        <v>173</v>
      </c>
      <c r="AU252" t="s">
        <v>173</v>
      </c>
      <c r="AV252" t="s">
        <v>175</v>
      </c>
      <c r="AW252" t="s">
        <v>171</v>
      </c>
      <c r="AX252" t="s">
        <v>193</v>
      </c>
      <c r="AY252" t="s">
        <v>200</v>
      </c>
      <c r="AZ252" t="s">
        <v>183</v>
      </c>
      <c r="BA252" t="s">
        <v>183</v>
      </c>
      <c r="BB252" t="s">
        <v>183</v>
      </c>
      <c r="BC252" t="s">
        <v>183</v>
      </c>
      <c r="BD252" t="s">
        <v>183</v>
      </c>
    </row>
    <row r="253" hidden="1" spans="1:56">
      <c r="A253">
        <v>252</v>
      </c>
      <c r="B253" t="s">
        <v>259</v>
      </c>
      <c r="C253">
        <v>2022</v>
      </c>
      <c r="D253">
        <v>1998</v>
      </c>
      <c r="E253">
        <v>2017</v>
      </c>
      <c r="F253" t="s">
        <v>256</v>
      </c>
      <c r="G253" t="s">
        <v>257</v>
      </c>
      <c r="H253" t="s">
        <v>268</v>
      </c>
      <c r="I253"/>
      <c r="J253" t="s">
        <v>265</v>
      </c>
      <c r="K253" t="b">
        <v>0</v>
      </c>
      <c r="L253" t="b">
        <v>0</v>
      </c>
      <c r="M253" t="b">
        <v>0</v>
      </c>
      <c r="N253" t="b">
        <v>0</v>
      </c>
      <c r="O253" t="b">
        <v>0</v>
      </c>
      <c r="P253" t="b">
        <v>0</v>
      </c>
      <c r="Q253" t="b">
        <v>0</v>
      </c>
      <c r="R253" t="b">
        <v>0</v>
      </c>
      <c r="S253" t="b">
        <v>0</v>
      </c>
      <c r="T253" t="b">
        <v>0</v>
      </c>
      <c r="U253" t="b">
        <v>0</v>
      </c>
      <c r="V253" t="b">
        <v>0</v>
      </c>
      <c r="W253" t="b">
        <v>0</v>
      </c>
      <c r="X253" t="b">
        <v>1</v>
      </c>
      <c r="Y253" t="b">
        <v>0</v>
      </c>
      <c r="Z253" t="b">
        <v>0</v>
      </c>
      <c r="AA253" t="b">
        <v>0</v>
      </c>
      <c r="AB253" t="b">
        <v>0</v>
      </c>
      <c r="AC253" t="s">
        <v>173</v>
      </c>
      <c r="AD253" t="s">
        <v>175</v>
      </c>
      <c r="AE253" t="s">
        <v>173</v>
      </c>
      <c r="AF253" t="s">
        <v>175</v>
      </c>
      <c r="AG253" t="s">
        <v>173</v>
      </c>
      <c r="AH253" t="s">
        <v>171</v>
      </c>
      <c r="AI253" t="s">
        <v>173</v>
      </c>
      <c r="AJ253" t="s">
        <v>171</v>
      </c>
      <c r="AK253" t="s">
        <v>173</v>
      </c>
      <c r="AL253" t="s">
        <v>173</v>
      </c>
      <c r="AM253" t="s">
        <v>173</v>
      </c>
      <c r="AN253" t="s">
        <v>175</v>
      </c>
      <c r="AO253" t="s">
        <v>175</v>
      </c>
      <c r="AP253" t="s">
        <v>173</v>
      </c>
      <c r="AQ253" t="s">
        <v>173</v>
      </c>
      <c r="AR253" t="s">
        <v>173</v>
      </c>
      <c r="AS253" t="s">
        <v>173</v>
      </c>
      <c r="AT253" t="s">
        <v>173</v>
      </c>
      <c r="AU253" t="s">
        <v>173</v>
      </c>
      <c r="AV253" t="s">
        <v>175</v>
      </c>
      <c r="AW253" t="s">
        <v>171</v>
      </c>
      <c r="AX253" t="s">
        <v>192</v>
      </c>
      <c r="AY253" t="s">
        <v>195</v>
      </c>
      <c r="AZ253" t="s">
        <v>183</v>
      </c>
      <c r="BA253" t="s">
        <v>183</v>
      </c>
      <c r="BB253" t="s">
        <v>183</v>
      </c>
      <c r="BC253" t="s">
        <v>183</v>
      </c>
      <c r="BD253" t="s">
        <v>208</v>
      </c>
    </row>
    <row r="254" hidden="1" spans="1:56">
      <c r="A254">
        <v>253</v>
      </c>
      <c r="B254" t="s">
        <v>259</v>
      </c>
      <c r="C254">
        <v>2022</v>
      </c>
      <c r="D254">
        <v>2020</v>
      </c>
      <c r="E254">
        <v>2020</v>
      </c>
      <c r="F254" t="s">
        <v>256</v>
      </c>
      <c r="G254" t="s">
        <v>263</v>
      </c>
      <c r="H254" t="s">
        <v>273</v>
      </c>
      <c r="I254"/>
      <c r="J254" t="s">
        <v>252</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1</v>
      </c>
      <c r="AB254" t="b">
        <v>0</v>
      </c>
      <c r="AC254" t="s">
        <v>173</v>
      </c>
      <c r="AD254" t="s">
        <v>175</v>
      </c>
      <c r="AE254" t="s">
        <v>175</v>
      </c>
      <c r="AF254" t="s">
        <v>173</v>
      </c>
      <c r="AG254" t="s">
        <v>173</v>
      </c>
      <c r="AH254" t="s">
        <v>175</v>
      </c>
      <c r="AI254" t="s">
        <v>175</v>
      </c>
      <c r="AJ254" t="s">
        <v>173</v>
      </c>
      <c r="AK254" t="s">
        <v>173</v>
      </c>
      <c r="AL254" t="s">
        <v>173</v>
      </c>
      <c r="AM254" t="s">
        <v>173</v>
      </c>
      <c r="AN254" t="s">
        <v>175</v>
      </c>
      <c r="AO254" t="s">
        <v>175</v>
      </c>
      <c r="AP254" t="s">
        <v>175</v>
      </c>
      <c r="AQ254" t="s">
        <v>175</v>
      </c>
      <c r="AR254" t="s">
        <v>173</v>
      </c>
      <c r="AS254" t="s">
        <v>173</v>
      </c>
      <c r="AT254" t="s">
        <v>173</v>
      </c>
      <c r="AU254" t="s">
        <v>173</v>
      </c>
      <c r="AV254" t="s">
        <v>173</v>
      </c>
      <c r="AW254" t="s">
        <v>173</v>
      </c>
      <c r="AX254" t="s">
        <v>193</v>
      </c>
      <c r="AY254" t="s">
        <v>195</v>
      </c>
      <c r="AZ254" t="s">
        <v>183</v>
      </c>
      <c r="BA254" t="s">
        <v>183</v>
      </c>
      <c r="BB254" t="s">
        <v>183</v>
      </c>
      <c r="BC254" t="s">
        <v>183</v>
      </c>
      <c r="BD254" t="s">
        <v>183</v>
      </c>
    </row>
    <row r="255" hidden="1" spans="1:56">
      <c r="A255">
        <v>254</v>
      </c>
      <c r="B255" t="s">
        <v>259</v>
      </c>
      <c r="C255">
        <v>2022</v>
      </c>
      <c r="D255">
        <v>2005</v>
      </c>
      <c r="E255">
        <v>2005</v>
      </c>
      <c r="F255" t="s">
        <v>275</v>
      </c>
      <c r="G255"/>
      <c r="H255" t="s">
        <v>267</v>
      </c>
      <c r="I255"/>
      <c r="J255" t="s">
        <v>265</v>
      </c>
      <c r="K255" t="b">
        <v>0</v>
      </c>
      <c r="L255" t="b">
        <v>0</v>
      </c>
      <c r="M255" t="b">
        <v>0</v>
      </c>
      <c r="N255" t="b">
        <v>0</v>
      </c>
      <c r="O255" t="b">
        <v>0</v>
      </c>
      <c r="P255" t="b">
        <v>1</v>
      </c>
      <c r="Q255" t="b">
        <v>0</v>
      </c>
      <c r="R255" t="b">
        <v>0</v>
      </c>
      <c r="S255" t="b">
        <v>0</v>
      </c>
      <c r="T255" t="b">
        <v>0</v>
      </c>
      <c r="U255" t="b">
        <v>0</v>
      </c>
      <c r="V255" t="b">
        <v>0</v>
      </c>
      <c r="W255" t="b">
        <v>0</v>
      </c>
      <c r="X255" t="b">
        <v>0</v>
      </c>
      <c r="Y255" t="b">
        <v>0</v>
      </c>
      <c r="Z255" t="b">
        <v>0</v>
      </c>
      <c r="AA255" t="b">
        <v>1</v>
      </c>
      <c r="AB255" t="b">
        <v>0</v>
      </c>
      <c r="AC255" t="s">
        <v>173</v>
      </c>
      <c r="AD255" t="s">
        <v>175</v>
      </c>
      <c r="AE255" t="s">
        <v>175</v>
      </c>
      <c r="AF255" t="s">
        <v>175</v>
      </c>
      <c r="AG255" t="s">
        <v>173</v>
      </c>
      <c r="AH255" t="s">
        <v>173</v>
      </c>
      <c r="AI255" t="s">
        <v>175</v>
      </c>
      <c r="AJ255" t="s">
        <v>173</v>
      </c>
      <c r="AK255" t="s">
        <v>173</v>
      </c>
      <c r="AL255" t="s">
        <v>173</v>
      </c>
      <c r="AM255" t="s">
        <v>173</v>
      </c>
      <c r="AN255" t="s">
        <v>173</v>
      </c>
      <c r="AO255" t="s">
        <v>175</v>
      </c>
      <c r="AP255" t="s">
        <v>175</v>
      </c>
      <c r="AQ255" t="s">
        <v>175</v>
      </c>
      <c r="AR255" t="s">
        <v>175</v>
      </c>
      <c r="AS255" t="s">
        <v>173</v>
      </c>
      <c r="AT255" t="s">
        <v>173</v>
      </c>
      <c r="AU255" t="s">
        <v>173</v>
      </c>
      <c r="AV255" t="s">
        <v>177</v>
      </c>
      <c r="AW255" t="s">
        <v>177</v>
      </c>
      <c r="AX255" t="s">
        <v>192</v>
      </c>
      <c r="AY255" t="s">
        <v>197</v>
      </c>
      <c r="AZ255" t="s">
        <v>183</v>
      </c>
      <c r="BA255" t="s">
        <v>183</v>
      </c>
      <c r="BB255" t="s">
        <v>183</v>
      </c>
      <c r="BC255" t="s">
        <v>183</v>
      </c>
      <c r="BD255" t="s">
        <v>183</v>
      </c>
    </row>
    <row r="256" hidden="1" spans="1:56">
      <c r="A256">
        <v>255</v>
      </c>
      <c r="B256" t="s">
        <v>255</v>
      </c>
      <c r="C256">
        <v>2022</v>
      </c>
      <c r="D256">
        <v>2009</v>
      </c>
      <c r="E256">
        <v>2021</v>
      </c>
      <c r="F256" t="s">
        <v>256</v>
      </c>
      <c r="G256" t="s">
        <v>263</v>
      </c>
      <c r="H256" t="s">
        <v>258</v>
      </c>
      <c r="I256"/>
      <c r="J256" t="s">
        <v>265</v>
      </c>
      <c r="K256" t="b">
        <v>0</v>
      </c>
      <c r="L256" t="b">
        <v>1</v>
      </c>
      <c r="M256" t="b">
        <v>0</v>
      </c>
      <c r="N256" t="b">
        <v>0</v>
      </c>
      <c r="O256" t="b">
        <v>0</v>
      </c>
      <c r="P256" t="b">
        <v>0</v>
      </c>
      <c r="Q256" t="b">
        <v>0</v>
      </c>
      <c r="R256" t="b">
        <v>0</v>
      </c>
      <c r="S256" t="b">
        <v>0</v>
      </c>
      <c r="T256" t="b">
        <v>0</v>
      </c>
      <c r="U256" t="b">
        <v>1</v>
      </c>
      <c r="V256" t="b">
        <v>0</v>
      </c>
      <c r="W256" t="b">
        <v>0</v>
      </c>
      <c r="X256" t="b">
        <v>0</v>
      </c>
      <c r="Y256" t="b">
        <v>0</v>
      </c>
      <c r="Z256" t="b">
        <v>1</v>
      </c>
      <c r="AA256" t="b">
        <v>0</v>
      </c>
      <c r="AB256" t="b">
        <v>0</v>
      </c>
      <c r="AC256" t="s">
        <v>173</v>
      </c>
      <c r="AD256" t="s">
        <v>173</v>
      </c>
      <c r="AE256" t="s">
        <v>173</v>
      </c>
      <c r="AF256" t="s">
        <v>173</v>
      </c>
      <c r="AG256" t="s">
        <v>181</v>
      </c>
      <c r="AH256" t="s">
        <v>177</v>
      </c>
      <c r="AI256" t="s">
        <v>173</v>
      </c>
      <c r="AJ256" t="s">
        <v>173</v>
      </c>
      <c r="AK256" t="s">
        <v>173</v>
      </c>
      <c r="AL256" t="s">
        <v>173</v>
      </c>
      <c r="AM256" t="s">
        <v>173</v>
      </c>
      <c r="AN256" t="s">
        <v>173</v>
      </c>
      <c r="AO256" t="s">
        <v>173</v>
      </c>
      <c r="AP256" t="s">
        <v>175</v>
      </c>
      <c r="AQ256" t="s">
        <v>173</v>
      </c>
      <c r="AR256" t="s">
        <v>173</v>
      </c>
      <c r="AS256" t="s">
        <v>173</v>
      </c>
      <c r="AT256" t="s">
        <v>173</v>
      </c>
      <c r="AU256" t="s">
        <v>173</v>
      </c>
      <c r="AV256" t="s">
        <v>173</v>
      </c>
      <c r="AW256" t="s">
        <v>173</v>
      </c>
      <c r="AX256" t="s">
        <v>192</v>
      </c>
      <c r="AY256" t="s">
        <v>203</v>
      </c>
      <c r="AZ256" t="s">
        <v>183</v>
      </c>
      <c r="BA256" t="s">
        <v>183</v>
      </c>
      <c r="BB256" t="s">
        <v>183</v>
      </c>
      <c r="BC256" t="s">
        <v>183</v>
      </c>
      <c r="BD256" t="s">
        <v>183</v>
      </c>
    </row>
    <row r="257" hidden="1" spans="1:56">
      <c r="A257">
        <v>256</v>
      </c>
      <c r="B257" t="s">
        <v>269</v>
      </c>
      <c r="C257">
        <v>2022</v>
      </c>
      <c r="D257">
        <v>2017</v>
      </c>
      <c r="E257">
        <v>2021</v>
      </c>
      <c r="F257" t="s">
        <v>275</v>
      </c>
      <c r="G257"/>
      <c r="H257" t="s">
        <v>261</v>
      </c>
      <c r="I257"/>
      <c r="J257" t="s">
        <v>265</v>
      </c>
      <c r="K257" t="b">
        <v>0</v>
      </c>
      <c r="L257" t="b">
        <v>1</v>
      </c>
      <c r="M257" t="b">
        <v>0</v>
      </c>
      <c r="N257" t="b">
        <v>0</v>
      </c>
      <c r="O257" t="b">
        <v>0</v>
      </c>
      <c r="P257" t="b">
        <v>0</v>
      </c>
      <c r="Q257" t="b">
        <v>0</v>
      </c>
      <c r="R257" t="b">
        <v>1</v>
      </c>
      <c r="S257" t="b">
        <v>0</v>
      </c>
      <c r="T257" t="b">
        <v>0</v>
      </c>
      <c r="U257" t="b">
        <v>0</v>
      </c>
      <c r="V257" t="b">
        <v>0</v>
      </c>
      <c r="W257" t="b">
        <v>0</v>
      </c>
      <c r="X257" t="b">
        <v>0</v>
      </c>
      <c r="Y257" t="b">
        <v>0</v>
      </c>
      <c r="Z257" t="b">
        <v>0</v>
      </c>
      <c r="AA257" t="b">
        <v>0</v>
      </c>
      <c r="AB257" t="b">
        <v>0</v>
      </c>
      <c r="AC257" t="s">
        <v>175</v>
      </c>
      <c r="AD257" t="s">
        <v>175</v>
      </c>
      <c r="AE257" t="s">
        <v>175</v>
      </c>
      <c r="AF257" t="s">
        <v>175</v>
      </c>
      <c r="AG257" t="s">
        <v>175</v>
      </c>
      <c r="AH257" t="s">
        <v>175</v>
      </c>
      <c r="AI257" t="s">
        <v>175</v>
      </c>
      <c r="AJ257" t="s">
        <v>175</v>
      </c>
      <c r="AK257" t="s">
        <v>175</v>
      </c>
      <c r="AL257" t="s">
        <v>175</v>
      </c>
      <c r="AM257" t="s">
        <v>175</v>
      </c>
      <c r="AN257" t="s">
        <v>175</v>
      </c>
      <c r="AO257" t="s">
        <v>179</v>
      </c>
      <c r="AP257" t="s">
        <v>179</v>
      </c>
      <c r="AQ257" t="s">
        <v>179</v>
      </c>
      <c r="AR257" t="s">
        <v>179</v>
      </c>
      <c r="AS257" t="s">
        <v>179</v>
      </c>
      <c r="AT257" t="s">
        <v>179</v>
      </c>
      <c r="AU257" t="s">
        <v>179</v>
      </c>
      <c r="AV257" t="s">
        <v>173</v>
      </c>
      <c r="AW257" t="s">
        <v>173</v>
      </c>
      <c r="AX257" t="s">
        <v>192</v>
      </c>
      <c r="AY257" t="s">
        <v>198</v>
      </c>
      <c r="AZ257" t="s">
        <v>183</v>
      </c>
      <c r="BA257" t="s">
        <v>183</v>
      </c>
      <c r="BB257" t="s">
        <v>183</v>
      </c>
      <c r="BC257" t="s">
        <v>183</v>
      </c>
      <c r="BD257" t="s">
        <v>183</v>
      </c>
    </row>
    <row r="258" hidden="1" spans="1:56">
      <c r="A258">
        <v>257</v>
      </c>
      <c r="B258" t="s">
        <v>272</v>
      </c>
      <c r="C258">
        <v>2022</v>
      </c>
      <c r="D258">
        <v>2014</v>
      </c>
      <c r="E258">
        <v>2014</v>
      </c>
      <c r="F258" t="s">
        <v>266</v>
      </c>
      <c r="G258"/>
      <c r="H258" t="s">
        <v>247</v>
      </c>
      <c r="I258"/>
      <c r="J258" t="s">
        <v>265</v>
      </c>
      <c r="K258" t="b">
        <v>0</v>
      </c>
      <c r="L258" t="b">
        <v>0</v>
      </c>
      <c r="M258" t="b">
        <v>0</v>
      </c>
      <c r="N258" t="b">
        <v>0</v>
      </c>
      <c r="O258" t="b">
        <v>0</v>
      </c>
      <c r="P258" t="b">
        <v>0</v>
      </c>
      <c r="Q258" t="b">
        <v>0</v>
      </c>
      <c r="R258" t="b">
        <v>0</v>
      </c>
      <c r="S258" t="b">
        <v>1</v>
      </c>
      <c r="T258" t="b">
        <v>0</v>
      </c>
      <c r="U258" t="b">
        <v>0</v>
      </c>
      <c r="V258" t="b">
        <v>0</v>
      </c>
      <c r="W258" t="b">
        <v>0</v>
      </c>
      <c r="X258" t="b">
        <v>0</v>
      </c>
      <c r="Y258" t="b">
        <v>0</v>
      </c>
      <c r="Z258" t="b">
        <v>0</v>
      </c>
      <c r="AA258" t="b">
        <v>0</v>
      </c>
      <c r="AB258" t="b">
        <v>0</v>
      </c>
      <c r="AC258" t="s">
        <v>171</v>
      </c>
      <c r="AD258" t="s">
        <v>171</v>
      </c>
      <c r="AE258" t="s">
        <v>173</v>
      </c>
      <c r="AF258" t="s">
        <v>173</v>
      </c>
      <c r="AG258" t="s">
        <v>173</v>
      </c>
      <c r="AH258" t="s">
        <v>171</v>
      </c>
      <c r="AI258" t="s">
        <v>171</v>
      </c>
      <c r="AJ258" t="s">
        <v>171</v>
      </c>
      <c r="AK258" t="s">
        <v>171</v>
      </c>
      <c r="AL258" t="s">
        <v>171</v>
      </c>
      <c r="AM258" t="s">
        <v>171</v>
      </c>
      <c r="AN258" t="s">
        <v>171</v>
      </c>
      <c r="AO258" t="s">
        <v>173</v>
      </c>
      <c r="AP258" t="s">
        <v>173</v>
      </c>
      <c r="AQ258" t="s">
        <v>173</v>
      </c>
      <c r="AR258" t="s">
        <v>175</v>
      </c>
      <c r="AS258" t="s">
        <v>171</v>
      </c>
      <c r="AT258" t="s">
        <v>173</v>
      </c>
      <c r="AU258" t="s">
        <v>171</v>
      </c>
      <c r="AV258" t="s">
        <v>177</v>
      </c>
      <c r="AW258" t="s">
        <v>177</v>
      </c>
      <c r="AX258" t="s">
        <v>192</v>
      </c>
      <c r="AY258" t="s">
        <v>198</v>
      </c>
      <c r="AZ258" t="s">
        <v>183</v>
      </c>
      <c r="BA258" t="s">
        <v>183</v>
      </c>
      <c r="BB258" t="s">
        <v>183</v>
      </c>
      <c r="BC258" t="s">
        <v>183</v>
      </c>
      <c r="BD258" t="s">
        <v>183</v>
      </c>
    </row>
    <row r="259" hidden="1" spans="1:56">
      <c r="A259">
        <v>258</v>
      </c>
      <c r="B259" t="s">
        <v>255</v>
      </c>
      <c r="C259">
        <v>2022</v>
      </c>
      <c r="D259">
        <v>2021</v>
      </c>
      <c r="E259">
        <v>2021</v>
      </c>
      <c r="F259" t="s">
        <v>248</v>
      </c>
      <c r="G259" t="s">
        <v>242</v>
      </c>
      <c r="H259" t="s">
        <v>264</v>
      </c>
      <c r="I259"/>
      <c r="J259" t="s">
        <v>281</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1</v>
      </c>
      <c r="AC259" t="s">
        <v>173</v>
      </c>
      <c r="AD259" t="s">
        <v>175</v>
      </c>
      <c r="AE259" t="s">
        <v>171</v>
      </c>
      <c r="AF259" t="s">
        <v>183</v>
      </c>
      <c r="AG259" t="s">
        <v>173</v>
      </c>
      <c r="AH259" t="s">
        <v>173</v>
      </c>
      <c r="AI259" t="s">
        <v>173</v>
      </c>
      <c r="AJ259" t="s">
        <v>173</v>
      </c>
      <c r="AK259" t="s">
        <v>171</v>
      </c>
      <c r="AL259" t="s">
        <v>171</v>
      </c>
      <c r="AM259" t="s">
        <v>173</v>
      </c>
      <c r="AN259" t="s">
        <v>183</v>
      </c>
      <c r="AO259" t="s">
        <v>171</v>
      </c>
      <c r="AP259" t="s">
        <v>173</v>
      </c>
      <c r="AQ259" t="s">
        <v>173</v>
      </c>
      <c r="AR259" t="s">
        <v>171</v>
      </c>
      <c r="AS259" t="s">
        <v>171</v>
      </c>
      <c r="AT259" t="s">
        <v>173</v>
      </c>
      <c r="AU259" t="s">
        <v>175</v>
      </c>
      <c r="AV259" t="s">
        <v>175</v>
      </c>
      <c r="AW259" t="s">
        <v>171</v>
      </c>
      <c r="AX259" t="s">
        <v>192</v>
      </c>
      <c r="AY259" t="s">
        <v>202</v>
      </c>
      <c r="AZ259" t="s">
        <v>183</v>
      </c>
      <c r="BA259" t="s">
        <v>183</v>
      </c>
      <c r="BB259" t="s">
        <v>183</v>
      </c>
      <c r="BC259" t="s">
        <v>183</v>
      </c>
      <c r="BD259" t="s">
        <v>183</v>
      </c>
    </row>
    <row r="260" spans="1:65">
      <c r="A260">
        <v>259</v>
      </c>
      <c r="B260" t="s">
        <v>277</v>
      </c>
      <c r="C260" s="10">
        <v>2022</v>
      </c>
      <c r="D260" s="10">
        <v>2016</v>
      </c>
      <c r="E260" s="10">
        <v>2016</v>
      </c>
      <c r="F260" s="10" t="s">
        <v>256</v>
      </c>
      <c r="G260" s="10" t="s">
        <v>263</v>
      </c>
      <c r="H260" s="10" t="s">
        <v>243</v>
      </c>
      <c r="I260" s="10" t="s">
        <v>271</v>
      </c>
      <c r="J260" s="10" t="s">
        <v>245</v>
      </c>
      <c r="K260" t="b">
        <v>0</v>
      </c>
      <c r="L260" t="b">
        <v>1</v>
      </c>
      <c r="M260" t="b">
        <v>0</v>
      </c>
      <c r="N260" t="b">
        <v>0</v>
      </c>
      <c r="O260" t="b">
        <v>0</v>
      </c>
      <c r="P260" t="b">
        <v>0</v>
      </c>
      <c r="Q260" t="b">
        <v>1</v>
      </c>
      <c r="R260" t="b">
        <v>0</v>
      </c>
      <c r="S260" t="b">
        <v>0</v>
      </c>
      <c r="T260" t="b">
        <v>1</v>
      </c>
      <c r="U260" t="b">
        <v>0</v>
      </c>
      <c r="V260" t="b">
        <v>0</v>
      </c>
      <c r="W260" t="b">
        <v>0</v>
      </c>
      <c r="X260" t="b">
        <v>0</v>
      </c>
      <c r="Y260" t="b">
        <v>0</v>
      </c>
      <c r="Z260" t="b">
        <v>0</v>
      </c>
      <c r="AA260" t="b">
        <v>0</v>
      </c>
      <c r="AB260" t="b">
        <v>0</v>
      </c>
      <c r="AC260" s="10" t="s">
        <v>173</v>
      </c>
      <c r="AD260" t="s">
        <v>177</v>
      </c>
      <c r="AE260" t="s">
        <v>177</v>
      </c>
      <c r="AF260" t="s">
        <v>177</v>
      </c>
      <c r="AG260" t="s">
        <v>175</v>
      </c>
      <c r="AH260" t="s">
        <v>175</v>
      </c>
      <c r="AI260" t="s">
        <v>179</v>
      </c>
      <c r="AJ260" t="s">
        <v>179</v>
      </c>
      <c r="AK260" t="s">
        <v>171</v>
      </c>
      <c r="AL260" t="s">
        <v>173</v>
      </c>
      <c r="AM260" t="s">
        <v>171</v>
      </c>
      <c r="AN260" t="s">
        <v>173</v>
      </c>
      <c r="AO260" t="s">
        <v>177</v>
      </c>
      <c r="AP260" t="s">
        <v>177</v>
      </c>
      <c r="AQ260" t="s">
        <v>173</v>
      </c>
      <c r="AR260" t="s">
        <v>173</v>
      </c>
      <c r="AS260" t="s">
        <v>173</v>
      </c>
      <c r="AT260" t="s">
        <v>173</v>
      </c>
      <c r="AU260" t="s">
        <v>173</v>
      </c>
      <c r="AV260" t="s">
        <v>177</v>
      </c>
      <c r="AW260" t="s">
        <v>175</v>
      </c>
      <c r="AX260" t="s">
        <v>192</v>
      </c>
      <c r="AY260" t="s">
        <v>200</v>
      </c>
      <c r="AZ260" t="s">
        <v>207</v>
      </c>
      <c r="BA260" t="s">
        <v>207</v>
      </c>
      <c r="BB260" t="s">
        <v>207</v>
      </c>
      <c r="BC260" t="s">
        <v>207</v>
      </c>
      <c r="BD260" t="s">
        <v>207</v>
      </c>
      <c r="BE260" t="str">
        <f>IF(AY260="","Unknown",AY260)</f>
        <v>26-30</v>
      </c>
      <c r="BF260" s="11" t="str">
        <f>IF(AZ260="","unknown",AZ260)</f>
        <v>NO</v>
      </c>
      <c r="BG260" s="11" t="str">
        <f>IF(BA260="","UNKNOWN",BA260)</f>
        <v>NO</v>
      </c>
      <c r="BH260" s="11" t="str">
        <f>IF(BB260="","unknown",BB260)</f>
        <v>NO</v>
      </c>
      <c r="BI260" s="11" t="str">
        <f>IF(BC260="","Unknon",BC260)</f>
        <v>NO</v>
      </c>
      <c r="BJ260" s="11" t="str">
        <f>IF(BD260="","Unknown",BD260)</f>
        <v>NO</v>
      </c>
      <c r="BK260" s="11">
        <f>VALUE(C260)-VALUE(D260)</f>
        <v>6</v>
      </c>
      <c r="BM260" s="11"/>
    </row>
    <row r="261" hidden="1" spans="1:56">
      <c r="A261">
        <v>260</v>
      </c>
      <c r="B261" t="s">
        <v>272</v>
      </c>
      <c r="C261">
        <v>2022</v>
      </c>
      <c r="D261">
        <v>2017</v>
      </c>
      <c r="E261">
        <v>2017</v>
      </c>
      <c r="F261" t="s">
        <v>253</v>
      </c>
      <c r="G261"/>
      <c r="H261" t="s">
        <v>274</v>
      </c>
      <c r="I261"/>
      <c r="J261" t="s">
        <v>252</v>
      </c>
      <c r="K261" t="b">
        <v>0</v>
      </c>
      <c r="L261" t="b">
        <v>0</v>
      </c>
      <c r="M261" t="b">
        <v>0</v>
      </c>
      <c r="N261" t="b">
        <v>1</v>
      </c>
      <c r="O261" t="b">
        <v>0</v>
      </c>
      <c r="P261" t="b">
        <v>0</v>
      </c>
      <c r="Q261" t="b">
        <v>1</v>
      </c>
      <c r="R261" t="b">
        <v>0</v>
      </c>
      <c r="S261" t="b">
        <v>0</v>
      </c>
      <c r="T261" t="b">
        <v>1</v>
      </c>
      <c r="U261" t="b">
        <v>0</v>
      </c>
      <c r="V261" t="b">
        <v>0</v>
      </c>
      <c r="W261" t="b">
        <v>0</v>
      </c>
      <c r="X261" t="b">
        <v>0</v>
      </c>
      <c r="Y261" t="b">
        <v>0</v>
      </c>
      <c r="Z261" t="b">
        <v>0</v>
      </c>
      <c r="AA261" t="b">
        <v>0</v>
      </c>
      <c r="AB261" t="b">
        <v>0</v>
      </c>
      <c r="AC261" t="s">
        <v>177</v>
      </c>
      <c r="AD261" t="s">
        <v>179</v>
      </c>
      <c r="AE261" t="s">
        <v>175</v>
      </c>
      <c r="AF261" t="s">
        <v>175</v>
      </c>
      <c r="AG261" t="s">
        <v>173</v>
      </c>
      <c r="AH261" t="s">
        <v>171</v>
      </c>
      <c r="AI261" t="s">
        <v>177</v>
      </c>
      <c r="AJ261" t="s">
        <v>177</v>
      </c>
      <c r="AK261" t="s">
        <v>177</v>
      </c>
      <c r="AL261" t="s">
        <v>171</v>
      </c>
      <c r="AM261" t="s">
        <v>171</v>
      </c>
      <c r="AN261" t="s">
        <v>179</v>
      </c>
      <c r="AO261" t="s">
        <v>179</v>
      </c>
      <c r="AP261" t="s">
        <v>173</v>
      </c>
      <c r="AQ261" t="s">
        <v>177</v>
      </c>
      <c r="AR261" t="s">
        <v>173</v>
      </c>
      <c r="AS261" t="s">
        <v>173</v>
      </c>
      <c r="AT261" t="s">
        <v>177</v>
      </c>
      <c r="AU261" t="s">
        <v>177</v>
      </c>
      <c r="AV261" t="s">
        <v>173</v>
      </c>
      <c r="AW261" t="s">
        <v>179</v>
      </c>
      <c r="AX261" t="s">
        <v>193</v>
      </c>
      <c r="AY261" t="s">
        <v>199</v>
      </c>
      <c r="AZ261" t="s">
        <v>183</v>
      </c>
      <c r="BA261" t="s">
        <v>183</v>
      </c>
      <c r="BB261" t="s">
        <v>183</v>
      </c>
      <c r="BC261" t="s">
        <v>183</v>
      </c>
      <c r="BD261" t="s">
        <v>183</v>
      </c>
    </row>
    <row r="262" hidden="1" spans="1:56">
      <c r="A262">
        <v>261</v>
      </c>
      <c r="B262" t="s">
        <v>259</v>
      </c>
      <c r="C262">
        <v>2022</v>
      </c>
      <c r="D262">
        <v>2005</v>
      </c>
      <c r="E262">
        <v>2005</v>
      </c>
      <c r="F262" t="s">
        <v>275</v>
      </c>
      <c r="G262"/>
      <c r="H262" t="s">
        <v>261</v>
      </c>
      <c r="I262"/>
      <c r="J262" t="s">
        <v>252</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1</v>
      </c>
      <c r="AC262" t="s">
        <v>183</v>
      </c>
      <c r="AD262" t="s">
        <v>183</v>
      </c>
      <c r="AE262" t="s">
        <v>173</v>
      </c>
      <c r="AF262" t="s">
        <v>173</v>
      </c>
      <c r="AG262" t="s">
        <v>173</v>
      </c>
      <c r="AH262" t="s">
        <v>173</v>
      </c>
      <c r="AI262" t="s">
        <v>173</v>
      </c>
      <c r="AJ262" t="s">
        <v>173</v>
      </c>
      <c r="AK262" t="s">
        <v>173</v>
      </c>
      <c r="AL262" t="s">
        <v>173</v>
      </c>
      <c r="AM262" t="s">
        <v>173</v>
      </c>
      <c r="AN262" t="s">
        <v>183</v>
      </c>
      <c r="AO262" t="s">
        <v>183</v>
      </c>
      <c r="AP262" t="s">
        <v>183</v>
      </c>
      <c r="AQ262" t="s">
        <v>183</v>
      </c>
      <c r="AR262" t="s">
        <v>173</v>
      </c>
      <c r="AS262" t="s">
        <v>173</v>
      </c>
      <c r="AT262" t="s">
        <v>173</v>
      </c>
      <c r="AU262" t="s">
        <v>173</v>
      </c>
      <c r="AV262" t="s">
        <v>183</v>
      </c>
      <c r="AW262" t="s">
        <v>173</v>
      </c>
      <c r="AX262" t="s">
        <v>192</v>
      </c>
      <c r="AY262" t="s">
        <v>195</v>
      </c>
      <c r="AZ262" t="s">
        <v>183</v>
      </c>
      <c r="BA262" t="s">
        <v>183</v>
      </c>
      <c r="BB262" t="s">
        <v>183</v>
      </c>
      <c r="BC262" t="s">
        <v>183</v>
      </c>
      <c r="BD262" t="s">
        <v>183</v>
      </c>
    </row>
    <row r="263" hidden="1" spans="1:56">
      <c r="A263">
        <v>262</v>
      </c>
      <c r="B263" t="s">
        <v>280</v>
      </c>
      <c r="C263">
        <v>2022</v>
      </c>
      <c r="D263">
        <v>2020</v>
      </c>
      <c r="E263">
        <v>2020</v>
      </c>
      <c r="F263" t="s">
        <v>253</v>
      </c>
      <c r="G263"/>
      <c r="H263" t="s">
        <v>258</v>
      </c>
      <c r="I263"/>
      <c r="J263" t="s">
        <v>252</v>
      </c>
      <c r="K263" t="b">
        <v>0</v>
      </c>
      <c r="L263" t="b">
        <v>0</v>
      </c>
      <c r="M263" t="b">
        <v>0</v>
      </c>
      <c r="N263" t="b">
        <v>0</v>
      </c>
      <c r="O263" t="b">
        <v>0</v>
      </c>
      <c r="P263" t="b">
        <v>0</v>
      </c>
      <c r="Q263" t="b">
        <v>0</v>
      </c>
      <c r="R263" t="b">
        <v>0</v>
      </c>
      <c r="S263" t="b">
        <v>0</v>
      </c>
      <c r="T263" t="b">
        <v>0</v>
      </c>
      <c r="U263" t="b">
        <v>0</v>
      </c>
      <c r="V263" t="b">
        <v>0</v>
      </c>
      <c r="W263" t="b">
        <v>0</v>
      </c>
      <c r="X263" t="b">
        <v>1</v>
      </c>
      <c r="Y263" t="b">
        <v>0</v>
      </c>
      <c r="Z263" t="b">
        <v>0</v>
      </c>
      <c r="AA263" t="b">
        <v>0</v>
      </c>
      <c r="AB263" t="b">
        <v>0</v>
      </c>
      <c r="AC263" t="s">
        <v>173</v>
      </c>
      <c r="AD263" t="s">
        <v>173</v>
      </c>
      <c r="AE263" t="s">
        <v>173</v>
      </c>
      <c r="AF263" t="s">
        <v>173</v>
      </c>
      <c r="AG263" t="s">
        <v>173</v>
      </c>
      <c r="AH263" t="s">
        <v>173</v>
      </c>
      <c r="AI263" t="s">
        <v>173</v>
      </c>
      <c r="AJ263" t="s">
        <v>173</v>
      </c>
      <c r="AK263" t="s">
        <v>173</v>
      </c>
      <c r="AL263" t="s">
        <v>173</v>
      </c>
      <c r="AM263" t="s">
        <v>173</v>
      </c>
      <c r="AN263" t="s">
        <v>173</v>
      </c>
      <c r="AO263" t="s">
        <v>173</v>
      </c>
      <c r="AP263" t="s">
        <v>173</v>
      </c>
      <c r="AQ263" t="s">
        <v>173</v>
      </c>
      <c r="AR263" t="s">
        <v>173</v>
      </c>
      <c r="AS263" t="s">
        <v>173</v>
      </c>
      <c r="AT263" t="s">
        <v>173</v>
      </c>
      <c r="AU263" t="s">
        <v>173</v>
      </c>
      <c r="AV263" t="s">
        <v>173</v>
      </c>
      <c r="AW263" t="s">
        <v>173</v>
      </c>
      <c r="AX263" t="s">
        <v>193</v>
      </c>
      <c r="AY263" t="s">
        <v>196</v>
      </c>
      <c r="AZ263" t="s">
        <v>183</v>
      </c>
      <c r="BA263" t="s">
        <v>183</v>
      </c>
      <c r="BB263" t="s">
        <v>183</v>
      </c>
      <c r="BC263" t="s">
        <v>183</v>
      </c>
      <c r="BD263" t="s">
        <v>183</v>
      </c>
    </row>
    <row r="264" hidden="1" spans="1:56">
      <c r="A264">
        <v>263</v>
      </c>
      <c r="B264" t="s">
        <v>272</v>
      </c>
      <c r="C264">
        <v>2023</v>
      </c>
      <c r="D264">
        <v>2020</v>
      </c>
      <c r="E264">
        <v>2020</v>
      </c>
      <c r="F264" t="s">
        <v>256</v>
      </c>
      <c r="G264" t="s">
        <v>263</v>
      </c>
      <c r="H264" t="s">
        <v>261</v>
      </c>
      <c r="I264"/>
      <c r="J264" t="s">
        <v>252</v>
      </c>
      <c r="K264" t="b">
        <v>0</v>
      </c>
      <c r="L264" t="b">
        <v>1</v>
      </c>
      <c r="M264" t="b">
        <v>0</v>
      </c>
      <c r="N264" t="b">
        <v>0</v>
      </c>
      <c r="O264" t="b">
        <v>0</v>
      </c>
      <c r="P264" t="b">
        <v>0</v>
      </c>
      <c r="Q264" t="b">
        <v>0</v>
      </c>
      <c r="R264" t="b">
        <v>0</v>
      </c>
      <c r="S264" t="b">
        <v>0</v>
      </c>
      <c r="T264" t="b">
        <v>0</v>
      </c>
      <c r="U264" t="b">
        <v>0</v>
      </c>
      <c r="V264" t="b">
        <v>1</v>
      </c>
      <c r="W264" t="b">
        <v>0</v>
      </c>
      <c r="X264" t="b">
        <v>0</v>
      </c>
      <c r="Y264" t="b">
        <v>0</v>
      </c>
      <c r="Z264" t="b">
        <v>1</v>
      </c>
      <c r="AA264" t="b">
        <v>0</v>
      </c>
      <c r="AB264" t="b">
        <v>0</v>
      </c>
      <c r="AC264" t="s">
        <v>173</v>
      </c>
      <c r="AD264" t="s">
        <v>177</v>
      </c>
      <c r="AE264" t="s">
        <v>175</v>
      </c>
      <c r="AF264" t="s">
        <v>175</v>
      </c>
      <c r="AG264" t="s">
        <v>173</v>
      </c>
      <c r="AH264" t="s">
        <v>173</v>
      </c>
      <c r="AI264" t="s">
        <v>175</v>
      </c>
      <c r="AJ264" t="s">
        <v>173</v>
      </c>
      <c r="AK264" t="s">
        <v>171</v>
      </c>
      <c r="AL264" t="s">
        <v>173</v>
      </c>
      <c r="AM264" t="s">
        <v>171</v>
      </c>
      <c r="AN264" t="s">
        <v>173</v>
      </c>
      <c r="AO264" t="s">
        <v>171</v>
      </c>
      <c r="AP264" t="s">
        <v>173</v>
      </c>
      <c r="AQ264" t="s">
        <v>173</v>
      </c>
      <c r="AR264" t="s">
        <v>175</v>
      </c>
      <c r="AS264" t="s">
        <v>175</v>
      </c>
      <c r="AT264" t="s">
        <v>173</v>
      </c>
      <c r="AU264" t="s">
        <v>173</v>
      </c>
      <c r="AV264" t="s">
        <v>177</v>
      </c>
      <c r="AW264" t="s">
        <v>175</v>
      </c>
      <c r="AX264" t="s">
        <v>193</v>
      </c>
      <c r="AY264" t="s">
        <v>201</v>
      </c>
      <c r="AZ264" t="s">
        <v>183</v>
      </c>
      <c r="BA264" t="s">
        <v>183</v>
      </c>
      <c r="BB264" t="s">
        <v>183</v>
      </c>
      <c r="BC264" t="s">
        <v>183</v>
      </c>
      <c r="BD264" t="s">
        <v>183</v>
      </c>
    </row>
    <row r="265" hidden="1" spans="1:56">
      <c r="A265">
        <v>264</v>
      </c>
      <c r="B265" t="s">
        <v>272</v>
      </c>
      <c r="C265">
        <v>2023</v>
      </c>
      <c r="D265">
        <v>2018</v>
      </c>
      <c r="E265">
        <v>2021</v>
      </c>
      <c r="F265" t="s">
        <v>256</v>
      </c>
      <c r="G265" t="s">
        <v>279</v>
      </c>
      <c r="H265" t="s">
        <v>268</v>
      </c>
      <c r="I265"/>
      <c r="J265" t="s">
        <v>252</v>
      </c>
      <c r="K265" t="b">
        <v>0</v>
      </c>
      <c r="L265" t="b">
        <v>0</v>
      </c>
      <c r="M265" t="b">
        <v>0</v>
      </c>
      <c r="N265" t="b">
        <v>0</v>
      </c>
      <c r="O265" t="b">
        <v>0</v>
      </c>
      <c r="P265" t="b">
        <v>0</v>
      </c>
      <c r="Q265" t="b">
        <v>0</v>
      </c>
      <c r="R265" t="b">
        <v>0</v>
      </c>
      <c r="S265" t="b">
        <v>0</v>
      </c>
      <c r="T265" t="b">
        <v>0</v>
      </c>
      <c r="U265" t="b">
        <v>0</v>
      </c>
      <c r="V265" t="b">
        <v>1</v>
      </c>
      <c r="W265" t="b">
        <v>0</v>
      </c>
      <c r="X265" t="b">
        <v>0</v>
      </c>
      <c r="Y265" t="b">
        <v>0</v>
      </c>
      <c r="Z265" t="b">
        <v>0</v>
      </c>
      <c r="AA265" t="b">
        <v>0</v>
      </c>
      <c r="AB265" t="b">
        <v>0</v>
      </c>
      <c r="AC265" t="s">
        <v>171</v>
      </c>
      <c r="AD265" t="s">
        <v>171</v>
      </c>
      <c r="AE265" t="s">
        <v>171</v>
      </c>
      <c r="AF265" t="s">
        <v>171</v>
      </c>
      <c r="AG265" t="s">
        <v>171</v>
      </c>
      <c r="AH265" t="s">
        <v>173</v>
      </c>
      <c r="AI265" t="s">
        <v>171</v>
      </c>
      <c r="AJ265" t="s">
        <v>171</v>
      </c>
      <c r="AK265" t="s">
        <v>171</v>
      </c>
      <c r="AL265" t="s">
        <v>171</v>
      </c>
      <c r="AM265" t="s">
        <v>173</v>
      </c>
      <c r="AN265" t="s">
        <v>171</v>
      </c>
      <c r="AO265" t="s">
        <v>173</v>
      </c>
      <c r="AP265" t="s">
        <v>171</v>
      </c>
      <c r="AQ265" t="s">
        <v>173</v>
      </c>
      <c r="AR265" t="s">
        <v>173</v>
      </c>
      <c r="AS265" t="s">
        <v>173</v>
      </c>
      <c r="AT265" t="s">
        <v>173</v>
      </c>
      <c r="AU265" t="s">
        <v>171</v>
      </c>
      <c r="AV265" t="s">
        <v>173</v>
      </c>
      <c r="AW265" t="s">
        <v>173</v>
      </c>
      <c r="AX265" t="s">
        <v>192</v>
      </c>
      <c r="AY265" t="s">
        <v>202</v>
      </c>
      <c r="AZ265" t="s">
        <v>183</v>
      </c>
      <c r="BA265" t="s">
        <v>183</v>
      </c>
      <c r="BB265" t="s">
        <v>183</v>
      </c>
      <c r="BC265" t="s">
        <v>183</v>
      </c>
      <c r="BD265" t="s">
        <v>183</v>
      </c>
    </row>
    <row r="266" hidden="1" spans="1:56">
      <c r="A266">
        <v>265</v>
      </c>
      <c r="B266" t="s">
        <v>255</v>
      </c>
      <c r="C266">
        <v>2022</v>
      </c>
      <c r="D266">
        <v>2020</v>
      </c>
      <c r="E266">
        <v>2020</v>
      </c>
      <c r="F266" t="s">
        <v>276</v>
      </c>
      <c r="G266"/>
      <c r="H266" t="s">
        <v>264</v>
      </c>
      <c r="I266"/>
      <c r="J266" t="s">
        <v>265</v>
      </c>
      <c r="K266" t="b">
        <v>0</v>
      </c>
      <c r="L266" t="b">
        <v>0</v>
      </c>
      <c r="M266" t="b">
        <v>0</v>
      </c>
      <c r="N266" t="b">
        <v>0</v>
      </c>
      <c r="O266" t="b">
        <v>0</v>
      </c>
      <c r="P266" t="b">
        <v>0</v>
      </c>
      <c r="Q266" t="b">
        <v>0</v>
      </c>
      <c r="R266" t="b">
        <v>0</v>
      </c>
      <c r="S266" t="b">
        <v>0</v>
      </c>
      <c r="T266" t="b">
        <v>0</v>
      </c>
      <c r="U266" t="b">
        <v>1</v>
      </c>
      <c r="V266" t="b">
        <v>0</v>
      </c>
      <c r="W266" t="b">
        <v>0</v>
      </c>
      <c r="X266" t="b">
        <v>0</v>
      </c>
      <c r="Y266" t="b">
        <v>0</v>
      </c>
      <c r="Z266" t="b">
        <v>0</v>
      </c>
      <c r="AA266" t="b">
        <v>0</v>
      </c>
      <c r="AB266" t="b">
        <v>0</v>
      </c>
      <c r="AC266" t="s">
        <v>173</v>
      </c>
      <c r="AD266" t="s">
        <v>173</v>
      </c>
      <c r="AE266" t="s">
        <v>173</v>
      </c>
      <c r="AF266" t="s">
        <v>173</v>
      </c>
      <c r="AG266" t="s">
        <v>173</v>
      </c>
      <c r="AH266" t="s">
        <v>173</v>
      </c>
      <c r="AI266" t="s">
        <v>173</v>
      </c>
      <c r="AJ266" t="s">
        <v>173</v>
      </c>
      <c r="AK266" t="s">
        <v>173</v>
      </c>
      <c r="AL266" t="s">
        <v>173</v>
      </c>
      <c r="AM266" t="s">
        <v>173</v>
      </c>
      <c r="AN266" t="s">
        <v>173</v>
      </c>
      <c r="AO266" t="s">
        <v>173</v>
      </c>
      <c r="AP266" t="s">
        <v>173</v>
      </c>
      <c r="AQ266" t="s">
        <v>173</v>
      </c>
      <c r="AR266" t="s">
        <v>173</v>
      </c>
      <c r="AS266" t="s">
        <v>173</v>
      </c>
      <c r="AT266" t="s">
        <v>173</v>
      </c>
      <c r="AU266" t="s">
        <v>173</v>
      </c>
      <c r="AV266" t="s">
        <v>173</v>
      </c>
      <c r="AW266" t="s">
        <v>173</v>
      </c>
      <c r="AX266" t="s">
        <v>192</v>
      </c>
      <c r="AY266" t="s">
        <v>205</v>
      </c>
      <c r="AZ266" t="s">
        <v>208</v>
      </c>
      <c r="BA266" t="s">
        <v>183</v>
      </c>
      <c r="BB266" t="s">
        <v>183</v>
      </c>
      <c r="BC266" t="s">
        <v>183</v>
      </c>
      <c r="BD266" t="s">
        <v>183</v>
      </c>
    </row>
    <row r="267" hidden="1" spans="1:56">
      <c r="A267">
        <v>266</v>
      </c>
      <c r="B267" t="s">
        <v>259</v>
      </c>
      <c r="C267">
        <v>2022</v>
      </c>
      <c r="D267">
        <v>2016</v>
      </c>
      <c r="E267">
        <v>2016</v>
      </c>
      <c r="F267" t="s">
        <v>253</v>
      </c>
      <c r="G267"/>
      <c r="H267" t="s">
        <v>247</v>
      </c>
      <c r="I267"/>
      <c r="J267" t="s">
        <v>265</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1</v>
      </c>
      <c r="AC267" t="s">
        <v>173</v>
      </c>
      <c r="AD267" t="s">
        <v>175</v>
      </c>
      <c r="AE267" t="s">
        <v>173</v>
      </c>
      <c r="AF267" t="s">
        <v>173</v>
      </c>
      <c r="AG267" t="s">
        <v>173</v>
      </c>
      <c r="AH267" t="s">
        <v>173</v>
      </c>
      <c r="AI267" t="s">
        <v>173</v>
      </c>
      <c r="AJ267" t="s">
        <v>173</v>
      </c>
      <c r="AK267" t="s">
        <v>173</v>
      </c>
      <c r="AL267" t="s">
        <v>171</v>
      </c>
      <c r="AM267" t="s">
        <v>173</v>
      </c>
      <c r="AN267" t="s">
        <v>175</v>
      </c>
      <c r="AO267" t="s">
        <v>175</v>
      </c>
      <c r="AP267" t="s">
        <v>173</v>
      </c>
      <c r="AQ267" t="s">
        <v>175</v>
      </c>
      <c r="AR267" t="s">
        <v>173</v>
      </c>
      <c r="AS267" t="s">
        <v>171</v>
      </c>
      <c r="AT267" t="s">
        <v>173</v>
      </c>
      <c r="AU267" t="s">
        <v>173</v>
      </c>
      <c r="AV267" t="s">
        <v>173</v>
      </c>
      <c r="AW267" t="s">
        <v>171</v>
      </c>
      <c r="AX267" t="s">
        <v>193</v>
      </c>
      <c r="AY267" t="s">
        <v>195</v>
      </c>
      <c r="AZ267" t="s">
        <v>183</v>
      </c>
      <c r="BA267" t="s">
        <v>183</v>
      </c>
      <c r="BB267" t="s">
        <v>183</v>
      </c>
      <c r="BC267" t="s">
        <v>183</v>
      </c>
      <c r="BD267" t="s">
        <v>183</v>
      </c>
    </row>
    <row r="268" hidden="1" spans="1:56">
      <c r="A268">
        <v>267</v>
      </c>
      <c r="B268" t="s">
        <v>259</v>
      </c>
      <c r="C268">
        <v>2023</v>
      </c>
      <c r="D268">
        <v>1998</v>
      </c>
      <c r="E268">
        <v>1998</v>
      </c>
      <c r="F268" t="s">
        <v>275</v>
      </c>
      <c r="G268"/>
      <c r="H268" t="s">
        <v>247</v>
      </c>
      <c r="I268"/>
      <c r="J268" t="s">
        <v>265</v>
      </c>
      <c r="K268" t="b">
        <v>0</v>
      </c>
      <c r="L268" t="b">
        <v>0</v>
      </c>
      <c r="M268" t="b">
        <v>0</v>
      </c>
      <c r="N268" t="b">
        <v>0</v>
      </c>
      <c r="O268" t="b">
        <v>0</v>
      </c>
      <c r="P268" t="b">
        <v>0</v>
      </c>
      <c r="Q268" t="b">
        <v>0</v>
      </c>
      <c r="R268" t="b">
        <v>0</v>
      </c>
      <c r="S268" t="b">
        <v>0</v>
      </c>
      <c r="T268" t="b">
        <v>0</v>
      </c>
      <c r="U268" t="b">
        <v>0</v>
      </c>
      <c r="V268" t="b">
        <v>0</v>
      </c>
      <c r="W268" t="b">
        <v>0</v>
      </c>
      <c r="X268" t="b">
        <v>0</v>
      </c>
      <c r="Y268" t="b">
        <v>0</v>
      </c>
      <c r="Z268" t="b">
        <v>1</v>
      </c>
      <c r="AA268" t="b">
        <v>0</v>
      </c>
      <c r="AB268" t="b">
        <v>0</v>
      </c>
      <c r="AC268" t="s">
        <v>173</v>
      </c>
      <c r="AD268" t="s">
        <v>183</v>
      </c>
      <c r="AE268" t="s">
        <v>173</v>
      </c>
      <c r="AF268" t="s">
        <v>173</v>
      </c>
      <c r="AG268" t="s">
        <v>181</v>
      </c>
      <c r="AH268" t="s">
        <v>173</v>
      </c>
      <c r="AI268" t="s">
        <v>173</v>
      </c>
      <c r="AJ268" t="s">
        <v>173</v>
      </c>
      <c r="AK268" t="s">
        <v>173</v>
      </c>
      <c r="AL268" t="s">
        <v>173</v>
      </c>
      <c r="AM268" t="s">
        <v>173</v>
      </c>
      <c r="AN268" t="s">
        <v>173</v>
      </c>
      <c r="AO268" t="s">
        <v>183</v>
      </c>
      <c r="AP268" t="s">
        <v>173</v>
      </c>
      <c r="AQ268" t="s">
        <v>183</v>
      </c>
      <c r="AR268" t="s">
        <v>173</v>
      </c>
      <c r="AS268" t="s">
        <v>173</v>
      </c>
      <c r="AT268" t="s">
        <v>173</v>
      </c>
      <c r="AU268" t="s">
        <v>173</v>
      </c>
      <c r="AV268" t="s">
        <v>181</v>
      </c>
      <c r="AW268" t="s">
        <v>173</v>
      </c>
      <c r="AX268" t="s">
        <v>192</v>
      </c>
      <c r="AY268" t="s">
        <v>196</v>
      </c>
      <c r="AZ268" t="s">
        <v>183</v>
      </c>
      <c r="BA268" t="s">
        <v>183</v>
      </c>
      <c r="BB268" t="s">
        <v>183</v>
      </c>
      <c r="BC268" t="s">
        <v>183</v>
      </c>
      <c r="BD268" t="s">
        <v>183</v>
      </c>
    </row>
    <row r="269" hidden="1" spans="1:56">
      <c r="A269">
        <v>268</v>
      </c>
      <c r="B269" t="s">
        <v>269</v>
      </c>
      <c r="C269">
        <v>2022</v>
      </c>
      <c r="D269">
        <v>2020</v>
      </c>
      <c r="E269">
        <v>2020</v>
      </c>
      <c r="F269" t="s">
        <v>275</v>
      </c>
      <c r="G269"/>
      <c r="H269" t="s">
        <v>264</v>
      </c>
      <c r="I269"/>
      <c r="J269" t="s">
        <v>265</v>
      </c>
      <c r="K269" t="b">
        <v>0</v>
      </c>
      <c r="L269" t="b">
        <v>0</v>
      </c>
      <c r="M269" t="b">
        <v>0</v>
      </c>
      <c r="N269" t="b">
        <v>0</v>
      </c>
      <c r="O269" t="b">
        <v>0</v>
      </c>
      <c r="P269" t="b">
        <v>0</v>
      </c>
      <c r="Q269" t="b">
        <v>0</v>
      </c>
      <c r="R269" t="b">
        <v>0</v>
      </c>
      <c r="S269" t="b">
        <v>0</v>
      </c>
      <c r="T269" t="b">
        <v>0</v>
      </c>
      <c r="U269" t="b">
        <v>1</v>
      </c>
      <c r="V269" t="b">
        <v>0</v>
      </c>
      <c r="W269" t="b">
        <v>0</v>
      </c>
      <c r="X269" t="b">
        <v>0</v>
      </c>
      <c r="Y269" t="b">
        <v>0</v>
      </c>
      <c r="Z269" t="b">
        <v>0</v>
      </c>
      <c r="AA269" t="b">
        <v>0</v>
      </c>
      <c r="AB269" t="b">
        <v>0</v>
      </c>
      <c r="AC269" t="s">
        <v>171</v>
      </c>
      <c r="AD269" t="s">
        <v>171</v>
      </c>
      <c r="AE269" t="s">
        <v>171</v>
      </c>
      <c r="AF269" t="s">
        <v>171</v>
      </c>
      <c r="AG269" t="s">
        <v>171</v>
      </c>
      <c r="AH269" t="s">
        <v>171</v>
      </c>
      <c r="AI269" t="s">
        <v>171</v>
      </c>
      <c r="AJ269" t="s">
        <v>171</v>
      </c>
      <c r="AK269" t="s">
        <v>171</v>
      </c>
      <c r="AL269" t="s">
        <v>171</v>
      </c>
      <c r="AM269" t="s">
        <v>171</v>
      </c>
      <c r="AN269" t="s">
        <v>171</v>
      </c>
      <c r="AO269" t="s">
        <v>183</v>
      </c>
      <c r="AP269" t="s">
        <v>171</v>
      </c>
      <c r="AQ269" t="s">
        <v>171</v>
      </c>
      <c r="AR269" t="s">
        <v>171</v>
      </c>
      <c r="AS269" t="s">
        <v>171</v>
      </c>
      <c r="AT269" t="s">
        <v>171</v>
      </c>
      <c r="AU269" t="s">
        <v>171</v>
      </c>
      <c r="AV269" t="s">
        <v>171</v>
      </c>
      <c r="AW269" t="s">
        <v>171</v>
      </c>
      <c r="AX269" t="s">
        <v>192</v>
      </c>
      <c r="AY269" t="s">
        <v>201</v>
      </c>
      <c r="AZ269" t="s">
        <v>183</v>
      </c>
      <c r="BA269" t="s">
        <v>183</v>
      </c>
      <c r="BB269" t="s">
        <v>183</v>
      </c>
      <c r="BC269" t="s">
        <v>183</v>
      </c>
      <c r="BD269" t="s">
        <v>183</v>
      </c>
    </row>
    <row r="270" hidden="1" spans="1:56">
      <c r="A270">
        <v>269</v>
      </c>
      <c r="B270" t="s">
        <v>272</v>
      </c>
      <c r="C270">
        <v>2022</v>
      </c>
      <c r="D270">
        <v>2020</v>
      </c>
      <c r="E270">
        <v>2021</v>
      </c>
      <c r="F270" t="s">
        <v>256</v>
      </c>
      <c r="G270" t="s">
        <v>263</v>
      </c>
      <c r="H270" t="s">
        <v>258</v>
      </c>
      <c r="I270"/>
      <c r="J270" t="s">
        <v>252</v>
      </c>
      <c r="K270" t="b">
        <v>0</v>
      </c>
      <c r="L270" t="b">
        <v>0</v>
      </c>
      <c r="M270" t="b">
        <v>0</v>
      </c>
      <c r="N270" t="b">
        <v>0</v>
      </c>
      <c r="O270" t="b">
        <v>0</v>
      </c>
      <c r="P270" t="b">
        <v>0</v>
      </c>
      <c r="Q270" t="b">
        <v>0</v>
      </c>
      <c r="R270" t="b">
        <v>0</v>
      </c>
      <c r="S270" t="b">
        <v>0</v>
      </c>
      <c r="T270" t="b">
        <v>0</v>
      </c>
      <c r="U270" t="b">
        <v>1</v>
      </c>
      <c r="V270" t="b">
        <v>1</v>
      </c>
      <c r="W270" t="b">
        <v>1</v>
      </c>
      <c r="X270" t="b">
        <v>0</v>
      </c>
      <c r="Y270" t="b">
        <v>0</v>
      </c>
      <c r="Z270" t="b">
        <v>0</v>
      </c>
      <c r="AA270" t="b">
        <v>0</v>
      </c>
      <c r="AB270" t="b">
        <v>0</v>
      </c>
      <c r="AC270" t="s">
        <v>173</v>
      </c>
      <c r="AD270" t="s">
        <v>173</v>
      </c>
      <c r="AE270" t="s">
        <v>173</v>
      </c>
      <c r="AF270" t="s">
        <v>173</v>
      </c>
      <c r="AG270" t="s">
        <v>173</v>
      </c>
      <c r="AH270" t="s">
        <v>173</v>
      </c>
      <c r="AI270" t="s">
        <v>171</v>
      </c>
      <c r="AJ270" t="s">
        <v>173</v>
      </c>
      <c r="AK270" t="s">
        <v>173</v>
      </c>
      <c r="AL270" t="s">
        <v>171</v>
      </c>
      <c r="AM270" t="s">
        <v>173</v>
      </c>
      <c r="AN270" t="s">
        <v>173</v>
      </c>
      <c r="AO270" t="s">
        <v>173</v>
      </c>
      <c r="AP270" t="s">
        <v>173</v>
      </c>
      <c r="AQ270" t="s">
        <v>173</v>
      </c>
      <c r="AR270" t="s">
        <v>173</v>
      </c>
      <c r="AS270" t="s">
        <v>173</v>
      </c>
      <c r="AT270" t="s">
        <v>173</v>
      </c>
      <c r="AU270" t="s">
        <v>173</v>
      </c>
      <c r="AV270" t="s">
        <v>175</v>
      </c>
      <c r="AW270" t="s">
        <v>171</v>
      </c>
      <c r="AX270" t="s">
        <v>192</v>
      </c>
      <c r="AY270" t="s">
        <v>203</v>
      </c>
      <c r="AZ270" t="s">
        <v>183</v>
      </c>
      <c r="BA270" t="s">
        <v>183</v>
      </c>
      <c r="BB270" t="s">
        <v>183</v>
      </c>
      <c r="BC270" t="s">
        <v>183</v>
      </c>
      <c r="BD270" t="s">
        <v>183</v>
      </c>
    </row>
    <row r="271" hidden="1" spans="1:56">
      <c r="A271">
        <v>270</v>
      </c>
      <c r="B271" t="s">
        <v>255</v>
      </c>
      <c r="C271">
        <v>2022</v>
      </c>
      <c r="D271">
        <v>2019</v>
      </c>
      <c r="E271">
        <v>2019</v>
      </c>
      <c r="F271" t="s">
        <v>256</v>
      </c>
      <c r="G271" t="s">
        <v>263</v>
      </c>
      <c r="H271" t="s">
        <v>258</v>
      </c>
      <c r="I271"/>
      <c r="J271" t="s">
        <v>252</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1</v>
      </c>
      <c r="AC271" t="s">
        <v>173</v>
      </c>
      <c r="AD271" t="s">
        <v>173</v>
      </c>
      <c r="AE271" t="s">
        <v>173</v>
      </c>
      <c r="AF271" t="s">
        <v>173</v>
      </c>
      <c r="AG271" t="s">
        <v>173</v>
      </c>
      <c r="AH271" t="s">
        <v>173</v>
      </c>
      <c r="AI271" t="s">
        <v>175</v>
      </c>
      <c r="AJ271" t="s">
        <v>173</v>
      </c>
      <c r="AK271" t="s">
        <v>173</v>
      </c>
      <c r="AL271" t="s">
        <v>173</v>
      </c>
      <c r="AM271" t="s">
        <v>173</v>
      </c>
      <c r="AN271" t="s">
        <v>175</v>
      </c>
      <c r="AO271" t="s">
        <v>173</v>
      </c>
      <c r="AP271" t="s">
        <v>173</v>
      </c>
      <c r="AQ271" t="s">
        <v>173</v>
      </c>
      <c r="AR271" t="s">
        <v>173</v>
      </c>
      <c r="AS271" t="s">
        <v>173</v>
      </c>
      <c r="AT271" t="s">
        <v>173</v>
      </c>
      <c r="AU271" t="s">
        <v>173</v>
      </c>
      <c r="AV271" t="s">
        <v>175</v>
      </c>
      <c r="AW271" t="s">
        <v>175</v>
      </c>
      <c r="AX271" t="s">
        <v>192</v>
      </c>
      <c r="AY271" t="s">
        <v>200</v>
      </c>
      <c r="AZ271" t="s">
        <v>183</v>
      </c>
      <c r="BA271" t="s">
        <v>183</v>
      </c>
      <c r="BB271" t="s">
        <v>183</v>
      </c>
      <c r="BC271" t="s">
        <v>183</v>
      </c>
      <c r="BD271" t="s">
        <v>183</v>
      </c>
    </row>
    <row r="272" hidden="1" spans="1:56">
      <c r="A272">
        <v>271</v>
      </c>
      <c r="B272" t="s">
        <v>259</v>
      </c>
      <c r="C272">
        <v>2022</v>
      </c>
      <c r="D272">
        <v>1990</v>
      </c>
      <c r="E272">
        <v>1990</v>
      </c>
      <c r="F272" t="s">
        <v>266</v>
      </c>
      <c r="G272"/>
      <c r="H272" t="s">
        <v>274</v>
      </c>
      <c r="I272"/>
      <c r="J272" t="s">
        <v>265</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1</v>
      </c>
      <c r="AC272" t="s">
        <v>175</v>
      </c>
      <c r="AD272" t="s">
        <v>181</v>
      </c>
      <c r="AE272" t="s">
        <v>173</v>
      </c>
      <c r="AF272" t="s">
        <v>173</v>
      </c>
      <c r="AG272" t="s">
        <v>173</v>
      </c>
      <c r="AH272" t="s">
        <v>173</v>
      </c>
      <c r="AI272" t="s">
        <v>175</v>
      </c>
      <c r="AJ272" t="s">
        <v>175</v>
      </c>
      <c r="AK272" t="s">
        <v>175</v>
      </c>
      <c r="AL272" t="s">
        <v>175</v>
      </c>
      <c r="AM272" t="s">
        <v>173</v>
      </c>
      <c r="AN272" t="s">
        <v>175</v>
      </c>
      <c r="AO272" t="s">
        <v>177</v>
      </c>
      <c r="AP272" t="s">
        <v>177</v>
      </c>
      <c r="AQ272" t="s">
        <v>177</v>
      </c>
      <c r="AR272" t="s">
        <v>175</v>
      </c>
      <c r="AS272" t="s">
        <v>175</v>
      </c>
      <c r="AT272" t="s">
        <v>173</v>
      </c>
      <c r="AU272" t="s">
        <v>175</v>
      </c>
      <c r="AV272" t="s">
        <v>173</v>
      </c>
      <c r="AW272" t="s">
        <v>173</v>
      </c>
      <c r="AX272" t="s">
        <v>192</v>
      </c>
      <c r="AY272" t="s">
        <v>195</v>
      </c>
      <c r="AZ272" t="s">
        <v>183</v>
      </c>
      <c r="BA272" t="s">
        <v>183</v>
      </c>
      <c r="BB272" t="s">
        <v>183</v>
      </c>
      <c r="BC272" t="s">
        <v>183</v>
      </c>
      <c r="BD272" t="s">
        <v>183</v>
      </c>
    </row>
    <row r="273" spans="1:65">
      <c r="A273">
        <v>272</v>
      </c>
      <c r="B273" t="s">
        <v>286</v>
      </c>
      <c r="C273" s="10">
        <v>2022</v>
      </c>
      <c r="D273" s="10">
        <v>1979</v>
      </c>
      <c r="E273" s="10">
        <v>2014</v>
      </c>
      <c r="F273" s="10" t="s">
        <v>241</v>
      </c>
      <c r="G273" s="10" t="s">
        <v>301</v>
      </c>
      <c r="H273" s="10" t="s">
        <v>243</v>
      </c>
      <c r="I273" s="10" t="s">
        <v>295</v>
      </c>
      <c r="J273" s="10" t="s">
        <v>245</v>
      </c>
      <c r="K273" t="b">
        <v>0</v>
      </c>
      <c r="L273" t="b">
        <v>0</v>
      </c>
      <c r="M273" t="b">
        <v>0</v>
      </c>
      <c r="N273" t="b">
        <v>1</v>
      </c>
      <c r="O273" t="b">
        <v>0</v>
      </c>
      <c r="P273" t="b">
        <v>0</v>
      </c>
      <c r="Q273" t="b">
        <v>1</v>
      </c>
      <c r="R273" t="b">
        <v>0</v>
      </c>
      <c r="S273" t="b">
        <v>0</v>
      </c>
      <c r="T273" t="b">
        <v>0</v>
      </c>
      <c r="U273" t="b">
        <v>0</v>
      </c>
      <c r="V273" t="b">
        <v>0</v>
      </c>
      <c r="W273" t="b">
        <v>0</v>
      </c>
      <c r="X273" t="b">
        <v>0</v>
      </c>
      <c r="Y273" t="b">
        <v>0</v>
      </c>
      <c r="Z273" t="b">
        <v>0</v>
      </c>
      <c r="AA273" t="b">
        <v>0</v>
      </c>
      <c r="AB273" t="b">
        <v>0</v>
      </c>
      <c r="AC273" s="10" t="s">
        <v>177</v>
      </c>
      <c r="AD273" t="s">
        <v>179</v>
      </c>
      <c r="AE273" t="s">
        <v>179</v>
      </c>
      <c r="AF273" t="s">
        <v>179</v>
      </c>
      <c r="AG273" t="s">
        <v>177</v>
      </c>
      <c r="AH273" t="s">
        <v>175</v>
      </c>
      <c r="AI273" t="s">
        <v>179</v>
      </c>
      <c r="AJ273" t="s">
        <v>179</v>
      </c>
      <c r="AK273" t="s">
        <v>179</v>
      </c>
      <c r="AL273" t="s">
        <v>179</v>
      </c>
      <c r="AM273" t="s">
        <v>179</v>
      </c>
      <c r="AN273" t="s">
        <v>179</v>
      </c>
      <c r="AO273" t="s">
        <v>179</v>
      </c>
      <c r="AP273" t="s">
        <v>179</v>
      </c>
      <c r="AQ273" t="s">
        <v>179</v>
      </c>
      <c r="AR273" t="s">
        <v>179</v>
      </c>
      <c r="AS273" t="s">
        <v>179</v>
      </c>
      <c r="AT273" t="s">
        <v>177</v>
      </c>
      <c r="AU273" t="s">
        <v>179</v>
      </c>
      <c r="AV273" t="s">
        <v>175</v>
      </c>
      <c r="AW273" t="s">
        <v>177</v>
      </c>
      <c r="AX273" t="s">
        <v>193</v>
      </c>
      <c r="AY273" t="s">
        <v>204</v>
      </c>
      <c r="AZ273" t="s">
        <v>207</v>
      </c>
      <c r="BA273" t="s">
        <v>207</v>
      </c>
      <c r="BB273" t="s">
        <v>207</v>
      </c>
      <c r="BC273" t="s">
        <v>207</v>
      </c>
      <c r="BD273" t="s">
        <v>207</v>
      </c>
      <c r="BE273" t="str">
        <f>IF(AY273="","Unknown",AY273)</f>
        <v>61Not StatedorNot Statedolder</v>
      </c>
      <c r="BF273" s="11" t="str">
        <f>IF(AZ273="","unknown",AZ273)</f>
        <v>NO</v>
      </c>
      <c r="BG273" s="11" t="str">
        <f>IF(BA273="","UNKNOWN",BA273)</f>
        <v>NO</v>
      </c>
      <c r="BH273" s="11" t="str">
        <f>IF(BB273="","unknown",BB273)</f>
        <v>NO</v>
      </c>
      <c r="BI273" s="11" t="str">
        <f>IF(BC273="","Unknon",BC273)</f>
        <v>NO</v>
      </c>
      <c r="BJ273" s="11" t="str">
        <f>IF(BD273="","Unknown",BD273)</f>
        <v>NO</v>
      </c>
      <c r="BK273" s="11">
        <f>VALUE(C273)-VALUE(D273)</f>
        <v>43</v>
      </c>
      <c r="BM273" s="11"/>
    </row>
    <row r="274" hidden="1" spans="1:56">
      <c r="A274">
        <v>273</v>
      </c>
      <c r="B274" t="s">
        <v>280</v>
      </c>
      <c r="C274">
        <v>2022</v>
      </c>
      <c r="D274">
        <v>1981</v>
      </c>
      <c r="E274">
        <v>1987</v>
      </c>
      <c r="F274" t="s">
        <v>260</v>
      </c>
      <c r="G274"/>
      <c r="H274" t="s">
        <v>274</v>
      </c>
      <c r="I274"/>
      <c r="J274" t="s">
        <v>252</v>
      </c>
      <c r="K274" t="b">
        <v>0</v>
      </c>
      <c r="L274" t="b">
        <v>0</v>
      </c>
      <c r="M274" t="b">
        <v>0</v>
      </c>
      <c r="N274" t="b">
        <v>0</v>
      </c>
      <c r="O274" t="b">
        <v>0</v>
      </c>
      <c r="P274" t="b">
        <v>0</v>
      </c>
      <c r="Q274" t="b">
        <v>0</v>
      </c>
      <c r="R274" t="b">
        <v>0</v>
      </c>
      <c r="S274" t="b">
        <v>0</v>
      </c>
      <c r="T274" t="b">
        <v>0</v>
      </c>
      <c r="U274" t="b">
        <v>0</v>
      </c>
      <c r="V274" t="b">
        <v>0</v>
      </c>
      <c r="W274" t="b">
        <v>0</v>
      </c>
      <c r="X274" t="b">
        <v>1</v>
      </c>
      <c r="Y274" t="b">
        <v>0</v>
      </c>
      <c r="Z274" t="b">
        <v>0</v>
      </c>
      <c r="AA274" t="b">
        <v>1</v>
      </c>
      <c r="AB274" t="b">
        <v>0</v>
      </c>
      <c r="AC274" t="s">
        <v>173</v>
      </c>
      <c r="AD274" t="s">
        <v>173</v>
      </c>
      <c r="AE274" t="s">
        <v>173</v>
      </c>
      <c r="AF274" t="s">
        <v>175</v>
      </c>
      <c r="AG274" t="s">
        <v>173</v>
      </c>
      <c r="AH274" t="s">
        <v>173</v>
      </c>
      <c r="AI274" t="s">
        <v>175</v>
      </c>
      <c r="AJ274" t="s">
        <v>175</v>
      </c>
      <c r="AK274" t="s">
        <v>173</v>
      </c>
      <c r="AL274" t="s">
        <v>173</v>
      </c>
      <c r="AM274" t="s">
        <v>173</v>
      </c>
      <c r="AN274" t="s">
        <v>173</v>
      </c>
      <c r="AO274" t="s">
        <v>175</v>
      </c>
      <c r="AP274" t="s">
        <v>173</v>
      </c>
      <c r="AQ274" t="s">
        <v>173</v>
      </c>
      <c r="AR274" t="s">
        <v>173</v>
      </c>
      <c r="AS274" t="s">
        <v>173</v>
      </c>
      <c r="AT274" t="s">
        <v>173</v>
      </c>
      <c r="AU274" t="s">
        <v>173</v>
      </c>
      <c r="AV274" t="s">
        <v>175</v>
      </c>
      <c r="AW274" t="s">
        <v>173</v>
      </c>
      <c r="AX274" t="s">
        <v>193</v>
      </c>
      <c r="AY274" t="s">
        <v>195</v>
      </c>
      <c r="AZ274" t="s">
        <v>183</v>
      </c>
      <c r="BA274" t="s">
        <v>183</v>
      </c>
      <c r="BB274" t="s">
        <v>183</v>
      </c>
      <c r="BC274" t="s">
        <v>183</v>
      </c>
      <c r="BD274" t="s">
        <v>183</v>
      </c>
    </row>
    <row r="275" hidden="1" spans="1:56">
      <c r="A275">
        <v>274</v>
      </c>
      <c r="B275" t="s">
        <v>255</v>
      </c>
      <c r="C275">
        <v>2022</v>
      </c>
      <c r="D275">
        <v>2000</v>
      </c>
      <c r="E275">
        <v>2016</v>
      </c>
      <c r="F275" t="s">
        <v>256</v>
      </c>
      <c r="G275" t="s">
        <v>257</v>
      </c>
      <c r="H275" t="s">
        <v>258</v>
      </c>
      <c r="I275"/>
      <c r="J275" t="s">
        <v>265</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1</v>
      </c>
      <c r="AC275" t="s">
        <v>171</v>
      </c>
      <c r="AD275" t="s">
        <v>173</v>
      </c>
      <c r="AE275" t="s">
        <v>173</v>
      </c>
      <c r="AF275" t="s">
        <v>173</v>
      </c>
      <c r="AG275" t="s">
        <v>173</v>
      </c>
      <c r="AH275" t="s">
        <v>173</v>
      </c>
      <c r="AI275" t="s">
        <v>173</v>
      </c>
      <c r="AJ275" t="s">
        <v>173</v>
      </c>
      <c r="AK275" t="s">
        <v>173</v>
      </c>
      <c r="AL275" t="s">
        <v>173</v>
      </c>
      <c r="AM275" t="s">
        <v>183</v>
      </c>
      <c r="AN275" t="s">
        <v>173</v>
      </c>
      <c r="AO275" t="s">
        <v>173</v>
      </c>
      <c r="AP275" t="s">
        <v>173</v>
      </c>
      <c r="AQ275" t="s">
        <v>173</v>
      </c>
      <c r="AR275" t="s">
        <v>173</v>
      </c>
      <c r="AS275" t="s">
        <v>173</v>
      </c>
      <c r="AT275" t="s">
        <v>173</v>
      </c>
      <c r="AU275" t="s">
        <v>173</v>
      </c>
      <c r="AV275" t="s">
        <v>173</v>
      </c>
      <c r="AW275" t="s">
        <v>173</v>
      </c>
      <c r="AX275" t="s">
        <v>192</v>
      </c>
      <c r="AY275" t="s">
        <v>196</v>
      </c>
      <c r="AZ275" t="s">
        <v>183</v>
      </c>
      <c r="BA275" t="s">
        <v>183</v>
      </c>
      <c r="BB275" t="s">
        <v>183</v>
      </c>
      <c r="BC275" t="s">
        <v>183</v>
      </c>
      <c r="BD275" t="s">
        <v>183</v>
      </c>
    </row>
    <row r="276" hidden="1" spans="1:56">
      <c r="A276">
        <v>275</v>
      </c>
      <c r="B276" t="s">
        <v>269</v>
      </c>
      <c r="C276">
        <v>2023</v>
      </c>
      <c r="D276">
        <v>2020</v>
      </c>
      <c r="E276">
        <v>2020</v>
      </c>
      <c r="F276" t="s">
        <v>248</v>
      </c>
      <c r="G276" t="s">
        <v>242</v>
      </c>
      <c r="H276" t="s">
        <v>247</v>
      </c>
      <c r="I276"/>
      <c r="J276" t="s">
        <v>281</v>
      </c>
      <c r="K276" t="b">
        <v>0</v>
      </c>
      <c r="L276" t="b">
        <v>1</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s">
        <v>171</v>
      </c>
      <c r="AD276" t="s">
        <v>179</v>
      </c>
      <c r="AE276" t="s">
        <v>173</v>
      </c>
      <c r="AF276" t="s">
        <v>171</v>
      </c>
      <c r="AG276" t="s">
        <v>173</v>
      </c>
      <c r="AH276" t="s">
        <v>171</v>
      </c>
      <c r="AI276" t="s">
        <v>171</v>
      </c>
      <c r="AJ276" t="s">
        <v>171</v>
      </c>
      <c r="AK276" t="s">
        <v>171</v>
      </c>
      <c r="AL276" t="s">
        <v>171</v>
      </c>
      <c r="AM276" t="s">
        <v>171</v>
      </c>
      <c r="AN276" t="s">
        <v>173</v>
      </c>
      <c r="AO276" t="s">
        <v>171</v>
      </c>
      <c r="AP276" t="s">
        <v>171</v>
      </c>
      <c r="AQ276" t="s">
        <v>171</v>
      </c>
      <c r="AR276" t="s">
        <v>173</v>
      </c>
      <c r="AS276" t="s">
        <v>173</v>
      </c>
      <c r="AT276" t="s">
        <v>173</v>
      </c>
      <c r="AU276" t="s">
        <v>175</v>
      </c>
      <c r="AV276" t="s">
        <v>171</v>
      </c>
      <c r="AW276" t="s">
        <v>171</v>
      </c>
      <c r="AX276" t="s">
        <v>192</v>
      </c>
      <c r="AY276" t="s">
        <v>201</v>
      </c>
      <c r="AZ276" t="s">
        <v>183</v>
      </c>
      <c r="BA276" t="s">
        <v>183</v>
      </c>
      <c r="BB276" t="s">
        <v>183</v>
      </c>
      <c r="BC276" t="s">
        <v>183</v>
      </c>
      <c r="BD276" t="s">
        <v>183</v>
      </c>
    </row>
    <row r="277" spans="1:65">
      <c r="A277">
        <v>276</v>
      </c>
      <c r="B277" t="s">
        <v>282</v>
      </c>
      <c r="C277" s="10">
        <v>2022</v>
      </c>
      <c r="D277" s="10">
        <v>2010</v>
      </c>
      <c r="E277" s="10">
        <v>2014</v>
      </c>
      <c r="F277" s="10" t="s">
        <v>241</v>
      </c>
      <c r="G277" s="10" t="s">
        <v>249</v>
      </c>
      <c r="H277" s="10" t="s">
        <v>243</v>
      </c>
      <c r="I277" s="10" t="s">
        <v>311</v>
      </c>
      <c r="J277" s="10" t="s">
        <v>245</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1</v>
      </c>
      <c r="AC277" s="10" t="s">
        <v>173</v>
      </c>
      <c r="AD277" t="s">
        <v>179</v>
      </c>
      <c r="AE277" t="s">
        <v>179</v>
      </c>
      <c r="AF277" t="s">
        <v>171</v>
      </c>
      <c r="AG277" t="s">
        <v>171</v>
      </c>
      <c r="AH277" t="s">
        <v>173</v>
      </c>
      <c r="AI277" t="s">
        <v>173</v>
      </c>
      <c r="AJ277" t="s">
        <v>173</v>
      </c>
      <c r="AK277" t="s">
        <v>171</v>
      </c>
      <c r="AL277" t="s">
        <v>177</v>
      </c>
      <c r="AM277" t="s">
        <v>179</v>
      </c>
      <c r="AN277" t="s">
        <v>173</v>
      </c>
      <c r="AO277" t="s">
        <v>171</v>
      </c>
      <c r="AP277" t="s">
        <v>171</v>
      </c>
      <c r="AQ277" t="s">
        <v>175</v>
      </c>
      <c r="AR277" t="s">
        <v>173</v>
      </c>
      <c r="AS277" t="s">
        <v>173</v>
      </c>
      <c r="AT277" t="s">
        <v>173</v>
      </c>
      <c r="AU277" t="s">
        <v>173</v>
      </c>
      <c r="AV277" t="s">
        <v>171</v>
      </c>
      <c r="AW277" t="s">
        <v>171</v>
      </c>
      <c r="AX277" t="s">
        <v>192</v>
      </c>
      <c r="AY277" t="s">
        <v>197</v>
      </c>
      <c r="AZ277" t="s">
        <v>207</v>
      </c>
      <c r="BA277" t="s">
        <v>207</v>
      </c>
      <c r="BB277" t="s">
        <v>207</v>
      </c>
      <c r="BC277" t="s">
        <v>207</v>
      </c>
      <c r="BD277" t="s">
        <v>208</v>
      </c>
      <c r="BE277" t="str">
        <f>IF(AY277="","Unknown",AY277)</f>
        <v>51-55</v>
      </c>
      <c r="BF277" s="11" t="str">
        <f>IF(AZ277="","unknown",AZ277)</f>
        <v>NO</v>
      </c>
      <c r="BG277" s="11" t="str">
        <f>IF(BA277="","UNKNOWN",BA277)</f>
        <v>NO</v>
      </c>
      <c r="BH277" s="11" t="str">
        <f>IF(BB277="","unknown",BB277)</f>
        <v>NO</v>
      </c>
      <c r="BI277" s="11" t="str">
        <f>IF(BC277="","Unknon",BC277)</f>
        <v>NO</v>
      </c>
      <c r="BJ277" s="11" t="str">
        <f>IF(BD277="","Unknown",BD277)</f>
        <v>Yes</v>
      </c>
      <c r="BK277" s="11">
        <f>VALUE(C277)-VALUE(D277)</f>
        <v>12</v>
      </c>
      <c r="BM277" s="11"/>
    </row>
    <row r="278" hidden="1" spans="1:56">
      <c r="A278">
        <v>277</v>
      </c>
      <c r="B278" t="s">
        <v>259</v>
      </c>
      <c r="C278">
        <v>2022</v>
      </c>
      <c r="D278">
        <v>1995</v>
      </c>
      <c r="E278">
        <v>1995</v>
      </c>
      <c r="F278" t="s">
        <v>266</v>
      </c>
      <c r="G278"/>
      <c r="H278" t="s">
        <v>250</v>
      </c>
      <c r="I278" t="s">
        <v>254</v>
      </c>
      <c r="J278" t="s">
        <v>265</v>
      </c>
      <c r="K278" t="b">
        <v>0</v>
      </c>
      <c r="L278" t="b">
        <v>0</v>
      </c>
      <c r="M278" t="b">
        <v>0</v>
      </c>
      <c r="N278" t="b">
        <v>0</v>
      </c>
      <c r="O278" t="b">
        <v>0</v>
      </c>
      <c r="P278" t="b">
        <v>0</v>
      </c>
      <c r="Q278" t="b">
        <v>0</v>
      </c>
      <c r="R278" t="b">
        <v>0</v>
      </c>
      <c r="S278" t="b">
        <v>0</v>
      </c>
      <c r="T278" t="b">
        <v>0</v>
      </c>
      <c r="U278" t="b">
        <v>0</v>
      </c>
      <c r="V278" t="b">
        <v>0</v>
      </c>
      <c r="W278" t="b">
        <v>0</v>
      </c>
      <c r="X278" t="b">
        <v>0</v>
      </c>
      <c r="Y278" t="b">
        <v>0</v>
      </c>
      <c r="Z278" t="b">
        <v>1</v>
      </c>
      <c r="AA278" t="b">
        <v>0</v>
      </c>
      <c r="AB278" t="b">
        <v>0</v>
      </c>
      <c r="AC278" t="s">
        <v>171</v>
      </c>
      <c r="AD278" t="s">
        <v>183</v>
      </c>
      <c r="AE278" t="s">
        <v>173</v>
      </c>
      <c r="AF278" t="s">
        <v>173</v>
      </c>
      <c r="AG278" t="s">
        <v>173</v>
      </c>
      <c r="AH278" t="s">
        <v>171</v>
      </c>
      <c r="AI278" t="s">
        <v>173</v>
      </c>
      <c r="AJ278" t="s">
        <v>173</v>
      </c>
      <c r="AK278" t="s">
        <v>173</v>
      </c>
      <c r="AL278" t="s">
        <v>171</v>
      </c>
      <c r="AM278" t="s">
        <v>171</v>
      </c>
      <c r="AN278" t="s">
        <v>171</v>
      </c>
      <c r="AO278" t="s">
        <v>173</v>
      </c>
      <c r="AP278" t="s">
        <v>173</v>
      </c>
      <c r="AQ278" t="s">
        <v>173</v>
      </c>
      <c r="AR278" t="s">
        <v>173</v>
      </c>
      <c r="AS278" t="s">
        <v>173</v>
      </c>
      <c r="AT278" t="s">
        <v>173</v>
      </c>
      <c r="AU278" t="s">
        <v>173</v>
      </c>
      <c r="AV278" t="s">
        <v>173</v>
      </c>
      <c r="AW278" t="s">
        <v>173</v>
      </c>
      <c r="AX278" t="s">
        <v>192</v>
      </c>
      <c r="AY278" t="s">
        <v>195</v>
      </c>
      <c r="AZ278" t="s">
        <v>183</v>
      </c>
      <c r="BA278" t="s">
        <v>183</v>
      </c>
      <c r="BB278" t="s">
        <v>183</v>
      </c>
      <c r="BC278" t="s">
        <v>183</v>
      </c>
      <c r="BD278" t="s">
        <v>183</v>
      </c>
    </row>
    <row r="279" hidden="1" spans="1:56">
      <c r="A279">
        <v>278</v>
      </c>
      <c r="B279" t="s">
        <v>246</v>
      </c>
      <c r="C279">
        <v>2022</v>
      </c>
      <c r="D279">
        <v>2001</v>
      </c>
      <c r="E279">
        <v>2007</v>
      </c>
      <c r="F279" t="s">
        <v>276</v>
      </c>
      <c r="G279"/>
      <c r="H279" t="s">
        <v>264</v>
      </c>
      <c r="I279"/>
      <c r="J279" t="s">
        <v>265</v>
      </c>
      <c r="K279" t="b">
        <v>0</v>
      </c>
      <c r="L279" t="b">
        <v>0</v>
      </c>
      <c r="M279" t="b">
        <v>0</v>
      </c>
      <c r="N279" t="b">
        <v>1</v>
      </c>
      <c r="O279" t="b">
        <v>1</v>
      </c>
      <c r="P279" t="b">
        <v>0</v>
      </c>
      <c r="Q279" t="b">
        <v>0</v>
      </c>
      <c r="R279" t="b">
        <v>0</v>
      </c>
      <c r="S279" t="b">
        <v>0</v>
      </c>
      <c r="T279" t="b">
        <v>0</v>
      </c>
      <c r="U279" t="b">
        <v>0</v>
      </c>
      <c r="V279" t="b">
        <v>0</v>
      </c>
      <c r="W279" t="b">
        <v>0</v>
      </c>
      <c r="X279" t="b">
        <v>0</v>
      </c>
      <c r="Y279" t="b">
        <v>0</v>
      </c>
      <c r="Z279" t="b">
        <v>0</v>
      </c>
      <c r="AA279" t="b">
        <v>0</v>
      </c>
      <c r="AB279" t="b">
        <v>0</v>
      </c>
      <c r="AC279" t="s">
        <v>175</v>
      </c>
      <c r="AD279" t="s">
        <v>177</v>
      </c>
      <c r="AE279" t="s">
        <v>179</v>
      </c>
      <c r="AF279" t="s">
        <v>179</v>
      </c>
      <c r="AG279" t="s">
        <v>179</v>
      </c>
      <c r="AH279" t="s">
        <v>171</v>
      </c>
      <c r="AI279" t="s">
        <v>173</v>
      </c>
      <c r="AJ279" t="s">
        <v>179</v>
      </c>
      <c r="AK279" t="s">
        <v>177</v>
      </c>
      <c r="AL279" t="s">
        <v>179</v>
      </c>
      <c r="AM279" t="s">
        <v>177</v>
      </c>
      <c r="AN279" t="s">
        <v>177</v>
      </c>
      <c r="AO279" t="s">
        <v>177</v>
      </c>
      <c r="AP279" t="s">
        <v>177</v>
      </c>
      <c r="AQ279" t="s">
        <v>177</v>
      </c>
      <c r="AR279" t="s">
        <v>179</v>
      </c>
      <c r="AS279" t="s">
        <v>179</v>
      </c>
      <c r="AT279" t="s">
        <v>177</v>
      </c>
      <c r="AU279" t="s">
        <v>179</v>
      </c>
      <c r="AV279" t="s">
        <v>177</v>
      </c>
      <c r="AW279" t="s">
        <v>179</v>
      </c>
      <c r="AX279" t="s">
        <v>192</v>
      </c>
      <c r="AY279" t="s">
        <v>196</v>
      </c>
      <c r="AZ279" t="s">
        <v>183</v>
      </c>
      <c r="BA279" t="s">
        <v>183</v>
      </c>
      <c r="BB279" t="s">
        <v>183</v>
      </c>
      <c r="BC279" t="s">
        <v>183</v>
      </c>
      <c r="BD279" t="s">
        <v>183</v>
      </c>
    </row>
    <row r="280" hidden="1" spans="1:56">
      <c r="A280">
        <v>279</v>
      </c>
      <c r="B280" t="s">
        <v>246</v>
      </c>
      <c r="C280">
        <v>2022</v>
      </c>
      <c r="D280">
        <v>2018</v>
      </c>
      <c r="E280">
        <v>2019</v>
      </c>
      <c r="F280" t="s">
        <v>248</v>
      </c>
      <c r="G280" t="s">
        <v>242</v>
      </c>
      <c r="H280" t="s">
        <v>267</v>
      </c>
      <c r="I280"/>
      <c r="J280" t="s">
        <v>252</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1</v>
      </c>
      <c r="AC280" t="s">
        <v>173</v>
      </c>
      <c r="AD280" t="s">
        <v>175</v>
      </c>
      <c r="AE280" t="s">
        <v>177</v>
      </c>
      <c r="AF280" t="s">
        <v>173</v>
      </c>
      <c r="AG280" t="s">
        <v>173</v>
      </c>
      <c r="AH280" t="s">
        <v>173</v>
      </c>
      <c r="AI280" t="s">
        <v>173</v>
      </c>
      <c r="AJ280" t="s">
        <v>181</v>
      </c>
      <c r="AK280" t="s">
        <v>173</v>
      </c>
      <c r="AL280" t="s">
        <v>173</v>
      </c>
      <c r="AM280" t="s">
        <v>177</v>
      </c>
      <c r="AN280" t="s">
        <v>173</v>
      </c>
      <c r="AO280" t="s">
        <v>173</v>
      </c>
      <c r="AP280" t="s">
        <v>173</v>
      </c>
      <c r="AQ280" t="s">
        <v>173</v>
      </c>
      <c r="AR280" t="s">
        <v>173</v>
      </c>
      <c r="AS280" t="s">
        <v>173</v>
      </c>
      <c r="AT280" t="s">
        <v>173</v>
      </c>
      <c r="AU280" t="s">
        <v>173</v>
      </c>
      <c r="AV280" t="s">
        <v>177</v>
      </c>
      <c r="AW280" t="s">
        <v>177</v>
      </c>
      <c r="AX280" t="s">
        <v>192</v>
      </c>
      <c r="AY280" t="s">
        <v>203</v>
      </c>
      <c r="AZ280" t="s">
        <v>183</v>
      </c>
      <c r="BA280" t="s">
        <v>183</v>
      </c>
      <c r="BB280" t="s">
        <v>183</v>
      </c>
      <c r="BC280" t="s">
        <v>183</v>
      </c>
      <c r="BD280" t="s">
        <v>183</v>
      </c>
    </row>
    <row r="281" hidden="1" spans="1:56">
      <c r="A281">
        <v>280</v>
      </c>
      <c r="B281" t="s">
        <v>255</v>
      </c>
      <c r="C281">
        <v>2022</v>
      </c>
      <c r="D281">
        <v>2001</v>
      </c>
      <c r="E281">
        <v>2001</v>
      </c>
      <c r="F281" t="s">
        <v>275</v>
      </c>
      <c r="G281"/>
      <c r="H281" t="s">
        <v>247</v>
      </c>
      <c r="I281"/>
      <c r="J281" t="s">
        <v>265</v>
      </c>
      <c r="K281" t="b">
        <v>0</v>
      </c>
      <c r="L281" t="b">
        <v>0</v>
      </c>
      <c r="M281" t="b">
        <v>1</v>
      </c>
      <c r="N281" t="b">
        <v>0</v>
      </c>
      <c r="O281" t="b">
        <v>1</v>
      </c>
      <c r="P281" t="b">
        <v>0</v>
      </c>
      <c r="Q281" t="b">
        <v>0</v>
      </c>
      <c r="R281" t="b">
        <v>0</v>
      </c>
      <c r="S281" t="b">
        <v>0</v>
      </c>
      <c r="T281" t="b">
        <v>0</v>
      </c>
      <c r="U281" t="b">
        <v>0</v>
      </c>
      <c r="V281" t="b">
        <v>0</v>
      </c>
      <c r="W281" t="b">
        <v>0</v>
      </c>
      <c r="X281" t="b">
        <v>1</v>
      </c>
      <c r="Y281" t="b">
        <v>0</v>
      </c>
      <c r="Z281" t="b">
        <v>0</v>
      </c>
      <c r="AA281" t="b">
        <v>0</v>
      </c>
      <c r="AB281" t="b">
        <v>0</v>
      </c>
      <c r="AC281" t="s">
        <v>171</v>
      </c>
      <c r="AD281" t="s">
        <v>177</v>
      </c>
      <c r="AE281" t="s">
        <v>179</v>
      </c>
      <c r="AF281" t="s">
        <v>179</v>
      </c>
      <c r="AG281" t="s">
        <v>177</v>
      </c>
      <c r="AH281" t="s">
        <v>173</v>
      </c>
      <c r="AI281" t="s">
        <v>179</v>
      </c>
      <c r="AJ281" t="s">
        <v>179</v>
      </c>
      <c r="AK281" t="s">
        <v>179</v>
      </c>
      <c r="AL281" t="s">
        <v>177</v>
      </c>
      <c r="AM281" t="s">
        <v>173</v>
      </c>
      <c r="AN281" t="s">
        <v>177</v>
      </c>
      <c r="AO281" t="s">
        <v>179</v>
      </c>
      <c r="AP281" t="s">
        <v>179</v>
      </c>
      <c r="AQ281" t="s">
        <v>179</v>
      </c>
      <c r="AR281" t="s">
        <v>179</v>
      </c>
      <c r="AS281" t="s">
        <v>177</v>
      </c>
      <c r="AT281" t="s">
        <v>179</v>
      </c>
      <c r="AU281" t="s">
        <v>177</v>
      </c>
      <c r="AV281" t="s">
        <v>179</v>
      </c>
      <c r="AW281" t="s">
        <v>179</v>
      </c>
      <c r="AX281" t="s">
        <v>192</v>
      </c>
      <c r="AY281" t="s">
        <v>195</v>
      </c>
      <c r="AZ281" t="s">
        <v>183</v>
      </c>
      <c r="BA281" t="s">
        <v>183</v>
      </c>
      <c r="BB281" t="s">
        <v>183</v>
      </c>
      <c r="BC281" t="s">
        <v>183</v>
      </c>
      <c r="BD281" t="s">
        <v>183</v>
      </c>
    </row>
    <row r="282" hidden="1" spans="1:56">
      <c r="A282">
        <v>281</v>
      </c>
      <c r="B282" t="s">
        <v>259</v>
      </c>
      <c r="C282">
        <v>2022</v>
      </c>
      <c r="D282">
        <v>2006</v>
      </c>
      <c r="E282">
        <v>2006</v>
      </c>
      <c r="F282" t="s">
        <v>275</v>
      </c>
      <c r="G282"/>
      <c r="H282" t="s">
        <v>267</v>
      </c>
      <c r="I282"/>
      <c r="J282" t="s">
        <v>252</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s">
        <v>171</v>
      </c>
      <c r="AD282" t="s">
        <v>171</v>
      </c>
      <c r="AE282" t="s">
        <v>173</v>
      </c>
      <c r="AF282" t="s">
        <v>173</v>
      </c>
      <c r="AG282" t="s">
        <v>173</v>
      </c>
      <c r="AH282" t="s">
        <v>173</v>
      </c>
      <c r="AI282" t="s">
        <v>173</v>
      </c>
      <c r="AJ282" t="s">
        <v>173</v>
      </c>
      <c r="AK282" t="s">
        <v>173</v>
      </c>
      <c r="AL282" t="s">
        <v>173</v>
      </c>
      <c r="AM282" t="s">
        <v>173</v>
      </c>
      <c r="AN282" t="s">
        <v>173</v>
      </c>
      <c r="AO282" t="s">
        <v>171</v>
      </c>
      <c r="AP282" t="s">
        <v>171</v>
      </c>
      <c r="AQ282" t="s">
        <v>173</v>
      </c>
      <c r="AR282" t="s">
        <v>171</v>
      </c>
      <c r="AS282" t="s">
        <v>173</v>
      </c>
      <c r="AT282" t="s">
        <v>173</v>
      </c>
      <c r="AU282" t="s">
        <v>173</v>
      </c>
      <c r="AV282" t="s">
        <v>173</v>
      </c>
      <c r="AW282" t="s">
        <v>173</v>
      </c>
      <c r="AX282" t="s">
        <v>192</v>
      </c>
      <c r="AY282" t="s">
        <v>197</v>
      </c>
      <c r="AZ282" t="s">
        <v>183</v>
      </c>
      <c r="BA282" t="s">
        <v>183</v>
      </c>
      <c r="BB282" t="s">
        <v>183</v>
      </c>
      <c r="BC282" t="s">
        <v>183</v>
      </c>
      <c r="BD282" t="s">
        <v>183</v>
      </c>
    </row>
    <row r="283" hidden="1" spans="1:56">
      <c r="A283">
        <v>282</v>
      </c>
      <c r="B283" t="s">
        <v>259</v>
      </c>
      <c r="C283">
        <v>2023</v>
      </c>
      <c r="D283">
        <v>1987</v>
      </c>
      <c r="E283">
        <v>1987</v>
      </c>
      <c r="F283" t="s">
        <v>256</v>
      </c>
      <c r="G283" t="s">
        <v>257</v>
      </c>
      <c r="H283" t="s">
        <v>274</v>
      </c>
      <c r="I283"/>
      <c r="J283" t="s">
        <v>252</v>
      </c>
      <c r="K283" t="b">
        <v>0</v>
      </c>
      <c r="L283" t="b">
        <v>0</v>
      </c>
      <c r="M283" t="b">
        <v>1</v>
      </c>
      <c r="N283" t="b">
        <v>1</v>
      </c>
      <c r="O283" t="b">
        <v>1</v>
      </c>
      <c r="P283" t="b">
        <v>0</v>
      </c>
      <c r="Q283" t="b">
        <v>0</v>
      </c>
      <c r="R283" t="b">
        <v>0</v>
      </c>
      <c r="S283" t="b">
        <v>0</v>
      </c>
      <c r="T283" t="b">
        <v>0</v>
      </c>
      <c r="U283" t="b">
        <v>0</v>
      </c>
      <c r="V283" t="b">
        <v>0</v>
      </c>
      <c r="W283" t="b">
        <v>0</v>
      </c>
      <c r="X283" t="b">
        <v>0</v>
      </c>
      <c r="Y283" t="b">
        <v>0</v>
      </c>
      <c r="Z283" t="b">
        <v>0</v>
      </c>
      <c r="AA283" t="b">
        <v>0</v>
      </c>
      <c r="AB283" t="b">
        <v>0</v>
      </c>
      <c r="AC283" t="s">
        <v>173</v>
      </c>
      <c r="AD283" t="s">
        <v>175</v>
      </c>
      <c r="AE283" t="s">
        <v>179</v>
      </c>
      <c r="AF283" t="s">
        <v>179</v>
      </c>
      <c r="AG283" t="s">
        <v>171</v>
      </c>
      <c r="AH283" t="s">
        <v>173</v>
      </c>
      <c r="AI283" t="s">
        <v>179</v>
      </c>
      <c r="AJ283" t="s">
        <v>179</v>
      </c>
      <c r="AK283" t="s">
        <v>171</v>
      </c>
      <c r="AL283" t="s">
        <v>175</v>
      </c>
      <c r="AM283" t="s">
        <v>175</v>
      </c>
      <c r="AN283" t="s">
        <v>177</v>
      </c>
      <c r="AO283" t="s">
        <v>179</v>
      </c>
      <c r="AP283" t="s">
        <v>173</v>
      </c>
      <c r="AQ283" t="s">
        <v>175</v>
      </c>
      <c r="AR283" t="s">
        <v>179</v>
      </c>
      <c r="AS283" t="s">
        <v>179</v>
      </c>
      <c r="AT283" t="s">
        <v>173</v>
      </c>
      <c r="AU283" t="s">
        <v>175</v>
      </c>
      <c r="AV283" t="s">
        <v>179</v>
      </c>
      <c r="AW283" t="s">
        <v>177</v>
      </c>
      <c r="AX283" t="s">
        <v>192</v>
      </c>
      <c r="AY283" t="s">
        <v>197</v>
      </c>
      <c r="AZ283" t="s">
        <v>183</v>
      </c>
      <c r="BA283" t="s">
        <v>183</v>
      </c>
      <c r="BB283" t="s">
        <v>183</v>
      </c>
      <c r="BC283" t="s">
        <v>183</v>
      </c>
      <c r="BD283" t="s">
        <v>183</v>
      </c>
    </row>
    <row r="284" spans="1:65">
      <c r="A284">
        <v>283</v>
      </c>
      <c r="B284" t="s">
        <v>296</v>
      </c>
      <c r="C284" s="10">
        <v>2022</v>
      </c>
      <c r="D284" s="10">
        <v>2012</v>
      </c>
      <c r="E284" s="10">
        <v>2021</v>
      </c>
      <c r="F284" s="10" t="s">
        <v>241</v>
      </c>
      <c r="G284" s="10" t="s">
        <v>249</v>
      </c>
      <c r="H284" s="10" t="s">
        <v>243</v>
      </c>
      <c r="I284" s="10" t="s">
        <v>312</v>
      </c>
      <c r="J284" s="10" t="s">
        <v>245</v>
      </c>
      <c r="K284" t="b">
        <v>0</v>
      </c>
      <c r="L284" t="b">
        <v>1</v>
      </c>
      <c r="M284" t="b">
        <v>0</v>
      </c>
      <c r="N284" t="b">
        <v>0</v>
      </c>
      <c r="O284" t="b">
        <v>0</v>
      </c>
      <c r="P284" t="b">
        <v>0</v>
      </c>
      <c r="Q284" t="b">
        <v>0</v>
      </c>
      <c r="R284" t="b">
        <v>1</v>
      </c>
      <c r="S284" t="b">
        <v>0</v>
      </c>
      <c r="T284" t="b">
        <v>1</v>
      </c>
      <c r="U284" t="b">
        <v>0</v>
      </c>
      <c r="V284" t="b">
        <v>0</v>
      </c>
      <c r="W284" t="b">
        <v>0</v>
      </c>
      <c r="X284" t="b">
        <v>0</v>
      </c>
      <c r="Y284" t="b">
        <v>0</v>
      </c>
      <c r="Z284" t="b">
        <v>0</v>
      </c>
      <c r="AA284" t="b">
        <v>0</v>
      </c>
      <c r="AB284" t="b">
        <v>0</v>
      </c>
      <c r="AC284" s="10" t="s">
        <v>175</v>
      </c>
      <c r="AD284" t="s">
        <v>173</v>
      </c>
      <c r="AE284" t="s">
        <v>175</v>
      </c>
      <c r="AF284" t="s">
        <v>173</v>
      </c>
      <c r="AG284" t="s">
        <v>173</v>
      </c>
      <c r="AH284" t="s">
        <v>173</v>
      </c>
      <c r="AI284" t="s">
        <v>173</v>
      </c>
      <c r="AJ284" t="s">
        <v>173</v>
      </c>
      <c r="AK284" t="s">
        <v>173</v>
      </c>
      <c r="AL284" t="s">
        <v>173</v>
      </c>
      <c r="AM284" t="s">
        <v>173</v>
      </c>
      <c r="AO284" t="s">
        <v>175</v>
      </c>
      <c r="AP284" t="s">
        <v>173</v>
      </c>
      <c r="AQ284" t="s">
        <v>173</v>
      </c>
      <c r="AR284" t="s">
        <v>175</v>
      </c>
      <c r="AS284" t="s">
        <v>173</v>
      </c>
      <c r="AT284" t="s">
        <v>175</v>
      </c>
      <c r="AU284" t="s">
        <v>175</v>
      </c>
      <c r="AV284" t="s">
        <v>175</v>
      </c>
      <c r="AW284" t="s">
        <v>175</v>
      </c>
      <c r="AX284" t="s">
        <v>192</v>
      </c>
      <c r="AY284" t="s">
        <v>200</v>
      </c>
      <c r="AZ284" t="s">
        <v>207</v>
      </c>
      <c r="BA284" t="s">
        <v>207</v>
      </c>
      <c r="BB284" t="s">
        <v>207</v>
      </c>
      <c r="BC284" t="s">
        <v>207</v>
      </c>
      <c r="BD284" t="s">
        <v>207</v>
      </c>
      <c r="BE284" t="str">
        <f>IF(AY284="","Unknown",AY284)</f>
        <v>26-30</v>
      </c>
      <c r="BF284" s="11" t="str">
        <f>IF(AZ284="","unknown",AZ284)</f>
        <v>NO</v>
      </c>
      <c r="BG284" s="11" t="str">
        <f>IF(BA284="","UNKNOWN",BA284)</f>
        <v>NO</v>
      </c>
      <c r="BH284" s="11" t="str">
        <f>IF(BB284="","unknown",BB284)</f>
        <v>NO</v>
      </c>
      <c r="BI284" s="11" t="str">
        <f>IF(BC284="","Unknon",BC284)</f>
        <v>NO</v>
      </c>
      <c r="BJ284" s="11" t="str">
        <f>IF(BD284="","Unknown",BD284)</f>
        <v>NO</v>
      </c>
      <c r="BK284" s="11">
        <f>VALUE(C284)-VALUE(D284)</f>
        <v>10</v>
      </c>
      <c r="BM284" s="11"/>
    </row>
    <row r="285" hidden="1" spans="1:56">
      <c r="A285">
        <v>284</v>
      </c>
      <c r="B285" t="s">
        <v>269</v>
      </c>
      <c r="C285">
        <v>2022</v>
      </c>
      <c r="D285">
        <v>2016</v>
      </c>
      <c r="E285">
        <v>2016</v>
      </c>
      <c r="F285" t="s">
        <v>256</v>
      </c>
      <c r="G285" t="s">
        <v>263</v>
      </c>
      <c r="H285" t="s">
        <v>267</v>
      </c>
      <c r="I285"/>
      <c r="J285" t="s">
        <v>252</v>
      </c>
      <c r="K285" t="b">
        <v>0</v>
      </c>
      <c r="L285" t="b">
        <v>1</v>
      </c>
      <c r="M285" t="b">
        <v>0</v>
      </c>
      <c r="N285" t="b">
        <v>0</v>
      </c>
      <c r="O285" t="b">
        <v>0</v>
      </c>
      <c r="P285" t="b">
        <v>0</v>
      </c>
      <c r="Q285" t="b">
        <v>0</v>
      </c>
      <c r="R285" t="b">
        <v>0</v>
      </c>
      <c r="S285" t="b">
        <v>0</v>
      </c>
      <c r="T285" t="b">
        <v>1</v>
      </c>
      <c r="U285" t="b">
        <v>0</v>
      </c>
      <c r="V285" t="b">
        <v>0</v>
      </c>
      <c r="W285" t="b">
        <v>0</v>
      </c>
      <c r="X285" t="b">
        <v>0</v>
      </c>
      <c r="Y285" t="b">
        <v>0</v>
      </c>
      <c r="Z285" t="b">
        <v>0</v>
      </c>
      <c r="AA285" t="b">
        <v>0</v>
      </c>
      <c r="AB285" t="b">
        <v>0</v>
      </c>
      <c r="AC285" t="s">
        <v>175</v>
      </c>
      <c r="AD285" t="s">
        <v>175</v>
      </c>
      <c r="AE285" t="s">
        <v>173</v>
      </c>
      <c r="AF285" t="s">
        <v>173</v>
      </c>
      <c r="AG285" t="s">
        <v>175</v>
      </c>
      <c r="AH285" t="s">
        <v>177</v>
      </c>
      <c r="AI285" t="s">
        <v>173</v>
      </c>
      <c r="AJ285" t="s">
        <v>177</v>
      </c>
      <c r="AK285" t="s">
        <v>171</v>
      </c>
      <c r="AL285" t="s">
        <v>171</v>
      </c>
      <c r="AM285" t="s">
        <v>171</v>
      </c>
      <c r="AN285" t="s">
        <v>171</v>
      </c>
      <c r="AO285" t="s">
        <v>173</v>
      </c>
      <c r="AP285" t="s">
        <v>173</v>
      </c>
      <c r="AQ285" t="s">
        <v>175</v>
      </c>
      <c r="AR285" t="s">
        <v>173</v>
      </c>
      <c r="AS285" t="s">
        <v>173</v>
      </c>
      <c r="AT285" t="s">
        <v>173</v>
      </c>
      <c r="AU285" t="s">
        <v>175</v>
      </c>
      <c r="AV285" t="s">
        <v>173</v>
      </c>
      <c r="AW285" t="s">
        <v>173</v>
      </c>
      <c r="AX285" t="s">
        <v>192</v>
      </c>
      <c r="AY285" t="s">
        <v>200</v>
      </c>
      <c r="AZ285" t="s">
        <v>183</v>
      </c>
      <c r="BA285" t="s">
        <v>183</v>
      </c>
      <c r="BB285" t="s">
        <v>183</v>
      </c>
      <c r="BC285" t="s">
        <v>183</v>
      </c>
      <c r="BD285" t="s">
        <v>183</v>
      </c>
    </row>
    <row r="286" hidden="1" spans="1:56">
      <c r="A286">
        <v>285</v>
      </c>
      <c r="B286" t="s">
        <v>269</v>
      </c>
      <c r="C286">
        <v>2022</v>
      </c>
      <c r="D286">
        <v>2016</v>
      </c>
      <c r="E286">
        <v>2017</v>
      </c>
      <c r="F286" t="s">
        <v>256</v>
      </c>
      <c r="G286" t="s">
        <v>263</v>
      </c>
      <c r="H286" t="s">
        <v>267</v>
      </c>
      <c r="I286"/>
      <c r="J286" t="s">
        <v>252</v>
      </c>
      <c r="K286" t="b">
        <v>0</v>
      </c>
      <c r="L286" t="b">
        <v>1</v>
      </c>
      <c r="M286" t="b">
        <v>0</v>
      </c>
      <c r="N286" t="b">
        <v>0</v>
      </c>
      <c r="O286" t="b">
        <v>0</v>
      </c>
      <c r="P286" t="b">
        <v>0</v>
      </c>
      <c r="Q286" t="b">
        <v>0</v>
      </c>
      <c r="R286" t="b">
        <v>0</v>
      </c>
      <c r="S286" t="b">
        <v>1</v>
      </c>
      <c r="T286" t="b">
        <v>0</v>
      </c>
      <c r="U286" t="b">
        <v>0</v>
      </c>
      <c r="V286" t="b">
        <v>0</v>
      </c>
      <c r="W286" t="b">
        <v>0</v>
      </c>
      <c r="X286" t="b">
        <v>0</v>
      </c>
      <c r="Y286" t="b">
        <v>0</v>
      </c>
      <c r="Z286" t="b">
        <v>0</v>
      </c>
      <c r="AA286" t="b">
        <v>0</v>
      </c>
      <c r="AB286" t="b">
        <v>0</v>
      </c>
      <c r="AC286" t="s">
        <v>173</v>
      </c>
      <c r="AD286" t="s">
        <v>177</v>
      </c>
      <c r="AE286" t="s">
        <v>177</v>
      </c>
      <c r="AF286" t="s">
        <v>177</v>
      </c>
      <c r="AG286" t="s">
        <v>177</v>
      </c>
      <c r="AH286" t="s">
        <v>177</v>
      </c>
      <c r="AI286" t="s">
        <v>177</v>
      </c>
      <c r="AJ286" t="s">
        <v>173</v>
      </c>
      <c r="AK286" t="s">
        <v>171</v>
      </c>
      <c r="AL286" t="s">
        <v>171</v>
      </c>
      <c r="AM286" t="s">
        <v>179</v>
      </c>
      <c r="AN286" t="s">
        <v>177</v>
      </c>
      <c r="AO286" t="s">
        <v>173</v>
      </c>
      <c r="AP286" t="s">
        <v>171</v>
      </c>
      <c r="AQ286" t="s">
        <v>173</v>
      </c>
      <c r="AR286" t="s">
        <v>177</v>
      </c>
      <c r="AS286" t="s">
        <v>173</v>
      </c>
      <c r="AT286" t="s">
        <v>173</v>
      </c>
      <c r="AU286" t="s">
        <v>173</v>
      </c>
      <c r="AV286" t="s">
        <v>173</v>
      </c>
      <c r="AW286" t="s">
        <v>173</v>
      </c>
      <c r="AX286" t="s">
        <v>192</v>
      </c>
      <c r="AY286" t="s">
        <v>203</v>
      </c>
      <c r="AZ286" t="s">
        <v>183</v>
      </c>
      <c r="BA286" t="s">
        <v>183</v>
      </c>
      <c r="BB286" t="s">
        <v>183</v>
      </c>
      <c r="BC286" t="s">
        <v>183</v>
      </c>
      <c r="BD286" t="s">
        <v>183</v>
      </c>
    </row>
    <row r="287" hidden="1" spans="1:56">
      <c r="A287">
        <v>286</v>
      </c>
      <c r="B287" t="s">
        <v>272</v>
      </c>
      <c r="C287">
        <v>2022</v>
      </c>
      <c r="D287">
        <v>2021</v>
      </c>
      <c r="E287">
        <v>2021</v>
      </c>
      <c r="F287" t="s">
        <v>275</v>
      </c>
      <c r="G287"/>
      <c r="H287" t="s">
        <v>247</v>
      </c>
      <c r="I287"/>
      <c r="J287" t="s">
        <v>252</v>
      </c>
      <c r="K287" t="b">
        <v>0</v>
      </c>
      <c r="L287" t="b">
        <v>0</v>
      </c>
      <c r="M287" t="b">
        <v>0</v>
      </c>
      <c r="N287" t="b">
        <v>0</v>
      </c>
      <c r="O287" t="b">
        <v>0</v>
      </c>
      <c r="P287" t="b">
        <v>0</v>
      </c>
      <c r="Q287" t="b">
        <v>0</v>
      </c>
      <c r="R287" t="b">
        <v>0</v>
      </c>
      <c r="S287" t="b">
        <v>0</v>
      </c>
      <c r="T287" t="b">
        <v>0</v>
      </c>
      <c r="U287" t="b">
        <v>0</v>
      </c>
      <c r="V287" t="b">
        <v>1</v>
      </c>
      <c r="W287" t="b">
        <v>0</v>
      </c>
      <c r="X287" t="b">
        <v>0</v>
      </c>
      <c r="Y287" t="b">
        <v>0</v>
      </c>
      <c r="Z287" t="b">
        <v>0</v>
      </c>
      <c r="AA287" t="b">
        <v>0</v>
      </c>
      <c r="AB287" t="b">
        <v>0</v>
      </c>
      <c r="AC287" t="s">
        <v>173</v>
      </c>
      <c r="AD287" t="s">
        <v>183</v>
      </c>
      <c r="AE287" t="s">
        <v>173</v>
      </c>
      <c r="AF287" t="s">
        <v>183</v>
      </c>
      <c r="AG287" t="s">
        <v>173</v>
      </c>
      <c r="AH287" t="s">
        <v>173</v>
      </c>
      <c r="AI287" t="s">
        <v>173</v>
      </c>
      <c r="AJ287" t="s">
        <v>171</v>
      </c>
      <c r="AK287" t="s">
        <v>171</v>
      </c>
      <c r="AL287" t="s">
        <v>173</v>
      </c>
      <c r="AM287" t="s">
        <v>173</v>
      </c>
      <c r="AN287" t="s">
        <v>183</v>
      </c>
      <c r="AO287" t="s">
        <v>183</v>
      </c>
      <c r="AP287" t="s">
        <v>183</v>
      </c>
      <c r="AQ287" t="s">
        <v>183</v>
      </c>
      <c r="AR287" t="s">
        <v>173</v>
      </c>
      <c r="AS287" t="s">
        <v>173</v>
      </c>
      <c r="AT287" t="s">
        <v>173</v>
      </c>
      <c r="AU287" t="s">
        <v>173</v>
      </c>
      <c r="AV287" t="s">
        <v>183</v>
      </c>
      <c r="AW287" t="s">
        <v>173</v>
      </c>
      <c r="AX287" t="s">
        <v>192</v>
      </c>
      <c r="AZ287" t="s">
        <v>183</v>
      </c>
      <c r="BA287" t="s">
        <v>183</v>
      </c>
      <c r="BB287" t="s">
        <v>183</v>
      </c>
      <c r="BC287" t="s">
        <v>183</v>
      </c>
      <c r="BD287" t="s">
        <v>183</v>
      </c>
    </row>
    <row r="288" hidden="1" spans="1:56">
      <c r="A288">
        <v>287</v>
      </c>
      <c r="B288" t="s">
        <v>269</v>
      </c>
      <c r="C288">
        <v>2022</v>
      </c>
      <c r="D288">
        <v>2021</v>
      </c>
      <c r="E288">
        <v>2021</v>
      </c>
      <c r="F288" t="s">
        <v>266</v>
      </c>
      <c r="G288"/>
      <c r="H288" t="s">
        <v>247</v>
      </c>
      <c r="I288"/>
      <c r="J288" t="s">
        <v>265</v>
      </c>
      <c r="K288" t="b">
        <v>0</v>
      </c>
      <c r="L288" t="b">
        <v>1</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s">
        <v>171</v>
      </c>
      <c r="AD288" t="s">
        <v>171</v>
      </c>
      <c r="AE288" t="s">
        <v>171</v>
      </c>
      <c r="AF288" t="s">
        <v>171</v>
      </c>
      <c r="AG288" t="s">
        <v>171</v>
      </c>
      <c r="AH288" t="s">
        <v>171</v>
      </c>
      <c r="AI288" t="s">
        <v>171</v>
      </c>
      <c r="AJ288" t="s">
        <v>171</v>
      </c>
      <c r="AK288" t="s">
        <v>171</v>
      </c>
      <c r="AL288" t="s">
        <v>171</v>
      </c>
      <c r="AM288" t="s">
        <v>171</v>
      </c>
      <c r="AN288" t="s">
        <v>171</v>
      </c>
      <c r="AO288" t="s">
        <v>171</v>
      </c>
      <c r="AP288" t="s">
        <v>171</v>
      </c>
      <c r="AQ288" t="s">
        <v>171</v>
      </c>
      <c r="AR288" t="s">
        <v>171</v>
      </c>
      <c r="AS288" t="s">
        <v>171</v>
      </c>
      <c r="AT288" t="s">
        <v>171</v>
      </c>
      <c r="AU288" t="s">
        <v>171</v>
      </c>
      <c r="AV288" t="s">
        <v>171</v>
      </c>
      <c r="AW288" t="s">
        <v>171</v>
      </c>
      <c r="AX288" t="s">
        <v>192</v>
      </c>
      <c r="AY288" t="s">
        <v>201</v>
      </c>
      <c r="AZ288" t="s">
        <v>183</v>
      </c>
      <c r="BA288" t="s">
        <v>183</v>
      </c>
      <c r="BB288" t="s">
        <v>183</v>
      </c>
      <c r="BC288" t="s">
        <v>183</v>
      </c>
      <c r="BD288" t="s">
        <v>183</v>
      </c>
    </row>
    <row r="289" hidden="1" spans="1:56">
      <c r="A289">
        <v>288</v>
      </c>
      <c r="B289" t="s">
        <v>259</v>
      </c>
      <c r="C289">
        <v>2022</v>
      </c>
      <c r="D289">
        <v>2012</v>
      </c>
      <c r="E289">
        <v>2012</v>
      </c>
      <c r="F289" t="s">
        <v>275</v>
      </c>
      <c r="G289"/>
      <c r="H289" t="s">
        <v>261</v>
      </c>
      <c r="I289"/>
      <c r="J289" t="s">
        <v>252</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1</v>
      </c>
      <c r="AC289" t="s">
        <v>183</v>
      </c>
      <c r="AD289" t="s">
        <v>183</v>
      </c>
      <c r="AE289" t="s">
        <v>173</v>
      </c>
      <c r="AF289" t="s">
        <v>173</v>
      </c>
      <c r="AG289" t="s">
        <v>173</v>
      </c>
      <c r="AH289" t="s">
        <v>173</v>
      </c>
      <c r="AI289" t="s">
        <v>173</v>
      </c>
      <c r="AJ289" t="s">
        <v>173</v>
      </c>
      <c r="AK289" t="s">
        <v>173</v>
      </c>
      <c r="AL289" t="s">
        <v>173</v>
      </c>
      <c r="AM289" t="s">
        <v>173</v>
      </c>
      <c r="AN289" t="s">
        <v>183</v>
      </c>
      <c r="AO289" t="s">
        <v>183</v>
      </c>
      <c r="AP289" t="s">
        <v>183</v>
      </c>
      <c r="AQ289" t="s">
        <v>183</v>
      </c>
      <c r="AR289" t="s">
        <v>173</v>
      </c>
      <c r="AS289" t="s">
        <v>173</v>
      </c>
      <c r="AT289" t="s">
        <v>173</v>
      </c>
      <c r="AU289" t="s">
        <v>173</v>
      </c>
      <c r="AV289" t="s">
        <v>183</v>
      </c>
      <c r="AW289" t="s">
        <v>173</v>
      </c>
      <c r="AX289" t="s">
        <v>193</v>
      </c>
      <c r="AY289" t="s">
        <v>195</v>
      </c>
      <c r="AZ289" t="s">
        <v>183</v>
      </c>
      <c r="BA289" t="s">
        <v>183</v>
      </c>
      <c r="BB289" t="s">
        <v>183</v>
      </c>
      <c r="BC289" t="s">
        <v>183</v>
      </c>
      <c r="BD289" t="s">
        <v>183</v>
      </c>
    </row>
    <row r="290" hidden="1" spans="1:56">
      <c r="A290">
        <v>289</v>
      </c>
      <c r="B290" t="s">
        <v>272</v>
      </c>
      <c r="C290">
        <v>2023</v>
      </c>
      <c r="D290" t="s">
        <v>247</v>
      </c>
      <c r="E290" t="s">
        <v>247</v>
      </c>
      <c r="F290" t="s">
        <v>248</v>
      </c>
      <c r="G290" t="s">
        <v>249</v>
      </c>
      <c r="H290" t="s">
        <v>250</v>
      </c>
      <c r="I290" t="s">
        <v>254</v>
      </c>
      <c r="J290" t="s">
        <v>252</v>
      </c>
      <c r="K290" t="b">
        <v>0</v>
      </c>
      <c r="L290" t="b">
        <v>0</v>
      </c>
      <c r="M290" t="b">
        <v>0</v>
      </c>
      <c r="N290" t="b">
        <v>1</v>
      </c>
      <c r="O290" t="b">
        <v>0</v>
      </c>
      <c r="P290" t="b">
        <v>0</v>
      </c>
      <c r="Q290" t="b">
        <v>1</v>
      </c>
      <c r="R290" t="b">
        <v>0</v>
      </c>
      <c r="S290" t="b">
        <v>0</v>
      </c>
      <c r="T290" t="b">
        <v>0</v>
      </c>
      <c r="U290" t="b">
        <v>0</v>
      </c>
      <c r="V290" t="b">
        <v>0</v>
      </c>
      <c r="W290" t="b">
        <v>1</v>
      </c>
      <c r="X290" t="b">
        <v>0</v>
      </c>
      <c r="Y290" t="b">
        <v>0</v>
      </c>
      <c r="Z290" t="b">
        <v>0</v>
      </c>
      <c r="AA290" t="b">
        <v>1</v>
      </c>
      <c r="AB290" t="b">
        <v>0</v>
      </c>
      <c r="AC290" t="s">
        <v>177</v>
      </c>
      <c r="AD290" t="s">
        <v>175</v>
      </c>
      <c r="AE290" t="s">
        <v>177</v>
      </c>
      <c r="AF290" t="s">
        <v>175</v>
      </c>
      <c r="AG290" t="s">
        <v>175</v>
      </c>
      <c r="AH290" t="s">
        <v>175</v>
      </c>
      <c r="AI290" t="s">
        <v>179</v>
      </c>
      <c r="AJ290" t="s">
        <v>175</v>
      </c>
      <c r="AK290" t="s">
        <v>175</v>
      </c>
      <c r="AL290" t="s">
        <v>173</v>
      </c>
      <c r="AM290" t="s">
        <v>175</v>
      </c>
      <c r="AN290" t="s">
        <v>173</v>
      </c>
      <c r="AO290" t="s">
        <v>175</v>
      </c>
      <c r="AP290" t="s">
        <v>175</v>
      </c>
      <c r="AQ290" t="s">
        <v>177</v>
      </c>
      <c r="AR290" t="s">
        <v>177</v>
      </c>
      <c r="AS290" t="s">
        <v>175</v>
      </c>
      <c r="AT290" t="s">
        <v>177</v>
      </c>
      <c r="AU290" t="s">
        <v>175</v>
      </c>
      <c r="AV290" t="s">
        <v>175</v>
      </c>
      <c r="AW290" t="s">
        <v>175</v>
      </c>
      <c r="AX290" t="s">
        <v>192</v>
      </c>
      <c r="AY290" t="s">
        <v>200</v>
      </c>
      <c r="AZ290" t="s">
        <v>183</v>
      </c>
      <c r="BA290" t="s">
        <v>183</v>
      </c>
      <c r="BB290" t="s">
        <v>183</v>
      </c>
      <c r="BC290" t="s">
        <v>183</v>
      </c>
      <c r="BD290" t="s">
        <v>183</v>
      </c>
    </row>
    <row r="291" hidden="1" spans="1:56">
      <c r="A291">
        <v>290</v>
      </c>
      <c r="B291" t="s">
        <v>259</v>
      </c>
      <c r="C291">
        <v>2022</v>
      </c>
      <c r="D291">
        <v>1983</v>
      </c>
      <c r="E291">
        <v>1998</v>
      </c>
      <c r="F291" t="s">
        <v>256</v>
      </c>
      <c r="G291" t="s">
        <v>257</v>
      </c>
      <c r="H291" t="s">
        <v>268</v>
      </c>
      <c r="I291"/>
      <c r="J291" t="s">
        <v>265</v>
      </c>
      <c r="K291" t="b">
        <v>0</v>
      </c>
      <c r="L291" t="b">
        <v>0</v>
      </c>
      <c r="M291" t="b">
        <v>0</v>
      </c>
      <c r="N291" t="b">
        <v>0</v>
      </c>
      <c r="O291" t="b">
        <v>0</v>
      </c>
      <c r="P291" t="b">
        <v>0</v>
      </c>
      <c r="Q291" t="b">
        <v>0</v>
      </c>
      <c r="R291" t="b">
        <v>0</v>
      </c>
      <c r="S291" t="b">
        <v>0</v>
      </c>
      <c r="T291" t="b">
        <v>0</v>
      </c>
      <c r="U291" t="b">
        <v>0</v>
      </c>
      <c r="V291" t="b">
        <v>0</v>
      </c>
      <c r="W291" t="b">
        <v>0</v>
      </c>
      <c r="X291" t="b">
        <v>0</v>
      </c>
      <c r="Y291" t="b">
        <v>0</v>
      </c>
      <c r="Z291" t="b">
        <v>1</v>
      </c>
      <c r="AA291" t="b">
        <v>1</v>
      </c>
      <c r="AB291" t="b">
        <v>0</v>
      </c>
      <c r="AC291" t="s">
        <v>173</v>
      </c>
      <c r="AD291" t="s">
        <v>175</v>
      </c>
      <c r="AE291" t="s">
        <v>173</v>
      </c>
      <c r="AF291" t="s">
        <v>173</v>
      </c>
      <c r="AG291" t="s">
        <v>173</v>
      </c>
      <c r="AH291" t="s">
        <v>175</v>
      </c>
      <c r="AI291" t="s">
        <v>175</v>
      </c>
      <c r="AJ291" t="s">
        <v>175</v>
      </c>
      <c r="AK291" t="s">
        <v>173</v>
      </c>
      <c r="AL291" t="s">
        <v>173</v>
      </c>
      <c r="AM291" t="s">
        <v>173</v>
      </c>
      <c r="AN291" t="s">
        <v>173</v>
      </c>
      <c r="AO291" t="s">
        <v>173</v>
      </c>
      <c r="AP291" t="s">
        <v>173</v>
      </c>
      <c r="AQ291" t="s">
        <v>175</v>
      </c>
      <c r="AR291" t="s">
        <v>173</v>
      </c>
      <c r="AS291" t="s">
        <v>173</v>
      </c>
      <c r="AT291" t="s">
        <v>173</v>
      </c>
      <c r="AU291" t="s">
        <v>173</v>
      </c>
      <c r="AV291" t="s">
        <v>175</v>
      </c>
      <c r="AW291" t="s">
        <v>175</v>
      </c>
      <c r="AX291" t="s">
        <v>192</v>
      </c>
      <c r="AY291" t="s">
        <v>195</v>
      </c>
      <c r="AZ291" t="s">
        <v>183</v>
      </c>
      <c r="BA291" t="s">
        <v>183</v>
      </c>
      <c r="BB291" t="s">
        <v>183</v>
      </c>
      <c r="BC291" t="s">
        <v>183</v>
      </c>
      <c r="BD291" t="s">
        <v>183</v>
      </c>
    </row>
    <row r="292" hidden="1" spans="1:56">
      <c r="A292">
        <v>291</v>
      </c>
      <c r="B292" t="s">
        <v>259</v>
      </c>
      <c r="C292">
        <v>2023</v>
      </c>
      <c r="D292">
        <v>2003</v>
      </c>
      <c r="E292">
        <v>2005</v>
      </c>
      <c r="F292" t="s">
        <v>275</v>
      </c>
      <c r="G292"/>
      <c r="H292" t="s">
        <v>274</v>
      </c>
      <c r="I292"/>
      <c r="J292" t="s">
        <v>265</v>
      </c>
      <c r="K292" t="b">
        <v>0</v>
      </c>
      <c r="L292" t="b">
        <v>0</v>
      </c>
      <c r="M292" t="b">
        <v>0</v>
      </c>
      <c r="N292" t="b">
        <v>0</v>
      </c>
      <c r="O292" t="b">
        <v>0</v>
      </c>
      <c r="P292" t="b">
        <v>0</v>
      </c>
      <c r="Q292" t="b">
        <v>0</v>
      </c>
      <c r="R292" t="b">
        <v>0</v>
      </c>
      <c r="S292" t="b">
        <v>0</v>
      </c>
      <c r="T292" t="b">
        <v>0</v>
      </c>
      <c r="U292" t="b">
        <v>0</v>
      </c>
      <c r="V292" t="b">
        <v>0</v>
      </c>
      <c r="W292" t="b">
        <v>0</v>
      </c>
      <c r="X292" t="b">
        <v>0</v>
      </c>
      <c r="Y292" t="b">
        <v>0</v>
      </c>
      <c r="Z292" t="b">
        <v>1</v>
      </c>
      <c r="AA292" t="b">
        <v>0</v>
      </c>
      <c r="AB292" t="b">
        <v>0</v>
      </c>
      <c r="AC292" t="s">
        <v>173</v>
      </c>
      <c r="AD292" t="s">
        <v>173</v>
      </c>
      <c r="AE292" t="s">
        <v>177</v>
      </c>
      <c r="AF292" t="s">
        <v>175</v>
      </c>
      <c r="AG292" t="s">
        <v>173</v>
      </c>
      <c r="AH292" t="s">
        <v>173</v>
      </c>
      <c r="AI292" t="s">
        <v>173</v>
      </c>
      <c r="AJ292" t="s">
        <v>175</v>
      </c>
      <c r="AK292" t="s">
        <v>175</v>
      </c>
      <c r="AL292" t="s">
        <v>175</v>
      </c>
      <c r="AM292" t="s">
        <v>173</v>
      </c>
      <c r="AN292" t="s">
        <v>175</v>
      </c>
      <c r="AO292" t="s">
        <v>175</v>
      </c>
      <c r="AP292" t="s">
        <v>175</v>
      </c>
      <c r="AQ292" t="s">
        <v>175</v>
      </c>
      <c r="AR292" t="s">
        <v>177</v>
      </c>
      <c r="AS292" t="s">
        <v>173</v>
      </c>
      <c r="AT292" t="s">
        <v>173</v>
      </c>
      <c r="AU292" t="s">
        <v>173</v>
      </c>
      <c r="AV292" t="s">
        <v>175</v>
      </c>
      <c r="AW292" t="s">
        <v>173</v>
      </c>
      <c r="AX292" t="s">
        <v>193</v>
      </c>
      <c r="AY292" t="s">
        <v>195</v>
      </c>
      <c r="AZ292" t="s">
        <v>183</v>
      </c>
      <c r="BA292" t="s">
        <v>183</v>
      </c>
      <c r="BB292" t="s">
        <v>183</v>
      </c>
      <c r="BC292" t="s">
        <v>183</v>
      </c>
      <c r="BD292" t="s">
        <v>183</v>
      </c>
    </row>
    <row r="293" hidden="1" spans="1:56">
      <c r="A293">
        <v>292</v>
      </c>
      <c r="B293" t="s">
        <v>269</v>
      </c>
      <c r="C293">
        <v>2023</v>
      </c>
      <c r="D293" t="s">
        <v>247</v>
      </c>
      <c r="E293" t="s">
        <v>247</v>
      </c>
      <c r="F293" t="s">
        <v>266</v>
      </c>
      <c r="G293"/>
      <c r="H293" t="s">
        <v>247</v>
      </c>
      <c r="I293"/>
      <c r="J293" t="s">
        <v>265</v>
      </c>
      <c r="K293" t="b">
        <v>0</v>
      </c>
      <c r="L293" t="b">
        <v>1</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s">
        <v>173</v>
      </c>
      <c r="AD293" t="s">
        <v>183</v>
      </c>
      <c r="AE293" t="s">
        <v>173</v>
      </c>
      <c r="AF293" t="s">
        <v>173</v>
      </c>
      <c r="AG293" t="s">
        <v>173</v>
      </c>
      <c r="AH293" t="s">
        <v>173</v>
      </c>
      <c r="AI293" t="s">
        <v>173</v>
      </c>
      <c r="AJ293" t="s">
        <v>173</v>
      </c>
      <c r="AK293" t="s">
        <v>173</v>
      </c>
      <c r="AL293" t="s">
        <v>173</v>
      </c>
      <c r="AM293" t="s">
        <v>173</v>
      </c>
      <c r="AN293" t="s">
        <v>173</v>
      </c>
      <c r="AO293" t="s">
        <v>183</v>
      </c>
      <c r="AP293" t="s">
        <v>173</v>
      </c>
      <c r="AQ293" t="s">
        <v>173</v>
      </c>
      <c r="AR293" t="s">
        <v>175</v>
      </c>
      <c r="AS293" t="s">
        <v>173</v>
      </c>
      <c r="AT293" t="s">
        <v>175</v>
      </c>
      <c r="AU293" t="s">
        <v>173</v>
      </c>
      <c r="AV293" t="s">
        <v>183</v>
      </c>
      <c r="AW293" t="s">
        <v>171</v>
      </c>
      <c r="AX293" t="s">
        <v>192</v>
      </c>
      <c r="AY293" t="s">
        <v>196</v>
      </c>
      <c r="AZ293" t="s">
        <v>183</v>
      </c>
      <c r="BA293" t="s">
        <v>183</v>
      </c>
      <c r="BB293" t="s">
        <v>183</v>
      </c>
      <c r="BC293" t="s">
        <v>183</v>
      </c>
      <c r="BD293" t="s">
        <v>183</v>
      </c>
    </row>
    <row r="294" hidden="1" spans="1:56">
      <c r="A294">
        <v>293</v>
      </c>
      <c r="B294" t="s">
        <v>259</v>
      </c>
      <c r="C294">
        <v>2023</v>
      </c>
      <c r="D294">
        <v>1992</v>
      </c>
      <c r="E294">
        <v>1992</v>
      </c>
      <c r="F294" t="s">
        <v>256</v>
      </c>
      <c r="G294" t="s">
        <v>257</v>
      </c>
      <c r="H294" t="s">
        <v>247</v>
      </c>
      <c r="I294"/>
      <c r="J294" t="s">
        <v>252</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1</v>
      </c>
      <c r="AC294" t="s">
        <v>173</v>
      </c>
      <c r="AD294" t="s">
        <v>173</v>
      </c>
      <c r="AE294" t="s">
        <v>173</v>
      </c>
      <c r="AF294" t="s">
        <v>173</v>
      </c>
      <c r="AG294" t="s">
        <v>173</v>
      </c>
      <c r="AH294" t="s">
        <v>173</v>
      </c>
      <c r="AI294" t="s">
        <v>175</v>
      </c>
      <c r="AJ294" t="s">
        <v>173</v>
      </c>
      <c r="AK294" t="s">
        <v>175</v>
      </c>
      <c r="AL294" t="s">
        <v>175</v>
      </c>
      <c r="AM294" t="s">
        <v>175</v>
      </c>
      <c r="AN294" t="s">
        <v>175</v>
      </c>
      <c r="AO294" t="s">
        <v>175</v>
      </c>
      <c r="AP294" t="s">
        <v>175</v>
      </c>
      <c r="AQ294" t="s">
        <v>175</v>
      </c>
      <c r="AR294" t="s">
        <v>175</v>
      </c>
      <c r="AS294" t="s">
        <v>175</v>
      </c>
      <c r="AT294" t="s">
        <v>175</v>
      </c>
      <c r="AU294" t="s">
        <v>175</v>
      </c>
      <c r="AV294" t="s">
        <v>175</v>
      </c>
      <c r="AW294" t="s">
        <v>175</v>
      </c>
      <c r="AY294" t="s">
        <v>196</v>
      </c>
      <c r="AZ294" t="s">
        <v>183</v>
      </c>
      <c r="BA294" t="s">
        <v>183</v>
      </c>
      <c r="BB294" t="s">
        <v>183</v>
      </c>
      <c r="BC294" t="s">
        <v>183</v>
      </c>
      <c r="BD294" t="s">
        <v>183</v>
      </c>
    </row>
    <row r="295" hidden="1" spans="1:56">
      <c r="A295">
        <v>294</v>
      </c>
      <c r="B295" t="s">
        <v>272</v>
      </c>
      <c r="C295">
        <v>2022</v>
      </c>
      <c r="D295" t="s">
        <v>247</v>
      </c>
      <c r="E295" t="s">
        <v>247</v>
      </c>
      <c r="F295" t="s">
        <v>253</v>
      </c>
      <c r="G295"/>
      <c r="H295" t="s">
        <v>261</v>
      </c>
      <c r="I295"/>
      <c r="J295" t="s">
        <v>265</v>
      </c>
      <c r="K295" t="b">
        <v>0</v>
      </c>
      <c r="L295" t="b">
        <v>0</v>
      </c>
      <c r="M295" t="b">
        <v>0</v>
      </c>
      <c r="N295" t="b">
        <v>0</v>
      </c>
      <c r="O295" t="b">
        <v>0</v>
      </c>
      <c r="P295" t="b">
        <v>0</v>
      </c>
      <c r="Q295" t="b">
        <v>0</v>
      </c>
      <c r="R295" t="b">
        <v>0</v>
      </c>
      <c r="S295" t="b">
        <v>0</v>
      </c>
      <c r="T295" t="b">
        <v>0</v>
      </c>
      <c r="U295" t="b">
        <v>1</v>
      </c>
      <c r="V295" t="b">
        <v>1</v>
      </c>
      <c r="W295" t="b">
        <v>1</v>
      </c>
      <c r="X295" t="b">
        <v>0</v>
      </c>
      <c r="Y295" t="b">
        <v>0</v>
      </c>
      <c r="Z295" t="b">
        <v>0</v>
      </c>
      <c r="AA295" t="b">
        <v>0</v>
      </c>
      <c r="AB295" t="b">
        <v>0</v>
      </c>
      <c r="AC295" t="s">
        <v>173</v>
      </c>
      <c r="AD295" t="s">
        <v>171</v>
      </c>
      <c r="AE295" t="s">
        <v>171</v>
      </c>
      <c r="AF295" t="s">
        <v>171</v>
      </c>
      <c r="AG295" t="s">
        <v>171</v>
      </c>
      <c r="AH295" t="s">
        <v>171</v>
      </c>
      <c r="AI295" t="s">
        <v>171</v>
      </c>
      <c r="AJ295" t="s">
        <v>171</v>
      </c>
      <c r="AK295" t="s">
        <v>171</v>
      </c>
      <c r="AL295" t="s">
        <v>171</v>
      </c>
      <c r="AM295" t="s">
        <v>171</v>
      </c>
      <c r="AN295" t="s">
        <v>171</v>
      </c>
      <c r="AO295" t="s">
        <v>181</v>
      </c>
      <c r="AP295" t="s">
        <v>171</v>
      </c>
      <c r="AQ295" t="s">
        <v>181</v>
      </c>
      <c r="AR295" t="s">
        <v>171</v>
      </c>
      <c r="AS295" t="s">
        <v>171</v>
      </c>
      <c r="AT295" t="s">
        <v>171</v>
      </c>
      <c r="AU295" t="s">
        <v>171</v>
      </c>
      <c r="AV295" t="s">
        <v>171</v>
      </c>
      <c r="AW295" t="s">
        <v>171</v>
      </c>
      <c r="AY295" t="s">
        <v>195</v>
      </c>
      <c r="AZ295" t="s">
        <v>183</v>
      </c>
      <c r="BA295" t="s">
        <v>183</v>
      </c>
      <c r="BB295" t="s">
        <v>183</v>
      </c>
      <c r="BC295" t="s">
        <v>183</v>
      </c>
      <c r="BD295" t="s">
        <v>183</v>
      </c>
    </row>
    <row r="296" hidden="1" spans="1:56">
      <c r="A296">
        <v>295</v>
      </c>
      <c r="B296" t="s">
        <v>246</v>
      </c>
      <c r="C296">
        <v>2023</v>
      </c>
      <c r="D296">
        <v>2001</v>
      </c>
      <c r="E296">
        <v>2001</v>
      </c>
      <c r="F296" t="s">
        <v>304</v>
      </c>
      <c r="G296" t="s">
        <v>298</v>
      </c>
      <c r="H296" t="s">
        <v>261</v>
      </c>
      <c r="I296"/>
      <c r="J296" t="s">
        <v>252</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1</v>
      </c>
      <c r="AC296" t="s">
        <v>173</v>
      </c>
      <c r="AD296" t="s">
        <v>179</v>
      </c>
      <c r="AE296" t="s">
        <v>173</v>
      </c>
      <c r="AF296" t="s">
        <v>175</v>
      </c>
      <c r="AG296" t="s">
        <v>171</v>
      </c>
      <c r="AH296" t="s">
        <v>171</v>
      </c>
      <c r="AI296" t="s">
        <v>177</v>
      </c>
      <c r="AJ296" t="s">
        <v>173</v>
      </c>
      <c r="AK296" t="s">
        <v>173</v>
      </c>
      <c r="AL296" t="s">
        <v>171</v>
      </c>
      <c r="AM296" t="s">
        <v>173</v>
      </c>
      <c r="AN296" t="s">
        <v>173</v>
      </c>
      <c r="AO296" t="s">
        <v>179</v>
      </c>
      <c r="AP296" t="s">
        <v>175</v>
      </c>
      <c r="AQ296" t="s">
        <v>175</v>
      </c>
      <c r="AR296" t="s">
        <v>173</v>
      </c>
      <c r="AS296" t="s">
        <v>177</v>
      </c>
      <c r="AT296" t="s">
        <v>175</v>
      </c>
      <c r="AU296" t="s">
        <v>175</v>
      </c>
      <c r="AV296" t="s">
        <v>177</v>
      </c>
      <c r="AW296" t="s">
        <v>179</v>
      </c>
      <c r="AX296" t="s">
        <v>193</v>
      </c>
      <c r="AY296" t="s">
        <v>196</v>
      </c>
      <c r="AZ296" t="s">
        <v>183</v>
      </c>
      <c r="BA296" t="s">
        <v>183</v>
      </c>
      <c r="BB296" t="s">
        <v>183</v>
      </c>
      <c r="BC296" t="s">
        <v>183</v>
      </c>
      <c r="BD296" t="s">
        <v>183</v>
      </c>
    </row>
    <row r="297" hidden="1" spans="1:56">
      <c r="A297">
        <v>296</v>
      </c>
      <c r="B297" t="s">
        <v>272</v>
      </c>
      <c r="C297">
        <v>2022</v>
      </c>
      <c r="D297">
        <v>1989</v>
      </c>
      <c r="E297">
        <v>2012</v>
      </c>
      <c r="F297" t="s">
        <v>256</v>
      </c>
      <c r="G297" t="s">
        <v>279</v>
      </c>
      <c r="H297" t="s">
        <v>250</v>
      </c>
      <c r="I297"/>
      <c r="J297" t="s">
        <v>252</v>
      </c>
      <c r="K297" t="b">
        <v>0</v>
      </c>
      <c r="L297" t="b">
        <v>0</v>
      </c>
      <c r="M297" t="b">
        <v>0</v>
      </c>
      <c r="N297" t="b">
        <v>0</v>
      </c>
      <c r="O297" t="b">
        <v>0</v>
      </c>
      <c r="P297" t="b">
        <v>0</v>
      </c>
      <c r="Q297" t="b">
        <v>0</v>
      </c>
      <c r="R297" t="b">
        <v>0</v>
      </c>
      <c r="S297" t="b">
        <v>0</v>
      </c>
      <c r="T297" t="b">
        <v>0</v>
      </c>
      <c r="U297" t="b">
        <v>0</v>
      </c>
      <c r="V297" t="b">
        <v>0</v>
      </c>
      <c r="W297" t="b">
        <v>1</v>
      </c>
      <c r="X297" t="b">
        <v>0</v>
      </c>
      <c r="Y297" t="b">
        <v>0</v>
      </c>
      <c r="Z297" t="b">
        <v>1</v>
      </c>
      <c r="AA297" t="b">
        <v>0</v>
      </c>
      <c r="AB297" t="b">
        <v>0</v>
      </c>
      <c r="AC297" t="s">
        <v>173</v>
      </c>
      <c r="AD297" t="s">
        <v>175</v>
      </c>
      <c r="AE297" t="s">
        <v>173</v>
      </c>
      <c r="AF297" t="s">
        <v>173</v>
      </c>
      <c r="AG297" t="s">
        <v>173</v>
      </c>
      <c r="AH297" t="s">
        <v>173</v>
      </c>
      <c r="AI297" t="s">
        <v>173</v>
      </c>
      <c r="AJ297" t="s">
        <v>173</v>
      </c>
      <c r="AK297" t="s">
        <v>173</v>
      </c>
      <c r="AL297" t="s">
        <v>175</v>
      </c>
      <c r="AM297" t="s">
        <v>175</v>
      </c>
      <c r="AN297" t="s">
        <v>175</v>
      </c>
      <c r="AO297" t="s">
        <v>177</v>
      </c>
      <c r="AP297" t="s">
        <v>177</v>
      </c>
      <c r="AQ297" t="s">
        <v>177</v>
      </c>
      <c r="AR297" t="s">
        <v>175</v>
      </c>
      <c r="AS297" t="s">
        <v>175</v>
      </c>
      <c r="AT297" t="s">
        <v>175</v>
      </c>
      <c r="AU297" t="s">
        <v>175</v>
      </c>
      <c r="AV297" t="s">
        <v>175</v>
      </c>
      <c r="AW297" t="s">
        <v>175</v>
      </c>
      <c r="AX297" t="s">
        <v>192</v>
      </c>
      <c r="AY297" t="s">
        <v>197</v>
      </c>
      <c r="AZ297" t="s">
        <v>183</v>
      </c>
      <c r="BA297" t="s">
        <v>183</v>
      </c>
      <c r="BB297" t="s">
        <v>183</v>
      </c>
      <c r="BC297" t="s">
        <v>183</v>
      </c>
      <c r="BD297" t="s">
        <v>183</v>
      </c>
    </row>
    <row r="298" hidden="1" spans="1:56">
      <c r="A298">
        <v>297</v>
      </c>
      <c r="B298" t="s">
        <v>269</v>
      </c>
      <c r="C298">
        <v>2022</v>
      </c>
      <c r="D298">
        <v>2015</v>
      </c>
      <c r="E298">
        <v>2018</v>
      </c>
      <c r="F298" t="s">
        <v>289</v>
      </c>
      <c r="G298"/>
      <c r="H298" t="s">
        <v>267</v>
      </c>
      <c r="I298"/>
      <c r="J298" t="s">
        <v>265</v>
      </c>
      <c r="K298" t="b">
        <v>0</v>
      </c>
      <c r="L298" t="b">
        <v>1</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s">
        <v>173</v>
      </c>
      <c r="AD298" t="s">
        <v>177</v>
      </c>
      <c r="AE298" t="s">
        <v>173</v>
      </c>
      <c r="AF298" t="s">
        <v>173</v>
      </c>
      <c r="AG298" t="s">
        <v>173</v>
      </c>
      <c r="AH298" t="s">
        <v>171</v>
      </c>
      <c r="AI298" t="s">
        <v>173</v>
      </c>
      <c r="AJ298" t="s">
        <v>171</v>
      </c>
      <c r="AK298" t="s">
        <v>173</v>
      </c>
      <c r="AL298" t="s">
        <v>173</v>
      </c>
      <c r="AM298" t="s">
        <v>175</v>
      </c>
      <c r="AN298" t="s">
        <v>173</v>
      </c>
      <c r="AO298" t="s">
        <v>173</v>
      </c>
      <c r="AP298" t="s">
        <v>173</v>
      </c>
      <c r="AQ298" t="s">
        <v>173</v>
      </c>
      <c r="AR298" t="s">
        <v>173</v>
      </c>
      <c r="AS298" t="s">
        <v>173</v>
      </c>
      <c r="AT298" t="s">
        <v>173</v>
      </c>
      <c r="AU298" t="s">
        <v>173</v>
      </c>
      <c r="AV298" t="s">
        <v>173</v>
      </c>
      <c r="AW298" t="s">
        <v>173</v>
      </c>
      <c r="AX298" t="s">
        <v>193</v>
      </c>
      <c r="AY298" t="s">
        <v>199</v>
      </c>
      <c r="AZ298" t="s">
        <v>183</v>
      </c>
      <c r="BA298" t="s">
        <v>183</v>
      </c>
      <c r="BB298" t="s">
        <v>183</v>
      </c>
      <c r="BC298" t="s">
        <v>183</v>
      </c>
      <c r="BD298" t="s">
        <v>183</v>
      </c>
    </row>
    <row r="299" hidden="1" spans="1:56">
      <c r="A299">
        <v>298</v>
      </c>
      <c r="B299" t="s">
        <v>259</v>
      </c>
      <c r="C299">
        <v>2022</v>
      </c>
      <c r="D299">
        <v>2006</v>
      </c>
      <c r="E299">
        <v>2006</v>
      </c>
      <c r="F299" t="s">
        <v>266</v>
      </c>
      <c r="G299"/>
      <c r="H299" t="s">
        <v>264</v>
      </c>
      <c r="I299"/>
      <c r="J299" t="s">
        <v>252</v>
      </c>
      <c r="K299" t="b">
        <v>0</v>
      </c>
      <c r="L299" t="b">
        <v>0</v>
      </c>
      <c r="M299" t="b">
        <v>0</v>
      </c>
      <c r="N299" t="b">
        <v>0</v>
      </c>
      <c r="O299" t="b">
        <v>0</v>
      </c>
      <c r="P299" t="b">
        <v>0</v>
      </c>
      <c r="Q299" t="b">
        <v>0</v>
      </c>
      <c r="R299" t="b">
        <v>0</v>
      </c>
      <c r="S299" t="b">
        <v>0</v>
      </c>
      <c r="T299" t="b">
        <v>0</v>
      </c>
      <c r="U299" t="b">
        <v>0</v>
      </c>
      <c r="V299" t="b">
        <v>0</v>
      </c>
      <c r="W299" t="b">
        <v>1</v>
      </c>
      <c r="X299" t="b">
        <v>0</v>
      </c>
      <c r="Y299" t="b">
        <v>0</v>
      </c>
      <c r="Z299" t="b">
        <v>0</v>
      </c>
      <c r="AA299" t="b">
        <v>0</v>
      </c>
      <c r="AB299" t="b">
        <v>0</v>
      </c>
      <c r="AC299" t="s">
        <v>173</v>
      </c>
      <c r="AD299" t="s">
        <v>179</v>
      </c>
      <c r="AE299" t="s">
        <v>175</v>
      </c>
      <c r="AF299" t="s">
        <v>173</v>
      </c>
      <c r="AG299" t="s">
        <v>173</v>
      </c>
      <c r="AH299" t="s">
        <v>173</v>
      </c>
      <c r="AI299" t="s">
        <v>173</v>
      </c>
      <c r="AJ299" t="s">
        <v>173</v>
      </c>
      <c r="AK299" t="s">
        <v>173</v>
      </c>
      <c r="AL299" t="s">
        <v>173</v>
      </c>
      <c r="AM299" t="s">
        <v>175</v>
      </c>
      <c r="AN299" t="s">
        <v>177</v>
      </c>
      <c r="AO299" t="s">
        <v>175</v>
      </c>
      <c r="AP299" t="s">
        <v>175</v>
      </c>
      <c r="AQ299" t="s">
        <v>173</v>
      </c>
      <c r="AR299" t="s">
        <v>173</v>
      </c>
      <c r="AS299" t="s">
        <v>173</v>
      </c>
      <c r="AT299" t="s">
        <v>173</v>
      </c>
      <c r="AU299" t="s">
        <v>173</v>
      </c>
      <c r="AV299" t="s">
        <v>173</v>
      </c>
      <c r="AW299" t="s">
        <v>173</v>
      </c>
      <c r="AX299" t="s">
        <v>192</v>
      </c>
      <c r="AY299" t="s">
        <v>195</v>
      </c>
      <c r="AZ299" t="s">
        <v>183</v>
      </c>
      <c r="BA299" t="s">
        <v>183</v>
      </c>
      <c r="BB299" t="s">
        <v>183</v>
      </c>
      <c r="BC299" t="s">
        <v>183</v>
      </c>
      <c r="BD299" t="s">
        <v>183</v>
      </c>
    </row>
    <row r="300" hidden="1" spans="1:56">
      <c r="A300">
        <v>299</v>
      </c>
      <c r="B300" t="s">
        <v>282</v>
      </c>
      <c r="C300">
        <v>2023</v>
      </c>
      <c r="D300">
        <v>2021</v>
      </c>
      <c r="E300">
        <v>2021</v>
      </c>
      <c r="F300" t="s">
        <v>256</v>
      </c>
      <c r="G300" t="s">
        <v>257</v>
      </c>
      <c r="H300" t="s">
        <v>258</v>
      </c>
      <c r="I300"/>
      <c r="J300" t="s">
        <v>252</v>
      </c>
      <c r="K300" t="b">
        <v>0</v>
      </c>
      <c r="L300" t="b">
        <v>0</v>
      </c>
      <c r="M300" t="b">
        <v>0</v>
      </c>
      <c r="N300" t="b">
        <v>0</v>
      </c>
      <c r="O300" t="b">
        <v>0</v>
      </c>
      <c r="P300" t="b">
        <v>0</v>
      </c>
      <c r="Q300" t="b">
        <v>0</v>
      </c>
      <c r="R300" t="b">
        <v>0</v>
      </c>
      <c r="S300" t="b">
        <v>0</v>
      </c>
      <c r="T300" t="b">
        <v>0</v>
      </c>
      <c r="U300" t="b">
        <v>0</v>
      </c>
      <c r="V300" t="b">
        <v>0</v>
      </c>
      <c r="W300" t="b">
        <v>0</v>
      </c>
      <c r="X300" t="b">
        <v>1</v>
      </c>
      <c r="Y300" t="b">
        <v>1</v>
      </c>
      <c r="Z300" t="b">
        <v>0</v>
      </c>
      <c r="AA300" t="b">
        <v>0</v>
      </c>
      <c r="AB300" t="b">
        <v>0</v>
      </c>
      <c r="AC300" t="s">
        <v>171</v>
      </c>
      <c r="AD300" t="s">
        <v>171</v>
      </c>
      <c r="AE300" t="s">
        <v>171</v>
      </c>
      <c r="AF300" t="s">
        <v>171</v>
      </c>
      <c r="AG300" t="s">
        <v>171</v>
      </c>
      <c r="AH300" t="s">
        <v>171</v>
      </c>
      <c r="AI300" t="s">
        <v>171</v>
      </c>
      <c r="AJ300" t="s">
        <v>171</v>
      </c>
      <c r="AK300" t="s">
        <v>171</v>
      </c>
      <c r="AL300" t="s">
        <v>171</v>
      </c>
      <c r="AM300" t="s">
        <v>171</v>
      </c>
      <c r="AN300" t="s">
        <v>171</v>
      </c>
      <c r="AO300" t="s">
        <v>171</v>
      </c>
      <c r="AP300" t="s">
        <v>171</v>
      </c>
      <c r="AQ300" t="s">
        <v>171</v>
      </c>
      <c r="AR300" t="s">
        <v>171</v>
      </c>
      <c r="AS300" t="s">
        <v>171</v>
      </c>
      <c r="AT300" t="s">
        <v>171</v>
      </c>
      <c r="AU300" t="s">
        <v>171</v>
      </c>
      <c r="AV300" t="s">
        <v>171</v>
      </c>
      <c r="AW300" t="s">
        <v>171</v>
      </c>
      <c r="AX300" t="s">
        <v>192</v>
      </c>
      <c r="AY300" t="s">
        <v>202</v>
      </c>
      <c r="AZ300" t="s">
        <v>183</v>
      </c>
      <c r="BA300" t="s">
        <v>183</v>
      </c>
      <c r="BB300" t="s">
        <v>183</v>
      </c>
      <c r="BC300" t="s">
        <v>183</v>
      </c>
      <c r="BD300" t="s">
        <v>183</v>
      </c>
    </row>
    <row r="301" hidden="1" spans="1:56">
      <c r="A301">
        <v>300</v>
      </c>
      <c r="B301" t="s">
        <v>259</v>
      </c>
      <c r="C301">
        <v>2022</v>
      </c>
      <c r="D301">
        <v>1999</v>
      </c>
      <c r="E301">
        <v>2006</v>
      </c>
      <c r="F301" t="s">
        <v>248</v>
      </c>
      <c r="G301" t="s">
        <v>242</v>
      </c>
      <c r="H301" t="s">
        <v>258</v>
      </c>
      <c r="I301"/>
      <c r="J301" t="s">
        <v>252</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1</v>
      </c>
      <c r="AC301" t="s">
        <v>171</v>
      </c>
      <c r="AD301" t="s">
        <v>171</v>
      </c>
      <c r="AE301" t="s">
        <v>173</v>
      </c>
      <c r="AF301" t="s">
        <v>173</v>
      </c>
      <c r="AG301" t="s">
        <v>173</v>
      </c>
      <c r="AH301" t="s">
        <v>173</v>
      </c>
      <c r="AI301" t="s">
        <v>173</v>
      </c>
      <c r="AJ301" t="s">
        <v>173</v>
      </c>
      <c r="AK301" t="s">
        <v>173</v>
      </c>
      <c r="AL301" t="s">
        <v>171</v>
      </c>
      <c r="AM301" t="s">
        <v>171</v>
      </c>
      <c r="AN301" t="s">
        <v>171</v>
      </c>
      <c r="AO301" t="s">
        <v>173</v>
      </c>
      <c r="AP301" t="s">
        <v>173</v>
      </c>
      <c r="AQ301" t="s">
        <v>173</v>
      </c>
      <c r="AR301" t="s">
        <v>173</v>
      </c>
      <c r="AS301" t="s">
        <v>173</v>
      </c>
      <c r="AT301" t="s">
        <v>173</v>
      </c>
      <c r="AU301" t="s">
        <v>173</v>
      </c>
      <c r="AV301" t="s">
        <v>175</v>
      </c>
      <c r="AW301" t="s">
        <v>173</v>
      </c>
      <c r="AX301" t="s">
        <v>192</v>
      </c>
      <c r="AY301" t="s">
        <v>196</v>
      </c>
      <c r="AZ301" t="s">
        <v>183</v>
      </c>
      <c r="BA301" t="s">
        <v>183</v>
      </c>
      <c r="BB301" t="s">
        <v>183</v>
      </c>
      <c r="BC301" t="s">
        <v>183</v>
      </c>
      <c r="BD301" t="s">
        <v>183</v>
      </c>
    </row>
    <row r="302" hidden="1" spans="1:56">
      <c r="A302">
        <v>301</v>
      </c>
      <c r="B302" t="s">
        <v>272</v>
      </c>
      <c r="C302">
        <v>2022</v>
      </c>
      <c r="D302">
        <v>2005</v>
      </c>
      <c r="E302">
        <v>2005</v>
      </c>
      <c r="F302" t="s">
        <v>256</v>
      </c>
      <c r="G302" t="s">
        <v>257</v>
      </c>
      <c r="H302" t="s">
        <v>264</v>
      </c>
      <c r="I302"/>
      <c r="J302" t="s">
        <v>265</v>
      </c>
      <c r="K302" t="b">
        <v>0</v>
      </c>
      <c r="L302" t="b">
        <v>1</v>
      </c>
      <c r="M302" t="b">
        <v>0</v>
      </c>
      <c r="N302" t="b">
        <v>0</v>
      </c>
      <c r="O302" t="b">
        <v>0</v>
      </c>
      <c r="P302" t="b">
        <v>0</v>
      </c>
      <c r="Q302" t="b">
        <v>0</v>
      </c>
      <c r="R302" t="b">
        <v>0</v>
      </c>
      <c r="S302" t="b">
        <v>0</v>
      </c>
      <c r="T302" t="b">
        <v>1</v>
      </c>
      <c r="U302" t="b">
        <v>0</v>
      </c>
      <c r="V302" t="b">
        <v>0</v>
      </c>
      <c r="W302" t="b">
        <v>1</v>
      </c>
      <c r="X302" t="b">
        <v>0</v>
      </c>
      <c r="Y302" t="b">
        <v>0</v>
      </c>
      <c r="Z302" t="b">
        <v>1</v>
      </c>
      <c r="AA302" t="b">
        <v>0</v>
      </c>
      <c r="AB302" t="b">
        <v>0</v>
      </c>
      <c r="AC302" t="s">
        <v>175</v>
      </c>
      <c r="AD302" t="s">
        <v>177</v>
      </c>
      <c r="AE302" t="s">
        <v>177</v>
      </c>
      <c r="AF302" t="s">
        <v>175</v>
      </c>
      <c r="AG302" t="s">
        <v>177</v>
      </c>
      <c r="AH302" t="s">
        <v>173</v>
      </c>
      <c r="AI302" t="s">
        <v>177</v>
      </c>
      <c r="AJ302" t="s">
        <v>177</v>
      </c>
      <c r="AK302" t="s">
        <v>173</v>
      </c>
      <c r="AL302" t="s">
        <v>175</v>
      </c>
      <c r="AM302" t="s">
        <v>179</v>
      </c>
      <c r="AN302" t="s">
        <v>173</v>
      </c>
      <c r="AO302" t="s">
        <v>173</v>
      </c>
      <c r="AP302" t="s">
        <v>173</v>
      </c>
      <c r="AQ302" t="s">
        <v>171</v>
      </c>
      <c r="AR302" t="s">
        <v>177</v>
      </c>
      <c r="AS302" t="s">
        <v>175</v>
      </c>
      <c r="AT302" t="s">
        <v>173</v>
      </c>
      <c r="AU302" t="s">
        <v>173</v>
      </c>
      <c r="AV302" t="s">
        <v>177</v>
      </c>
      <c r="AW302" t="s">
        <v>173</v>
      </c>
      <c r="AX302" t="s">
        <v>192</v>
      </c>
      <c r="AY302" t="s">
        <v>197</v>
      </c>
      <c r="AZ302" t="s">
        <v>183</v>
      </c>
      <c r="BA302" t="s">
        <v>183</v>
      </c>
      <c r="BB302" t="s">
        <v>183</v>
      </c>
      <c r="BC302" t="s">
        <v>183</v>
      </c>
      <c r="BD302" t="s">
        <v>183</v>
      </c>
    </row>
    <row r="303" hidden="1" spans="1:56">
      <c r="A303">
        <v>302</v>
      </c>
      <c r="B303" t="s">
        <v>269</v>
      </c>
      <c r="C303">
        <v>2022</v>
      </c>
      <c r="D303" t="s">
        <v>247</v>
      </c>
      <c r="E303" t="s">
        <v>247</v>
      </c>
      <c r="F303" t="s">
        <v>276</v>
      </c>
      <c r="G303"/>
      <c r="H303" t="s">
        <v>247</v>
      </c>
      <c r="I303"/>
      <c r="J303" t="s">
        <v>265</v>
      </c>
      <c r="K303" t="b">
        <v>0</v>
      </c>
      <c r="L303" t="b">
        <v>1</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s">
        <v>175</v>
      </c>
      <c r="AD303" t="s">
        <v>175</v>
      </c>
      <c r="AE303" t="s">
        <v>177</v>
      </c>
      <c r="AF303" t="s">
        <v>173</v>
      </c>
      <c r="AG303" t="s">
        <v>173</v>
      </c>
      <c r="AH303" t="s">
        <v>171</v>
      </c>
      <c r="AI303" t="s">
        <v>175</v>
      </c>
      <c r="AJ303" t="s">
        <v>173</v>
      </c>
      <c r="AK303" t="s">
        <v>173</v>
      </c>
      <c r="AL303" t="s">
        <v>171</v>
      </c>
      <c r="AM303" t="s">
        <v>171</v>
      </c>
      <c r="AN303" t="s">
        <v>173</v>
      </c>
      <c r="AO303" t="s">
        <v>173</v>
      </c>
      <c r="AP303" t="s">
        <v>173</v>
      </c>
      <c r="AQ303" t="s">
        <v>173</v>
      </c>
      <c r="AR303" t="s">
        <v>173</v>
      </c>
      <c r="AS303" t="s">
        <v>171</v>
      </c>
      <c r="AT303" t="s">
        <v>173</v>
      </c>
      <c r="AU303" t="s">
        <v>173</v>
      </c>
      <c r="AV303" t="s">
        <v>173</v>
      </c>
      <c r="AW303" t="s">
        <v>173</v>
      </c>
      <c r="AX303" t="s">
        <v>192</v>
      </c>
      <c r="AY303" t="s">
        <v>198</v>
      </c>
      <c r="AZ303" t="s">
        <v>183</v>
      </c>
      <c r="BA303" t="s">
        <v>183</v>
      </c>
      <c r="BB303" t="s">
        <v>183</v>
      </c>
      <c r="BC303" t="s">
        <v>183</v>
      </c>
      <c r="BD303" t="s">
        <v>183</v>
      </c>
    </row>
    <row r="304" hidden="1" spans="1:56">
      <c r="A304">
        <v>303</v>
      </c>
      <c r="B304" t="s">
        <v>259</v>
      </c>
      <c r="C304">
        <v>2023</v>
      </c>
      <c r="D304">
        <v>1997</v>
      </c>
      <c r="E304">
        <v>1997</v>
      </c>
      <c r="F304" t="s">
        <v>275</v>
      </c>
      <c r="G304"/>
      <c r="H304" t="s">
        <v>258</v>
      </c>
      <c r="I304"/>
      <c r="J304" t="s">
        <v>252</v>
      </c>
      <c r="K304" t="b">
        <v>0</v>
      </c>
      <c r="L304" t="b">
        <v>0</v>
      </c>
      <c r="M304" t="b">
        <v>0</v>
      </c>
      <c r="N304" t="b">
        <v>0</v>
      </c>
      <c r="O304" t="b">
        <v>0</v>
      </c>
      <c r="P304" t="b">
        <v>0</v>
      </c>
      <c r="Q304" t="b">
        <v>0</v>
      </c>
      <c r="R304" t="b">
        <v>0</v>
      </c>
      <c r="S304" t="b">
        <v>0</v>
      </c>
      <c r="T304" t="b">
        <v>0</v>
      </c>
      <c r="U304" t="b">
        <v>0</v>
      </c>
      <c r="V304" t="b">
        <v>0</v>
      </c>
      <c r="W304" t="b">
        <v>0</v>
      </c>
      <c r="X304" t="b">
        <v>0</v>
      </c>
      <c r="Y304" t="b">
        <v>0</v>
      </c>
      <c r="Z304" t="b">
        <v>1</v>
      </c>
      <c r="AA304" t="b">
        <v>0</v>
      </c>
      <c r="AB304" t="b">
        <v>0</v>
      </c>
      <c r="AC304" t="s">
        <v>173</v>
      </c>
      <c r="AD304" t="s">
        <v>173</v>
      </c>
      <c r="AE304" t="s">
        <v>173</v>
      </c>
      <c r="AF304" t="s">
        <v>173</v>
      </c>
      <c r="AG304" t="s">
        <v>173</v>
      </c>
      <c r="AH304" t="s">
        <v>171</v>
      </c>
      <c r="AI304" t="s">
        <v>173</v>
      </c>
      <c r="AJ304" t="s">
        <v>173</v>
      </c>
      <c r="AK304" t="s">
        <v>173</v>
      </c>
      <c r="AL304" t="s">
        <v>173</v>
      </c>
      <c r="AM304" t="s">
        <v>173</v>
      </c>
      <c r="AN304" t="s">
        <v>173</v>
      </c>
      <c r="AO304" t="s">
        <v>175</v>
      </c>
      <c r="AP304" t="s">
        <v>175</v>
      </c>
      <c r="AQ304" t="s">
        <v>175</v>
      </c>
      <c r="AR304" t="s">
        <v>173</v>
      </c>
      <c r="AS304" t="s">
        <v>173</v>
      </c>
      <c r="AT304" t="s">
        <v>173</v>
      </c>
      <c r="AU304" t="s">
        <v>173</v>
      </c>
      <c r="AV304" t="s">
        <v>173</v>
      </c>
      <c r="AW304" t="s">
        <v>177</v>
      </c>
      <c r="AX304" t="s">
        <v>192</v>
      </c>
      <c r="AY304" t="s">
        <v>196</v>
      </c>
      <c r="AZ304" t="s">
        <v>183</v>
      </c>
      <c r="BA304" t="s">
        <v>183</v>
      </c>
      <c r="BB304" t="s">
        <v>183</v>
      </c>
      <c r="BC304" t="s">
        <v>183</v>
      </c>
      <c r="BD304" t="s">
        <v>183</v>
      </c>
    </row>
    <row r="305" hidden="1" spans="1:56">
      <c r="A305">
        <v>304</v>
      </c>
      <c r="B305" t="s">
        <v>255</v>
      </c>
      <c r="C305">
        <v>2022</v>
      </c>
      <c r="D305">
        <v>2014</v>
      </c>
      <c r="E305">
        <v>2020</v>
      </c>
      <c r="F305" t="s">
        <v>275</v>
      </c>
      <c r="G305"/>
      <c r="H305" t="s">
        <v>261</v>
      </c>
      <c r="I305"/>
      <c r="J305" t="s">
        <v>265</v>
      </c>
      <c r="K305" t="b">
        <v>0</v>
      </c>
      <c r="L305" t="b">
        <v>0</v>
      </c>
      <c r="M305" t="b">
        <v>0</v>
      </c>
      <c r="N305" t="b">
        <v>1</v>
      </c>
      <c r="O305" t="b">
        <v>0</v>
      </c>
      <c r="P305" t="b">
        <v>0</v>
      </c>
      <c r="Q305" t="b">
        <v>1</v>
      </c>
      <c r="R305" t="b">
        <v>0</v>
      </c>
      <c r="S305" t="b">
        <v>0</v>
      </c>
      <c r="T305" t="b">
        <v>0</v>
      </c>
      <c r="U305" t="b">
        <v>0</v>
      </c>
      <c r="V305" t="b">
        <v>0</v>
      </c>
      <c r="W305" t="b">
        <v>0</v>
      </c>
      <c r="X305" t="b">
        <v>0</v>
      </c>
      <c r="Y305" t="b">
        <v>0</v>
      </c>
      <c r="Z305" t="b">
        <v>0</v>
      </c>
      <c r="AA305" t="b">
        <v>0</v>
      </c>
      <c r="AB305" t="b">
        <v>0</v>
      </c>
      <c r="AC305" t="s">
        <v>175</v>
      </c>
      <c r="AD305" t="s">
        <v>179</v>
      </c>
      <c r="AE305" t="s">
        <v>179</v>
      </c>
      <c r="AF305" t="s">
        <v>179</v>
      </c>
      <c r="AG305" t="s">
        <v>177</v>
      </c>
      <c r="AH305" t="s">
        <v>175</v>
      </c>
      <c r="AI305" t="s">
        <v>179</v>
      </c>
      <c r="AJ305" t="s">
        <v>179</v>
      </c>
      <c r="AK305" t="s">
        <v>179</v>
      </c>
      <c r="AL305" t="s">
        <v>179</v>
      </c>
      <c r="AM305" t="s">
        <v>177</v>
      </c>
      <c r="AN305" t="s">
        <v>179</v>
      </c>
      <c r="AO305" t="s">
        <v>179</v>
      </c>
      <c r="AP305" t="s">
        <v>179</v>
      </c>
      <c r="AQ305" t="s">
        <v>179</v>
      </c>
      <c r="AR305" t="s">
        <v>179</v>
      </c>
      <c r="AS305" t="s">
        <v>179</v>
      </c>
      <c r="AT305" t="s">
        <v>177</v>
      </c>
      <c r="AU305" t="s">
        <v>179</v>
      </c>
      <c r="AV305" t="s">
        <v>179</v>
      </c>
      <c r="AW305" t="s">
        <v>179</v>
      </c>
      <c r="AX305" t="s">
        <v>193</v>
      </c>
      <c r="AY305" t="s">
        <v>197</v>
      </c>
      <c r="AZ305" t="s">
        <v>183</v>
      </c>
      <c r="BA305" t="s">
        <v>183</v>
      </c>
      <c r="BB305" t="s">
        <v>183</v>
      </c>
      <c r="BC305" t="s">
        <v>183</v>
      </c>
      <c r="BD305" t="s">
        <v>183</v>
      </c>
    </row>
    <row r="306" hidden="1" spans="1:56">
      <c r="A306">
        <v>305</v>
      </c>
      <c r="B306" t="s">
        <v>269</v>
      </c>
      <c r="C306">
        <v>2023</v>
      </c>
      <c r="D306">
        <v>2018</v>
      </c>
      <c r="E306">
        <v>2018</v>
      </c>
      <c r="F306" t="s">
        <v>256</v>
      </c>
      <c r="G306" t="s">
        <v>263</v>
      </c>
      <c r="H306" t="s">
        <v>258</v>
      </c>
      <c r="I306"/>
      <c r="J306" t="s">
        <v>252</v>
      </c>
      <c r="K306" t="b">
        <v>0</v>
      </c>
      <c r="L306" t="b">
        <v>0</v>
      </c>
      <c r="M306" t="b">
        <v>0</v>
      </c>
      <c r="N306" t="b">
        <v>0</v>
      </c>
      <c r="O306" t="b">
        <v>0</v>
      </c>
      <c r="P306" t="b">
        <v>0</v>
      </c>
      <c r="Q306" t="b">
        <v>0</v>
      </c>
      <c r="R306" t="b">
        <v>0</v>
      </c>
      <c r="S306" t="b">
        <v>0</v>
      </c>
      <c r="T306" t="b">
        <v>0</v>
      </c>
      <c r="U306" t="b">
        <v>0</v>
      </c>
      <c r="V306" t="b">
        <v>1</v>
      </c>
      <c r="W306" t="b">
        <v>0</v>
      </c>
      <c r="X306" t="b">
        <v>0</v>
      </c>
      <c r="Y306" t="b">
        <v>0</v>
      </c>
      <c r="Z306" t="b">
        <v>0</v>
      </c>
      <c r="AA306" t="b">
        <v>0</v>
      </c>
      <c r="AB306" t="b">
        <v>0</v>
      </c>
      <c r="AC306" t="s">
        <v>173</v>
      </c>
      <c r="AD306" t="s">
        <v>173</v>
      </c>
      <c r="AE306" t="s">
        <v>171</v>
      </c>
      <c r="AF306" t="s">
        <v>173</v>
      </c>
      <c r="AG306" t="s">
        <v>173</v>
      </c>
      <c r="AH306" t="s">
        <v>175</v>
      </c>
      <c r="AI306" t="s">
        <v>173</v>
      </c>
      <c r="AJ306" t="s">
        <v>171</v>
      </c>
      <c r="AK306" t="s">
        <v>173</v>
      </c>
      <c r="AL306" t="s">
        <v>173</v>
      </c>
      <c r="AM306" t="s">
        <v>173</v>
      </c>
      <c r="AN306" t="s">
        <v>173</v>
      </c>
      <c r="AO306" t="s">
        <v>173</v>
      </c>
      <c r="AP306" t="s">
        <v>173</v>
      </c>
      <c r="AQ306" t="s">
        <v>173</v>
      </c>
      <c r="AR306" t="s">
        <v>173</v>
      </c>
      <c r="AS306" t="s">
        <v>173</v>
      </c>
      <c r="AT306" t="s">
        <v>173</v>
      </c>
      <c r="AU306" t="s">
        <v>173</v>
      </c>
      <c r="AV306" t="s">
        <v>173</v>
      </c>
      <c r="AW306" t="s">
        <v>173</v>
      </c>
      <c r="AX306" t="s">
        <v>193</v>
      </c>
      <c r="AY306" t="s">
        <v>198</v>
      </c>
      <c r="AZ306" t="s">
        <v>183</v>
      </c>
      <c r="BA306" t="s">
        <v>183</v>
      </c>
      <c r="BB306" t="s">
        <v>183</v>
      </c>
      <c r="BC306" t="s">
        <v>183</v>
      </c>
      <c r="BD306" t="s">
        <v>183</v>
      </c>
    </row>
    <row r="307" spans="1:65">
      <c r="A307">
        <v>306</v>
      </c>
      <c r="B307" t="s">
        <v>284</v>
      </c>
      <c r="C307" s="10">
        <v>2022</v>
      </c>
      <c r="D307" s="10">
        <v>2020</v>
      </c>
      <c r="E307" s="10">
        <v>2020</v>
      </c>
      <c r="F307" s="10" t="s">
        <v>241</v>
      </c>
      <c r="G307" s="10" t="s">
        <v>249</v>
      </c>
      <c r="H307" s="10" t="s">
        <v>243</v>
      </c>
      <c r="I307" s="10" t="s">
        <v>278</v>
      </c>
      <c r="J307" s="10" t="s">
        <v>285</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1</v>
      </c>
      <c r="AC307" s="10" t="s">
        <v>173</v>
      </c>
      <c r="AD307" t="s">
        <v>177</v>
      </c>
      <c r="AE307" t="s">
        <v>175</v>
      </c>
      <c r="AG307" t="s">
        <v>173</v>
      </c>
      <c r="AH307" t="s">
        <v>171</v>
      </c>
      <c r="AI307" t="s">
        <v>173</v>
      </c>
      <c r="AJ307" t="s">
        <v>175</v>
      </c>
      <c r="AK307" t="s">
        <v>171</v>
      </c>
      <c r="AL307" t="s">
        <v>171</v>
      </c>
      <c r="AM307" t="s">
        <v>173</v>
      </c>
      <c r="AN307" t="s">
        <v>173</v>
      </c>
      <c r="AO307" t="s">
        <v>173</v>
      </c>
      <c r="AP307" t="s">
        <v>173</v>
      </c>
      <c r="AQ307" t="s">
        <v>171</v>
      </c>
      <c r="AR307" t="s">
        <v>173</v>
      </c>
      <c r="AS307" t="s">
        <v>173</v>
      </c>
      <c r="AT307" t="s">
        <v>171</v>
      </c>
      <c r="AU307" t="s">
        <v>171</v>
      </c>
      <c r="AV307" t="s">
        <v>173</v>
      </c>
      <c r="AW307" t="s">
        <v>179</v>
      </c>
      <c r="AX307" t="s">
        <v>193</v>
      </c>
      <c r="AY307" t="s">
        <v>199</v>
      </c>
      <c r="AZ307" t="s">
        <v>207</v>
      </c>
      <c r="BA307" t="s">
        <v>207</v>
      </c>
      <c r="BB307" t="s">
        <v>207</v>
      </c>
      <c r="BC307" t="s">
        <v>207</v>
      </c>
      <c r="BD307" t="s">
        <v>207</v>
      </c>
      <c r="BE307" t="str">
        <f>IF(AY307="","Unknown",AY307)</f>
        <v>41-45</v>
      </c>
      <c r="BF307" s="11" t="str">
        <f>IF(AZ307="","unknown",AZ307)</f>
        <v>NO</v>
      </c>
      <c r="BG307" s="11" t="str">
        <f>IF(BA307="","UNKNOWN",BA307)</f>
        <v>NO</v>
      </c>
      <c r="BH307" s="11" t="str">
        <f>IF(BB307="","unknown",BB307)</f>
        <v>NO</v>
      </c>
      <c r="BI307" s="11" t="str">
        <f>IF(BC307="","Unknon",BC307)</f>
        <v>NO</v>
      </c>
      <c r="BJ307" s="11" t="str">
        <f>IF(BD307="","Unknown",BD307)</f>
        <v>NO</v>
      </c>
      <c r="BK307" s="11">
        <f>VALUE(C307)-VALUE(D307)</f>
        <v>2</v>
      </c>
      <c r="BM307" s="11"/>
    </row>
    <row r="308" spans="1:65">
      <c r="A308">
        <v>307</v>
      </c>
      <c r="B308" t="s">
        <v>284</v>
      </c>
      <c r="C308" s="10">
        <v>2022</v>
      </c>
      <c r="D308" s="10">
        <v>2020</v>
      </c>
      <c r="E308" s="10">
        <v>2020</v>
      </c>
      <c r="F308" s="10" t="s">
        <v>241</v>
      </c>
      <c r="G308" s="10" t="s">
        <v>242</v>
      </c>
      <c r="H308" s="10" t="s">
        <v>243</v>
      </c>
      <c r="I308" s="10" t="s">
        <v>278</v>
      </c>
      <c r="J308" s="10" t="s">
        <v>313</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1</v>
      </c>
      <c r="AC308" s="10" t="s">
        <v>173</v>
      </c>
      <c r="AD308" t="s">
        <v>175</v>
      </c>
      <c r="AE308" t="s">
        <v>173</v>
      </c>
      <c r="AF308" t="s">
        <v>173</v>
      </c>
      <c r="AG308" t="s">
        <v>173</v>
      </c>
      <c r="AH308" t="s">
        <v>173</v>
      </c>
      <c r="AI308" t="s">
        <v>173</v>
      </c>
      <c r="AJ308" t="s">
        <v>173</v>
      </c>
      <c r="AK308" t="s">
        <v>173</v>
      </c>
      <c r="AL308" t="s">
        <v>173</v>
      </c>
      <c r="AM308" t="s">
        <v>173</v>
      </c>
      <c r="AN308" t="s">
        <v>173</v>
      </c>
      <c r="AO308" t="s">
        <v>175</v>
      </c>
      <c r="AP308" t="s">
        <v>173</v>
      </c>
      <c r="AQ308" t="s">
        <v>173</v>
      </c>
      <c r="AR308" t="s">
        <v>173</v>
      </c>
      <c r="AS308" t="s">
        <v>173</v>
      </c>
      <c r="AT308" t="s">
        <v>173</v>
      </c>
      <c r="AU308" t="s">
        <v>173</v>
      </c>
      <c r="AV308" t="s">
        <v>175</v>
      </c>
      <c r="AW308" t="s">
        <v>175</v>
      </c>
      <c r="AX308" t="s">
        <v>193</v>
      </c>
      <c r="AY308" t="s">
        <v>202</v>
      </c>
      <c r="AZ308" t="s">
        <v>207</v>
      </c>
      <c r="BA308" t="s">
        <v>207</v>
      </c>
      <c r="BB308" t="s">
        <v>207</v>
      </c>
      <c r="BC308" t="s">
        <v>207</v>
      </c>
      <c r="BD308" t="s">
        <v>207</v>
      </c>
      <c r="BE308" t="str">
        <f>IF(AY308="","Unknown",AY308)</f>
        <v>21-25</v>
      </c>
      <c r="BF308" s="11" t="str">
        <f>IF(AZ308="","unknown",AZ308)</f>
        <v>NO</v>
      </c>
      <c r="BG308" s="11" t="str">
        <f>IF(BA308="","UNKNOWN",BA308)</f>
        <v>NO</v>
      </c>
      <c r="BH308" s="11" t="str">
        <f>IF(BB308="","unknown",BB308)</f>
        <v>NO</v>
      </c>
      <c r="BI308" s="11" t="str">
        <f>IF(BC308="","Unknon",BC308)</f>
        <v>NO</v>
      </c>
      <c r="BJ308" s="11" t="str">
        <f>IF(BD308="","Unknown",BD308)</f>
        <v>NO</v>
      </c>
      <c r="BK308" s="11">
        <f>VALUE(C308)-VALUE(D308)</f>
        <v>2</v>
      </c>
      <c r="BM308" s="11"/>
    </row>
    <row r="309" hidden="1" spans="1:56">
      <c r="A309">
        <v>308</v>
      </c>
      <c r="B309" t="s">
        <v>259</v>
      </c>
      <c r="C309">
        <v>2022</v>
      </c>
      <c r="D309">
        <v>2016</v>
      </c>
      <c r="E309">
        <v>2016</v>
      </c>
      <c r="F309" t="s">
        <v>275</v>
      </c>
      <c r="G309"/>
      <c r="H309" t="s">
        <v>273</v>
      </c>
      <c r="I309"/>
      <c r="J309" t="s">
        <v>252</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1</v>
      </c>
      <c r="AC309" t="s">
        <v>171</v>
      </c>
      <c r="AD309" t="s">
        <v>173</v>
      </c>
      <c r="AE309" t="s">
        <v>171</v>
      </c>
      <c r="AF309" t="s">
        <v>171</v>
      </c>
      <c r="AG309" t="s">
        <v>171</v>
      </c>
      <c r="AH309" t="s">
        <v>171</v>
      </c>
      <c r="AI309" t="s">
        <v>171</v>
      </c>
      <c r="AJ309" t="s">
        <v>171</v>
      </c>
      <c r="AK309" t="s">
        <v>171</v>
      </c>
      <c r="AL309" t="s">
        <v>173</v>
      </c>
      <c r="AM309" t="s">
        <v>173</v>
      </c>
      <c r="AN309" t="s">
        <v>173</v>
      </c>
      <c r="AO309" t="s">
        <v>171</v>
      </c>
      <c r="AP309" t="s">
        <v>173</v>
      </c>
      <c r="AQ309" t="s">
        <v>171</v>
      </c>
      <c r="AR309" t="s">
        <v>171</v>
      </c>
      <c r="AS309" t="s">
        <v>173</v>
      </c>
      <c r="AT309" t="s">
        <v>171</v>
      </c>
      <c r="AU309" t="s">
        <v>171</v>
      </c>
      <c r="AV309" t="s">
        <v>173</v>
      </c>
      <c r="AW309" t="s">
        <v>173</v>
      </c>
      <c r="AX309" t="s">
        <v>192</v>
      </c>
      <c r="AY309" t="s">
        <v>195</v>
      </c>
      <c r="AZ309" t="s">
        <v>183</v>
      </c>
      <c r="BA309" t="s">
        <v>183</v>
      </c>
      <c r="BB309" t="s">
        <v>183</v>
      </c>
      <c r="BC309" t="s">
        <v>183</v>
      </c>
      <c r="BD309" t="s">
        <v>183</v>
      </c>
    </row>
    <row r="310" hidden="1" spans="1:56">
      <c r="A310">
        <v>309</v>
      </c>
      <c r="B310" t="s">
        <v>259</v>
      </c>
      <c r="C310">
        <v>2023</v>
      </c>
      <c r="D310">
        <v>1997</v>
      </c>
      <c r="E310">
        <v>1997</v>
      </c>
      <c r="F310" t="s">
        <v>256</v>
      </c>
      <c r="G310" t="s">
        <v>263</v>
      </c>
      <c r="H310" t="s">
        <v>247</v>
      </c>
      <c r="I310"/>
      <c r="J310" t="s">
        <v>252</v>
      </c>
      <c r="K310" t="b">
        <v>0</v>
      </c>
      <c r="L310" t="b">
        <v>0</v>
      </c>
      <c r="M310" t="b">
        <v>0</v>
      </c>
      <c r="N310" t="b">
        <v>0</v>
      </c>
      <c r="O310" t="b">
        <v>0</v>
      </c>
      <c r="P310" t="b">
        <v>0</v>
      </c>
      <c r="Q310" t="b">
        <v>1</v>
      </c>
      <c r="R310" t="b">
        <v>1</v>
      </c>
      <c r="S310" t="b">
        <v>0</v>
      </c>
      <c r="T310" t="b">
        <v>0</v>
      </c>
      <c r="U310" t="b">
        <v>0</v>
      </c>
      <c r="V310" t="b">
        <v>0</v>
      </c>
      <c r="W310" t="b">
        <v>0</v>
      </c>
      <c r="X310" t="b">
        <v>0</v>
      </c>
      <c r="Y310" t="b">
        <v>0</v>
      </c>
      <c r="Z310" t="b">
        <v>0</v>
      </c>
      <c r="AA310" t="b">
        <v>1</v>
      </c>
      <c r="AB310" t="b">
        <v>0</v>
      </c>
      <c r="AC310" t="s">
        <v>177</v>
      </c>
      <c r="AD310" t="s">
        <v>177</v>
      </c>
      <c r="AE310" t="s">
        <v>173</v>
      </c>
      <c r="AF310" t="s">
        <v>177</v>
      </c>
      <c r="AG310" t="s">
        <v>173</v>
      </c>
      <c r="AH310" t="s">
        <v>173</v>
      </c>
      <c r="AI310" t="s">
        <v>179</v>
      </c>
      <c r="AJ310" t="s">
        <v>179</v>
      </c>
      <c r="AK310" t="s">
        <v>179</v>
      </c>
      <c r="AL310" t="s">
        <v>177</v>
      </c>
      <c r="AM310" t="s">
        <v>177</v>
      </c>
      <c r="AN310" t="s">
        <v>173</v>
      </c>
      <c r="AO310" t="s">
        <v>177</v>
      </c>
      <c r="AP310" t="s">
        <v>173</v>
      </c>
      <c r="AQ310" t="s">
        <v>179</v>
      </c>
      <c r="AR310" t="s">
        <v>177</v>
      </c>
      <c r="AS310" t="s">
        <v>179</v>
      </c>
      <c r="AT310" t="s">
        <v>177</v>
      </c>
      <c r="AU310" t="s">
        <v>177</v>
      </c>
      <c r="AV310" t="s">
        <v>173</v>
      </c>
      <c r="AW310" t="s">
        <v>173</v>
      </c>
      <c r="AX310" t="s">
        <v>193</v>
      </c>
      <c r="AY310" t="s">
        <v>197</v>
      </c>
      <c r="AZ310" t="s">
        <v>183</v>
      </c>
      <c r="BA310" t="s">
        <v>183</v>
      </c>
      <c r="BB310" t="s">
        <v>183</v>
      </c>
      <c r="BC310" t="s">
        <v>183</v>
      </c>
      <c r="BD310" t="s">
        <v>183</v>
      </c>
    </row>
    <row r="311" hidden="1" spans="1:56">
      <c r="A311">
        <v>310</v>
      </c>
      <c r="B311" t="s">
        <v>259</v>
      </c>
      <c r="C311">
        <v>2022</v>
      </c>
      <c r="D311">
        <v>1997</v>
      </c>
      <c r="E311">
        <v>2017</v>
      </c>
      <c r="F311" t="s">
        <v>256</v>
      </c>
      <c r="G311" t="s">
        <v>279</v>
      </c>
      <c r="H311" t="s">
        <v>261</v>
      </c>
      <c r="I311"/>
      <c r="J311" t="s">
        <v>252</v>
      </c>
      <c r="K311" t="b">
        <v>0</v>
      </c>
      <c r="L311" t="b">
        <v>0</v>
      </c>
      <c r="M311" t="b">
        <v>1</v>
      </c>
      <c r="N311" t="b">
        <v>0</v>
      </c>
      <c r="O311" t="b">
        <v>0</v>
      </c>
      <c r="P311" t="b">
        <v>0</v>
      </c>
      <c r="Q311" t="b">
        <v>0</v>
      </c>
      <c r="R311" t="b">
        <v>0</v>
      </c>
      <c r="S311" t="b">
        <v>0</v>
      </c>
      <c r="T311" t="b">
        <v>0</v>
      </c>
      <c r="U311" t="b">
        <v>0</v>
      </c>
      <c r="V311" t="b">
        <v>0</v>
      </c>
      <c r="W311" t="b">
        <v>0</v>
      </c>
      <c r="X311" t="b">
        <v>0</v>
      </c>
      <c r="Y311" t="b">
        <v>0</v>
      </c>
      <c r="Z311" t="b">
        <v>1</v>
      </c>
      <c r="AA311" t="b">
        <v>1</v>
      </c>
      <c r="AB311" t="b">
        <v>0</v>
      </c>
      <c r="AC311" t="s">
        <v>171</v>
      </c>
      <c r="AD311" t="s">
        <v>171</v>
      </c>
      <c r="AE311" t="s">
        <v>171</v>
      </c>
      <c r="AF311" t="s">
        <v>171</v>
      </c>
      <c r="AG311" t="s">
        <v>171</v>
      </c>
      <c r="AH311" t="s">
        <v>171</v>
      </c>
      <c r="AI311" t="s">
        <v>171</v>
      </c>
      <c r="AJ311" t="s">
        <v>171</v>
      </c>
      <c r="AK311" t="s">
        <v>171</v>
      </c>
      <c r="AL311" t="s">
        <v>171</v>
      </c>
      <c r="AM311" t="s">
        <v>171</v>
      </c>
      <c r="AN311" t="s">
        <v>171</v>
      </c>
      <c r="AO311" t="s">
        <v>171</v>
      </c>
      <c r="AP311" t="s">
        <v>171</v>
      </c>
      <c r="AQ311" t="s">
        <v>171</v>
      </c>
      <c r="AR311" t="s">
        <v>171</v>
      </c>
      <c r="AS311" t="s">
        <v>171</v>
      </c>
      <c r="AT311" t="s">
        <v>171</v>
      </c>
      <c r="AU311" t="s">
        <v>171</v>
      </c>
      <c r="AV311" t="s">
        <v>171</v>
      </c>
      <c r="AW311" t="s">
        <v>171</v>
      </c>
      <c r="AX311" t="s">
        <v>192</v>
      </c>
      <c r="AY311" t="s">
        <v>197</v>
      </c>
      <c r="AZ311" t="s">
        <v>183</v>
      </c>
      <c r="BA311" t="s">
        <v>183</v>
      </c>
      <c r="BB311" t="s">
        <v>183</v>
      </c>
      <c r="BC311" t="s">
        <v>183</v>
      </c>
      <c r="BD311" t="s">
        <v>183</v>
      </c>
    </row>
    <row r="312" hidden="1" spans="1:56">
      <c r="A312">
        <v>311</v>
      </c>
      <c r="B312" t="s">
        <v>259</v>
      </c>
      <c r="C312">
        <v>2023</v>
      </c>
      <c r="D312">
        <v>1981</v>
      </c>
      <c r="E312">
        <v>1998</v>
      </c>
      <c r="F312" t="s">
        <v>262</v>
      </c>
      <c r="G312"/>
      <c r="H312" t="s">
        <v>267</v>
      </c>
      <c r="I312"/>
      <c r="J312" t="s">
        <v>252</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1</v>
      </c>
      <c r="AC312" t="s">
        <v>173</v>
      </c>
      <c r="AD312" t="s">
        <v>173</v>
      </c>
      <c r="AE312" t="s">
        <v>179</v>
      </c>
      <c r="AF312" t="s">
        <v>177</v>
      </c>
      <c r="AG312" t="s">
        <v>177</v>
      </c>
      <c r="AH312" t="s">
        <v>177</v>
      </c>
      <c r="AI312" t="s">
        <v>179</v>
      </c>
      <c r="AJ312" t="s">
        <v>179</v>
      </c>
      <c r="AK312" t="s">
        <v>173</v>
      </c>
      <c r="AL312" t="s">
        <v>175</v>
      </c>
      <c r="AM312" t="s">
        <v>175</v>
      </c>
      <c r="AN312" t="s">
        <v>175</v>
      </c>
      <c r="AO312" t="s">
        <v>177</v>
      </c>
      <c r="AP312" t="s">
        <v>179</v>
      </c>
      <c r="AQ312" t="s">
        <v>177</v>
      </c>
      <c r="AR312" t="s">
        <v>179</v>
      </c>
      <c r="AS312" t="s">
        <v>177</v>
      </c>
      <c r="AT312" t="s">
        <v>175</v>
      </c>
      <c r="AU312" t="s">
        <v>175</v>
      </c>
      <c r="AV312" t="s">
        <v>177</v>
      </c>
      <c r="AW312" t="s">
        <v>177</v>
      </c>
      <c r="AX312" t="s">
        <v>193</v>
      </c>
      <c r="AY312" t="s">
        <v>195</v>
      </c>
      <c r="AZ312" t="s">
        <v>183</v>
      </c>
      <c r="BA312" t="s">
        <v>183</v>
      </c>
      <c r="BB312" t="s">
        <v>183</v>
      </c>
      <c r="BC312" t="s">
        <v>183</v>
      </c>
      <c r="BD312" t="s">
        <v>183</v>
      </c>
    </row>
    <row r="313" hidden="1" spans="1:56">
      <c r="A313">
        <v>312</v>
      </c>
      <c r="B313" t="s">
        <v>269</v>
      </c>
      <c r="C313">
        <v>2023</v>
      </c>
      <c r="D313">
        <v>2010</v>
      </c>
      <c r="E313">
        <v>2016</v>
      </c>
      <c r="F313" t="s">
        <v>256</v>
      </c>
      <c r="G313" t="s">
        <v>263</v>
      </c>
      <c r="H313" t="s">
        <v>268</v>
      </c>
      <c r="I313"/>
      <c r="J313" t="s">
        <v>252</v>
      </c>
      <c r="K313" t="b">
        <v>0</v>
      </c>
      <c r="L313" t="b">
        <v>0</v>
      </c>
      <c r="M313" t="b">
        <v>0</v>
      </c>
      <c r="N313" t="b">
        <v>1</v>
      </c>
      <c r="O313" t="b">
        <v>1</v>
      </c>
      <c r="P313" t="b">
        <v>0</v>
      </c>
      <c r="Q313" t="b">
        <v>0</v>
      </c>
      <c r="R313" t="b">
        <v>0</v>
      </c>
      <c r="S313" t="b">
        <v>0</v>
      </c>
      <c r="T313" t="b">
        <v>0</v>
      </c>
      <c r="U313" t="b">
        <v>0</v>
      </c>
      <c r="V313" t="b">
        <v>0</v>
      </c>
      <c r="W313" t="b">
        <v>0</v>
      </c>
      <c r="X313" t="b">
        <v>0</v>
      </c>
      <c r="Y313" t="b">
        <v>0</v>
      </c>
      <c r="Z313" t="b">
        <v>0</v>
      </c>
      <c r="AA313" t="b">
        <v>0</v>
      </c>
      <c r="AB313" t="b">
        <v>0</v>
      </c>
      <c r="AC313" t="s">
        <v>173</v>
      </c>
      <c r="AD313" t="s">
        <v>175</v>
      </c>
      <c r="AE313" t="s">
        <v>177</v>
      </c>
      <c r="AF313" t="s">
        <v>175</v>
      </c>
      <c r="AG313" t="s">
        <v>173</v>
      </c>
      <c r="AH313" t="s">
        <v>175</v>
      </c>
      <c r="AI313" t="s">
        <v>175</v>
      </c>
      <c r="AJ313" t="s">
        <v>179</v>
      </c>
      <c r="AK313" t="s">
        <v>173</v>
      </c>
      <c r="AL313" t="s">
        <v>175</v>
      </c>
      <c r="AM313" t="s">
        <v>177</v>
      </c>
      <c r="AN313" t="s">
        <v>175</v>
      </c>
      <c r="AO313" t="s">
        <v>175</v>
      </c>
      <c r="AP313" t="s">
        <v>175</v>
      </c>
      <c r="AQ313" t="s">
        <v>175</v>
      </c>
      <c r="AR313" t="s">
        <v>175</v>
      </c>
      <c r="AS313" t="s">
        <v>175</v>
      </c>
      <c r="AT313" t="s">
        <v>173</v>
      </c>
      <c r="AU313" t="s">
        <v>175</v>
      </c>
      <c r="AV313" t="s">
        <v>175</v>
      </c>
      <c r="AW313" t="s">
        <v>175</v>
      </c>
      <c r="AX313" t="s">
        <v>193</v>
      </c>
      <c r="AY313" t="s">
        <v>201</v>
      </c>
      <c r="AZ313" t="s">
        <v>183</v>
      </c>
      <c r="BA313" t="s">
        <v>183</v>
      </c>
      <c r="BB313" t="s">
        <v>183</v>
      </c>
      <c r="BC313" t="s">
        <v>183</v>
      </c>
      <c r="BD313" t="s">
        <v>183</v>
      </c>
    </row>
    <row r="314" hidden="1" spans="1:56">
      <c r="A314">
        <v>313</v>
      </c>
      <c r="B314" t="s">
        <v>255</v>
      </c>
      <c r="C314">
        <v>2023</v>
      </c>
      <c r="D314">
        <v>2008</v>
      </c>
      <c r="E314">
        <v>2021</v>
      </c>
      <c r="F314" t="s">
        <v>256</v>
      </c>
      <c r="G314" t="s">
        <v>257</v>
      </c>
      <c r="H314" t="s">
        <v>267</v>
      </c>
      <c r="I314"/>
      <c r="J314" t="s">
        <v>265</v>
      </c>
      <c r="K314" t="b">
        <v>0</v>
      </c>
      <c r="L314" t="b">
        <v>0</v>
      </c>
      <c r="M314" t="b">
        <v>0</v>
      </c>
      <c r="N314" t="b">
        <v>0</v>
      </c>
      <c r="O314" t="b">
        <v>0</v>
      </c>
      <c r="P314" t="b">
        <v>1</v>
      </c>
      <c r="Q314" t="b">
        <v>0</v>
      </c>
      <c r="R314" t="b">
        <v>0</v>
      </c>
      <c r="S314" t="b">
        <v>0</v>
      </c>
      <c r="T314" t="b">
        <v>0</v>
      </c>
      <c r="U314" t="b">
        <v>1</v>
      </c>
      <c r="V314" t="b">
        <v>0</v>
      </c>
      <c r="W314" t="b">
        <v>0</v>
      </c>
      <c r="X314" t="b">
        <v>0</v>
      </c>
      <c r="Y314" t="b">
        <v>0</v>
      </c>
      <c r="Z314" t="b">
        <v>0</v>
      </c>
      <c r="AA314" t="b">
        <v>1</v>
      </c>
      <c r="AB314" t="b">
        <v>0</v>
      </c>
      <c r="AC314" t="s">
        <v>177</v>
      </c>
      <c r="AD314" t="s">
        <v>175</v>
      </c>
      <c r="AE314" t="s">
        <v>177</v>
      </c>
      <c r="AF314" t="s">
        <v>177</v>
      </c>
      <c r="AG314" t="s">
        <v>173</v>
      </c>
      <c r="AH314" t="s">
        <v>177</v>
      </c>
      <c r="AI314" t="s">
        <v>179</v>
      </c>
      <c r="AJ314" t="s">
        <v>177</v>
      </c>
      <c r="AK314" t="s">
        <v>177</v>
      </c>
      <c r="AL314" t="s">
        <v>175</v>
      </c>
      <c r="AM314" t="s">
        <v>177</v>
      </c>
      <c r="AN314" t="s">
        <v>177</v>
      </c>
      <c r="AO314" t="s">
        <v>183</v>
      </c>
      <c r="AP314" t="s">
        <v>183</v>
      </c>
      <c r="AQ314" t="s">
        <v>183</v>
      </c>
      <c r="AR314" t="s">
        <v>177</v>
      </c>
      <c r="AS314" t="s">
        <v>177</v>
      </c>
      <c r="AT314" t="s">
        <v>179</v>
      </c>
      <c r="AU314" t="s">
        <v>175</v>
      </c>
      <c r="AV314" t="s">
        <v>179</v>
      </c>
      <c r="AW314" t="s">
        <v>179</v>
      </c>
      <c r="AX314" t="s">
        <v>192</v>
      </c>
      <c r="AY314" t="s">
        <v>201</v>
      </c>
      <c r="AZ314" t="s">
        <v>183</v>
      </c>
      <c r="BA314" t="s">
        <v>183</v>
      </c>
      <c r="BB314" t="s">
        <v>183</v>
      </c>
      <c r="BC314" t="s">
        <v>183</v>
      </c>
      <c r="BD314" t="s">
        <v>183</v>
      </c>
    </row>
    <row r="315" hidden="1" spans="1:56">
      <c r="A315">
        <v>314</v>
      </c>
      <c r="B315" t="s">
        <v>259</v>
      </c>
      <c r="C315">
        <v>2023</v>
      </c>
      <c r="D315">
        <v>1978</v>
      </c>
      <c r="E315">
        <v>2004</v>
      </c>
      <c r="F315" t="s">
        <v>262</v>
      </c>
      <c r="G315"/>
      <c r="H315" t="s">
        <v>274</v>
      </c>
      <c r="I315"/>
      <c r="J315" t="s">
        <v>265</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1</v>
      </c>
      <c r="AC315" t="s">
        <v>173</v>
      </c>
      <c r="AD315" t="s">
        <v>175</v>
      </c>
      <c r="AE315" t="s">
        <v>173</v>
      </c>
      <c r="AF315" t="s">
        <v>175</v>
      </c>
      <c r="AG315" t="s">
        <v>171</v>
      </c>
      <c r="AH315" t="s">
        <v>173</v>
      </c>
      <c r="AI315" t="s">
        <v>175</v>
      </c>
      <c r="AJ315" t="s">
        <v>173</v>
      </c>
      <c r="AK315" t="s">
        <v>173</v>
      </c>
      <c r="AL315" t="s">
        <v>173</v>
      </c>
      <c r="AM315" t="s">
        <v>173</v>
      </c>
      <c r="AN315" t="s">
        <v>175</v>
      </c>
      <c r="AO315" t="s">
        <v>175</v>
      </c>
      <c r="AP315" t="s">
        <v>173</v>
      </c>
      <c r="AQ315" t="s">
        <v>173</v>
      </c>
      <c r="AR315" t="s">
        <v>173</v>
      </c>
      <c r="AS315" t="s">
        <v>173</v>
      </c>
      <c r="AT315" t="s">
        <v>173</v>
      </c>
      <c r="AU315" t="s">
        <v>173</v>
      </c>
      <c r="AV315" t="s">
        <v>175</v>
      </c>
      <c r="AW315" t="s">
        <v>173</v>
      </c>
      <c r="AX315" t="s">
        <v>192</v>
      </c>
      <c r="AY315" t="s">
        <v>195</v>
      </c>
      <c r="AZ315" t="s">
        <v>183</v>
      </c>
      <c r="BA315" t="s">
        <v>183</v>
      </c>
      <c r="BB315" t="s">
        <v>183</v>
      </c>
      <c r="BC315" t="s">
        <v>183</v>
      </c>
      <c r="BD315" t="s">
        <v>183</v>
      </c>
    </row>
    <row r="316" hidden="1" spans="1:56">
      <c r="A316">
        <v>315</v>
      </c>
      <c r="B316" t="s">
        <v>269</v>
      </c>
      <c r="C316">
        <v>2023</v>
      </c>
      <c r="D316">
        <v>2010</v>
      </c>
      <c r="E316">
        <v>2015</v>
      </c>
      <c r="F316" t="s">
        <v>256</v>
      </c>
      <c r="G316" t="s">
        <v>257</v>
      </c>
      <c r="H316" t="s">
        <v>247</v>
      </c>
      <c r="I316"/>
      <c r="J316" t="s">
        <v>252</v>
      </c>
      <c r="K316" t="b">
        <v>0</v>
      </c>
      <c r="L316" t="b">
        <v>1</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s">
        <v>173</v>
      </c>
      <c r="AD316" t="s">
        <v>175</v>
      </c>
      <c r="AE316" t="s">
        <v>175</v>
      </c>
      <c r="AF316" t="s">
        <v>175</v>
      </c>
      <c r="AG316" t="s">
        <v>177</v>
      </c>
      <c r="AH316" t="s">
        <v>171</v>
      </c>
      <c r="AI316" t="s">
        <v>173</v>
      </c>
      <c r="AJ316" t="s">
        <v>175</v>
      </c>
      <c r="AK316" t="s">
        <v>173</v>
      </c>
      <c r="AL316" t="s">
        <v>173</v>
      </c>
      <c r="AM316" t="s">
        <v>173</v>
      </c>
      <c r="AN316" t="s">
        <v>171</v>
      </c>
      <c r="AO316" t="s">
        <v>177</v>
      </c>
      <c r="AP316" t="s">
        <v>177</v>
      </c>
      <c r="AQ316" t="s">
        <v>177</v>
      </c>
      <c r="AR316" t="s">
        <v>175</v>
      </c>
      <c r="AS316" t="s">
        <v>173</v>
      </c>
      <c r="AT316" t="s">
        <v>173</v>
      </c>
      <c r="AU316" t="s">
        <v>173</v>
      </c>
      <c r="AV316" t="s">
        <v>175</v>
      </c>
      <c r="AW316" t="s">
        <v>173</v>
      </c>
      <c r="AX316" t="s">
        <v>192</v>
      </c>
      <c r="AY316" t="s">
        <v>201</v>
      </c>
      <c r="AZ316" t="s">
        <v>183</v>
      </c>
      <c r="BA316" t="s">
        <v>183</v>
      </c>
      <c r="BB316" t="s">
        <v>183</v>
      </c>
      <c r="BC316" t="s">
        <v>183</v>
      </c>
      <c r="BD316" t="s">
        <v>183</v>
      </c>
    </row>
    <row r="317" hidden="1" spans="1:56">
      <c r="A317">
        <v>316</v>
      </c>
      <c r="B317" t="s">
        <v>282</v>
      </c>
      <c r="C317">
        <v>2022</v>
      </c>
      <c r="D317" t="s">
        <v>247</v>
      </c>
      <c r="E317" t="s">
        <v>247</v>
      </c>
      <c r="F317" t="s">
        <v>275</v>
      </c>
      <c r="G317"/>
      <c r="H317" t="s">
        <v>261</v>
      </c>
      <c r="I317"/>
      <c r="J317" t="s">
        <v>252</v>
      </c>
      <c r="K317" t="b">
        <v>0</v>
      </c>
      <c r="L317" t="b">
        <v>0</v>
      </c>
      <c r="M317" t="b">
        <v>0</v>
      </c>
      <c r="N317" t="b">
        <v>0</v>
      </c>
      <c r="O317" t="b">
        <v>0</v>
      </c>
      <c r="P317" t="b">
        <v>0</v>
      </c>
      <c r="Q317" t="b">
        <v>0</v>
      </c>
      <c r="R317" t="b">
        <v>0</v>
      </c>
      <c r="S317" t="b">
        <v>0</v>
      </c>
      <c r="T317" t="b">
        <v>0</v>
      </c>
      <c r="U317" t="b">
        <v>0</v>
      </c>
      <c r="V317" t="b">
        <v>1</v>
      </c>
      <c r="W317" t="b">
        <v>0</v>
      </c>
      <c r="X317" t="b">
        <v>0</v>
      </c>
      <c r="Y317" t="b">
        <v>0</v>
      </c>
      <c r="Z317" t="b">
        <v>0</v>
      </c>
      <c r="AA317" t="b">
        <v>0</v>
      </c>
      <c r="AB317" t="b">
        <v>0</v>
      </c>
      <c r="AC317" t="s">
        <v>173</v>
      </c>
      <c r="AD317" t="s">
        <v>175</v>
      </c>
      <c r="AE317" t="s">
        <v>175</v>
      </c>
      <c r="AF317" t="s">
        <v>173</v>
      </c>
      <c r="AG317" t="s">
        <v>173</v>
      </c>
      <c r="AH317" t="s">
        <v>173</v>
      </c>
      <c r="AI317" t="s">
        <v>173</v>
      </c>
      <c r="AJ317" t="s">
        <v>173</v>
      </c>
      <c r="AK317" t="s">
        <v>173</v>
      </c>
      <c r="AL317" t="s">
        <v>173</v>
      </c>
      <c r="AM317" t="s">
        <v>173</v>
      </c>
      <c r="AN317" t="s">
        <v>173</v>
      </c>
      <c r="AO317" t="s">
        <v>173</v>
      </c>
      <c r="AP317" t="s">
        <v>173</v>
      </c>
      <c r="AQ317" t="s">
        <v>173</v>
      </c>
      <c r="AR317" t="s">
        <v>173</v>
      </c>
      <c r="AS317" t="s">
        <v>173</v>
      </c>
      <c r="AT317" t="s">
        <v>173</v>
      </c>
      <c r="AU317" t="s">
        <v>173</v>
      </c>
      <c r="AV317" t="s">
        <v>177</v>
      </c>
      <c r="AW317" t="s">
        <v>181</v>
      </c>
      <c r="AX317" t="s">
        <v>192</v>
      </c>
      <c r="AY317" t="s">
        <v>195</v>
      </c>
      <c r="AZ317" t="s">
        <v>183</v>
      </c>
      <c r="BA317" t="s">
        <v>183</v>
      </c>
      <c r="BB317" t="s">
        <v>183</v>
      </c>
      <c r="BC317" t="s">
        <v>183</v>
      </c>
      <c r="BD317" t="s">
        <v>183</v>
      </c>
    </row>
    <row r="318" hidden="1" spans="1:56">
      <c r="A318">
        <v>317</v>
      </c>
      <c r="B318" t="s">
        <v>259</v>
      </c>
      <c r="C318">
        <v>2022</v>
      </c>
      <c r="D318" t="s">
        <v>247</v>
      </c>
      <c r="E318" t="s">
        <v>247</v>
      </c>
      <c r="F318" t="s">
        <v>275</v>
      </c>
      <c r="G318"/>
      <c r="H318" t="s">
        <v>261</v>
      </c>
      <c r="I318"/>
      <c r="J318" t="s">
        <v>265</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1</v>
      </c>
      <c r="AC318" t="s">
        <v>173</v>
      </c>
      <c r="AD318" t="s">
        <v>183</v>
      </c>
      <c r="AE318" t="s">
        <v>175</v>
      </c>
      <c r="AF318" t="s">
        <v>173</v>
      </c>
      <c r="AG318" t="s">
        <v>173</v>
      </c>
      <c r="AH318" t="s">
        <v>173</v>
      </c>
      <c r="AI318" t="s">
        <v>173</v>
      </c>
      <c r="AJ318" t="s">
        <v>173</v>
      </c>
      <c r="AK318" t="s">
        <v>173</v>
      </c>
      <c r="AL318" t="s">
        <v>173</v>
      </c>
      <c r="AM318" t="s">
        <v>173</v>
      </c>
      <c r="AN318" t="s">
        <v>183</v>
      </c>
      <c r="AO318" t="s">
        <v>183</v>
      </c>
      <c r="AP318" t="s">
        <v>173</v>
      </c>
      <c r="AQ318" t="s">
        <v>183</v>
      </c>
      <c r="AR318" t="s">
        <v>173</v>
      </c>
      <c r="AS318" t="s">
        <v>173</v>
      </c>
      <c r="AT318" t="s">
        <v>173</v>
      </c>
      <c r="AU318" t="s">
        <v>173</v>
      </c>
      <c r="AV318" t="s">
        <v>183</v>
      </c>
      <c r="AW318" t="s">
        <v>173</v>
      </c>
      <c r="AX318" t="s">
        <v>192</v>
      </c>
      <c r="AY318" t="s">
        <v>195</v>
      </c>
      <c r="AZ318" t="s">
        <v>183</v>
      </c>
      <c r="BA318" t="s">
        <v>183</v>
      </c>
      <c r="BB318" t="s">
        <v>183</v>
      </c>
      <c r="BC318" t="s">
        <v>183</v>
      </c>
      <c r="BD318" t="s">
        <v>183</v>
      </c>
    </row>
    <row r="319" hidden="1" spans="1:56">
      <c r="A319">
        <v>318</v>
      </c>
      <c r="B319" t="s">
        <v>269</v>
      </c>
      <c r="C319">
        <v>2022</v>
      </c>
      <c r="D319">
        <v>1998</v>
      </c>
      <c r="E319">
        <v>1998</v>
      </c>
      <c r="F319" t="s">
        <v>256</v>
      </c>
      <c r="G319"/>
      <c r="H319" t="s">
        <v>274</v>
      </c>
      <c r="I319"/>
      <c r="J319" t="s">
        <v>252</v>
      </c>
      <c r="K319" t="b">
        <v>0</v>
      </c>
      <c r="L319" t="b">
        <v>1</v>
      </c>
      <c r="M319" t="b">
        <v>1</v>
      </c>
      <c r="N319" t="b">
        <v>0</v>
      </c>
      <c r="O319" t="b">
        <v>0</v>
      </c>
      <c r="P319" t="b">
        <v>0</v>
      </c>
      <c r="Q319" t="b">
        <v>0</v>
      </c>
      <c r="R319" t="b">
        <v>0</v>
      </c>
      <c r="S319" t="b">
        <v>0</v>
      </c>
      <c r="T319" t="b">
        <v>0</v>
      </c>
      <c r="U319" t="b">
        <v>0</v>
      </c>
      <c r="V319" t="b">
        <v>0</v>
      </c>
      <c r="W319" t="b">
        <v>0</v>
      </c>
      <c r="X319" t="b">
        <v>0</v>
      </c>
      <c r="Y319" t="b">
        <v>0</v>
      </c>
      <c r="Z319" t="b">
        <v>0</v>
      </c>
      <c r="AA319" t="b">
        <v>0</v>
      </c>
      <c r="AB319" t="b">
        <v>0</v>
      </c>
      <c r="AC319" t="s">
        <v>173</v>
      </c>
      <c r="AD319" t="s">
        <v>177</v>
      </c>
      <c r="AE319" t="s">
        <v>175</v>
      </c>
      <c r="AF319" t="s">
        <v>175</v>
      </c>
      <c r="AG319" t="s">
        <v>173</v>
      </c>
      <c r="AH319" t="s">
        <v>175</v>
      </c>
      <c r="AI319" t="s">
        <v>175</v>
      </c>
      <c r="AJ319" t="s">
        <v>177</v>
      </c>
      <c r="AK319" t="s">
        <v>173</v>
      </c>
      <c r="AL319" t="s">
        <v>173</v>
      </c>
      <c r="AM319" t="s">
        <v>171</v>
      </c>
      <c r="AN319" t="s">
        <v>171</v>
      </c>
      <c r="AO319" t="s">
        <v>177</v>
      </c>
      <c r="AP319" t="s">
        <v>177</v>
      </c>
      <c r="AQ319" t="s">
        <v>173</v>
      </c>
      <c r="AR319" t="s">
        <v>177</v>
      </c>
      <c r="AS319" t="s">
        <v>179</v>
      </c>
      <c r="AT319" t="s">
        <v>175</v>
      </c>
      <c r="AU319" t="s">
        <v>179</v>
      </c>
      <c r="AV319" t="s">
        <v>173</v>
      </c>
      <c r="AW319" t="s">
        <v>173</v>
      </c>
      <c r="AX319" t="s">
        <v>193</v>
      </c>
      <c r="AY319" t="s">
        <v>199</v>
      </c>
      <c r="AZ319" t="s">
        <v>183</v>
      </c>
      <c r="BA319" t="s">
        <v>183</v>
      </c>
      <c r="BB319" t="s">
        <v>183</v>
      </c>
      <c r="BC319" t="s">
        <v>183</v>
      </c>
      <c r="BD319" t="s">
        <v>183</v>
      </c>
    </row>
    <row r="320" hidden="1" spans="1:56">
      <c r="A320">
        <v>319</v>
      </c>
      <c r="B320" t="s">
        <v>255</v>
      </c>
      <c r="C320">
        <v>2022</v>
      </c>
      <c r="D320">
        <v>2021</v>
      </c>
      <c r="E320">
        <v>2021</v>
      </c>
      <c r="F320" t="s">
        <v>276</v>
      </c>
      <c r="G320"/>
      <c r="H320" t="s">
        <v>268</v>
      </c>
      <c r="I320"/>
      <c r="J320" t="s">
        <v>265</v>
      </c>
      <c r="K320" t="b">
        <v>0</v>
      </c>
      <c r="L320" t="b">
        <v>0</v>
      </c>
      <c r="M320" t="b">
        <v>0</v>
      </c>
      <c r="N320" t="b">
        <v>1</v>
      </c>
      <c r="O320" t="b">
        <v>0</v>
      </c>
      <c r="P320" t="b">
        <v>0</v>
      </c>
      <c r="Q320" t="b">
        <v>0</v>
      </c>
      <c r="R320" t="b">
        <v>0</v>
      </c>
      <c r="S320" t="b">
        <v>0</v>
      </c>
      <c r="T320" t="b">
        <v>0</v>
      </c>
      <c r="U320" t="b">
        <v>0</v>
      </c>
      <c r="V320" t="b">
        <v>0</v>
      </c>
      <c r="W320" t="b">
        <v>0</v>
      </c>
      <c r="X320" t="b">
        <v>0</v>
      </c>
      <c r="Y320" t="b">
        <v>0</v>
      </c>
      <c r="Z320" t="b">
        <v>1</v>
      </c>
      <c r="AA320" t="b">
        <v>1</v>
      </c>
      <c r="AB320" t="b">
        <v>0</v>
      </c>
      <c r="AC320" t="s">
        <v>177</v>
      </c>
      <c r="AD320" t="s">
        <v>183</v>
      </c>
      <c r="AE320" t="s">
        <v>179</v>
      </c>
      <c r="AF320" t="s">
        <v>177</v>
      </c>
      <c r="AG320" t="s">
        <v>177</v>
      </c>
      <c r="AH320" t="s">
        <v>179</v>
      </c>
      <c r="AI320" t="s">
        <v>179</v>
      </c>
      <c r="AJ320" t="s">
        <v>175</v>
      </c>
      <c r="AK320" t="s">
        <v>179</v>
      </c>
      <c r="AL320" t="s">
        <v>175</v>
      </c>
      <c r="AM320" t="s">
        <v>179</v>
      </c>
      <c r="AN320" t="s">
        <v>183</v>
      </c>
      <c r="AO320" t="s">
        <v>177</v>
      </c>
      <c r="AP320" t="s">
        <v>173</v>
      </c>
      <c r="AQ320" t="s">
        <v>177</v>
      </c>
      <c r="AR320" t="s">
        <v>173</v>
      </c>
      <c r="AS320" t="s">
        <v>175</v>
      </c>
      <c r="AT320" t="s">
        <v>179</v>
      </c>
      <c r="AU320" t="s">
        <v>175</v>
      </c>
      <c r="AV320" t="s">
        <v>177</v>
      </c>
      <c r="AW320" t="s">
        <v>177</v>
      </c>
      <c r="AX320" t="s">
        <v>192</v>
      </c>
      <c r="AY320" t="s">
        <v>198</v>
      </c>
      <c r="AZ320" t="s">
        <v>183</v>
      </c>
      <c r="BA320" t="s">
        <v>183</v>
      </c>
      <c r="BB320" t="s">
        <v>183</v>
      </c>
      <c r="BC320" t="s">
        <v>183</v>
      </c>
      <c r="BD320" t="s">
        <v>183</v>
      </c>
    </row>
    <row r="321" hidden="1" spans="1:56">
      <c r="A321">
        <v>320</v>
      </c>
      <c r="B321" t="s">
        <v>259</v>
      </c>
      <c r="C321">
        <v>2023</v>
      </c>
      <c r="D321">
        <v>1988</v>
      </c>
      <c r="E321">
        <v>2001</v>
      </c>
      <c r="F321" t="s">
        <v>256</v>
      </c>
      <c r="G321" t="s">
        <v>263</v>
      </c>
      <c r="H321" t="s">
        <v>274</v>
      </c>
      <c r="I321"/>
      <c r="J321" t="s">
        <v>252</v>
      </c>
      <c r="K321" t="b">
        <v>0</v>
      </c>
      <c r="L321" t="b">
        <v>0</v>
      </c>
      <c r="M321" t="b">
        <v>0</v>
      </c>
      <c r="N321" t="b">
        <v>0</v>
      </c>
      <c r="O321" t="b">
        <v>0</v>
      </c>
      <c r="P321" t="b">
        <v>0</v>
      </c>
      <c r="Q321" t="b">
        <v>0</v>
      </c>
      <c r="R321" t="b">
        <v>0</v>
      </c>
      <c r="S321" t="b">
        <v>0</v>
      </c>
      <c r="T321" t="b">
        <v>0</v>
      </c>
      <c r="U321" t="b">
        <v>0</v>
      </c>
      <c r="V321" t="b">
        <v>0</v>
      </c>
      <c r="W321" t="b">
        <v>0</v>
      </c>
      <c r="X321" t="b">
        <v>0</v>
      </c>
      <c r="Y321" t="b">
        <v>0</v>
      </c>
      <c r="Z321" t="b">
        <v>1</v>
      </c>
      <c r="AA321" t="b">
        <v>0</v>
      </c>
      <c r="AB321" t="b">
        <v>0</v>
      </c>
      <c r="AC321" t="s">
        <v>173</v>
      </c>
      <c r="AD321" t="s">
        <v>173</v>
      </c>
      <c r="AE321" t="s">
        <v>177</v>
      </c>
      <c r="AF321" t="s">
        <v>175</v>
      </c>
      <c r="AG321" t="s">
        <v>173</v>
      </c>
      <c r="AH321" t="s">
        <v>175</v>
      </c>
      <c r="AI321" t="s">
        <v>177</v>
      </c>
      <c r="AJ321" t="s">
        <v>173</v>
      </c>
      <c r="AK321" t="s">
        <v>173</v>
      </c>
      <c r="AL321" t="s">
        <v>173</v>
      </c>
      <c r="AM321" t="s">
        <v>173</v>
      </c>
      <c r="AN321" t="s">
        <v>173</v>
      </c>
      <c r="AO321" t="s">
        <v>173</v>
      </c>
      <c r="AP321" t="s">
        <v>173</v>
      </c>
      <c r="AQ321" t="s">
        <v>173</v>
      </c>
      <c r="AR321" t="s">
        <v>173</v>
      </c>
      <c r="AS321" t="s">
        <v>173</v>
      </c>
      <c r="AT321" t="s">
        <v>173</v>
      </c>
      <c r="AU321" t="s">
        <v>173</v>
      </c>
      <c r="AV321" t="s">
        <v>173</v>
      </c>
      <c r="AW321" t="s">
        <v>173</v>
      </c>
      <c r="AX321" t="s">
        <v>193</v>
      </c>
      <c r="AY321" t="s">
        <v>195</v>
      </c>
      <c r="AZ321" t="s">
        <v>183</v>
      </c>
      <c r="BA321" t="s">
        <v>183</v>
      </c>
      <c r="BB321" t="s">
        <v>183</v>
      </c>
      <c r="BC321" t="s">
        <v>183</v>
      </c>
      <c r="BD321" t="s">
        <v>183</v>
      </c>
    </row>
    <row r="322" hidden="1" spans="1:56">
      <c r="A322">
        <v>321</v>
      </c>
      <c r="B322" t="s">
        <v>255</v>
      </c>
      <c r="C322">
        <v>2022</v>
      </c>
      <c r="D322">
        <v>2020</v>
      </c>
      <c r="E322">
        <v>2020</v>
      </c>
      <c r="F322" t="s">
        <v>275</v>
      </c>
      <c r="G322"/>
      <c r="H322" t="s">
        <v>274</v>
      </c>
      <c r="I322"/>
      <c r="J322" t="s">
        <v>265</v>
      </c>
      <c r="K322" t="b">
        <v>0</v>
      </c>
      <c r="L322" t="b">
        <v>0</v>
      </c>
      <c r="M322" t="b">
        <v>0</v>
      </c>
      <c r="N322" t="b">
        <v>0</v>
      </c>
      <c r="O322" t="b">
        <v>0</v>
      </c>
      <c r="P322" t="b">
        <v>0</v>
      </c>
      <c r="Q322" t="b">
        <v>0</v>
      </c>
      <c r="R322" t="b">
        <v>0</v>
      </c>
      <c r="S322" t="b">
        <v>0</v>
      </c>
      <c r="T322" t="b">
        <v>0</v>
      </c>
      <c r="U322" t="b">
        <v>0</v>
      </c>
      <c r="V322" t="b">
        <v>0</v>
      </c>
      <c r="W322" t="b">
        <v>0</v>
      </c>
      <c r="X322" t="b">
        <v>0</v>
      </c>
      <c r="Y322" t="b">
        <v>0</v>
      </c>
      <c r="Z322" t="b">
        <v>1</v>
      </c>
      <c r="AA322" t="b">
        <v>0</v>
      </c>
      <c r="AB322" t="b">
        <v>0</v>
      </c>
      <c r="AC322" t="s">
        <v>173</v>
      </c>
      <c r="AD322" t="s">
        <v>173</v>
      </c>
      <c r="AE322" t="s">
        <v>179</v>
      </c>
      <c r="AF322" t="s">
        <v>175</v>
      </c>
      <c r="AG322" t="s">
        <v>171</v>
      </c>
      <c r="AH322" t="s">
        <v>177</v>
      </c>
      <c r="AI322" t="s">
        <v>177</v>
      </c>
      <c r="AJ322" t="s">
        <v>171</v>
      </c>
      <c r="AK322" t="s">
        <v>177</v>
      </c>
      <c r="AL322" t="s">
        <v>173</v>
      </c>
      <c r="AM322" t="s">
        <v>177</v>
      </c>
      <c r="AN322" t="s">
        <v>177</v>
      </c>
      <c r="AO322" t="s">
        <v>171</v>
      </c>
      <c r="AP322" t="s">
        <v>175</v>
      </c>
      <c r="AQ322" t="s">
        <v>175</v>
      </c>
      <c r="AR322" t="s">
        <v>177</v>
      </c>
      <c r="AS322" t="s">
        <v>175</v>
      </c>
      <c r="AT322" t="s">
        <v>173</v>
      </c>
      <c r="AU322" t="s">
        <v>173</v>
      </c>
      <c r="AV322" t="s">
        <v>175</v>
      </c>
      <c r="AW322" t="s">
        <v>181</v>
      </c>
      <c r="AX322" t="s">
        <v>192</v>
      </c>
      <c r="AY322" t="s">
        <v>200</v>
      </c>
      <c r="AZ322" t="s">
        <v>183</v>
      </c>
      <c r="BA322" t="s">
        <v>183</v>
      </c>
      <c r="BB322" t="s">
        <v>183</v>
      </c>
      <c r="BC322" t="s">
        <v>183</v>
      </c>
      <c r="BD322" t="s">
        <v>183</v>
      </c>
    </row>
    <row r="323" hidden="1" spans="1:56">
      <c r="A323">
        <v>322</v>
      </c>
      <c r="B323" t="s">
        <v>259</v>
      </c>
      <c r="C323">
        <v>2023</v>
      </c>
      <c r="D323">
        <v>1996</v>
      </c>
      <c r="E323">
        <v>1996</v>
      </c>
      <c r="F323" t="s">
        <v>256</v>
      </c>
      <c r="G323" t="s">
        <v>257</v>
      </c>
      <c r="H323" t="s">
        <v>267</v>
      </c>
      <c r="I323"/>
      <c r="J323" t="s">
        <v>252</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1</v>
      </c>
      <c r="AC323" t="s">
        <v>173</v>
      </c>
      <c r="AD323" t="s">
        <v>173</v>
      </c>
      <c r="AE323" t="s">
        <v>173</v>
      </c>
      <c r="AF323" t="s">
        <v>173</v>
      </c>
      <c r="AG323" t="s">
        <v>173</v>
      </c>
      <c r="AH323" t="s">
        <v>173</v>
      </c>
      <c r="AI323" t="s">
        <v>173</v>
      </c>
      <c r="AJ323" t="s">
        <v>173</v>
      </c>
      <c r="AK323" t="s">
        <v>173</v>
      </c>
      <c r="AL323" t="s">
        <v>173</v>
      </c>
      <c r="AM323" t="s">
        <v>173</v>
      </c>
      <c r="AN323" t="s">
        <v>173</v>
      </c>
      <c r="AO323" t="s">
        <v>173</v>
      </c>
      <c r="AP323" t="s">
        <v>177</v>
      </c>
      <c r="AQ323" t="s">
        <v>173</v>
      </c>
      <c r="AR323" t="s">
        <v>173</v>
      </c>
      <c r="AS323" t="s">
        <v>173</v>
      </c>
      <c r="AT323" t="s">
        <v>173</v>
      </c>
      <c r="AU323" t="s">
        <v>173</v>
      </c>
      <c r="AV323" t="s">
        <v>177</v>
      </c>
      <c r="AW323" t="s">
        <v>173</v>
      </c>
      <c r="AX323" t="s">
        <v>192</v>
      </c>
      <c r="AY323" t="s">
        <v>195</v>
      </c>
      <c r="AZ323" t="s">
        <v>183</v>
      </c>
      <c r="BA323" t="s">
        <v>183</v>
      </c>
      <c r="BB323" t="s">
        <v>183</v>
      </c>
      <c r="BC323" t="s">
        <v>183</v>
      </c>
      <c r="BD323" t="s">
        <v>183</v>
      </c>
    </row>
    <row r="324" hidden="1" spans="1:56">
      <c r="A324">
        <v>323</v>
      </c>
      <c r="B324" t="s">
        <v>269</v>
      </c>
      <c r="C324">
        <v>2023</v>
      </c>
      <c r="D324">
        <v>2016</v>
      </c>
      <c r="E324">
        <v>2016</v>
      </c>
      <c r="F324" t="s">
        <v>256</v>
      </c>
      <c r="G324" t="s">
        <v>314</v>
      </c>
      <c r="H324" t="s">
        <v>274</v>
      </c>
      <c r="I324"/>
      <c r="J324" t="s">
        <v>252</v>
      </c>
      <c r="K324" t="b">
        <v>0</v>
      </c>
      <c r="L324" t="b">
        <v>1</v>
      </c>
      <c r="M324" t="b">
        <v>0</v>
      </c>
      <c r="N324" t="b">
        <v>0</v>
      </c>
      <c r="O324" t="b">
        <v>1</v>
      </c>
      <c r="P324" t="b">
        <v>0</v>
      </c>
      <c r="Q324" t="b">
        <v>0</v>
      </c>
      <c r="R324" t="b">
        <v>0</v>
      </c>
      <c r="S324" t="b">
        <v>1</v>
      </c>
      <c r="T324" t="b">
        <v>0</v>
      </c>
      <c r="U324" t="b">
        <v>0</v>
      </c>
      <c r="V324" t="b">
        <v>0</v>
      </c>
      <c r="W324" t="b">
        <v>0</v>
      </c>
      <c r="X324" t="b">
        <v>0</v>
      </c>
      <c r="Y324" t="b">
        <v>0</v>
      </c>
      <c r="Z324" t="b">
        <v>0</v>
      </c>
      <c r="AA324" t="b">
        <v>0</v>
      </c>
      <c r="AB324" t="b">
        <v>0</v>
      </c>
      <c r="AC324" t="s">
        <v>173</v>
      </c>
      <c r="AD324" t="s">
        <v>173</v>
      </c>
      <c r="AE324" t="s">
        <v>177</v>
      </c>
      <c r="AF324" t="s">
        <v>173</v>
      </c>
      <c r="AG324" t="s">
        <v>173</v>
      </c>
      <c r="AH324" t="s">
        <v>173</v>
      </c>
      <c r="AI324" t="s">
        <v>173</v>
      </c>
      <c r="AJ324" t="s">
        <v>173</v>
      </c>
      <c r="AK324" t="s">
        <v>173</v>
      </c>
      <c r="AL324" t="s">
        <v>173</v>
      </c>
      <c r="AM324" t="s">
        <v>173</v>
      </c>
      <c r="AN324" t="s">
        <v>173</v>
      </c>
      <c r="AO324" t="s">
        <v>177</v>
      </c>
      <c r="AP324" t="s">
        <v>173</v>
      </c>
      <c r="AQ324" t="s">
        <v>173</v>
      </c>
      <c r="AR324" t="s">
        <v>173</v>
      </c>
      <c r="AS324" t="s">
        <v>177</v>
      </c>
      <c r="AT324" t="s">
        <v>173</v>
      </c>
      <c r="AU324" t="s">
        <v>177</v>
      </c>
      <c r="AV324" t="s">
        <v>179</v>
      </c>
      <c r="AW324" t="s">
        <v>173</v>
      </c>
      <c r="AX324" t="s">
        <v>193</v>
      </c>
      <c r="AY324" t="s">
        <v>200</v>
      </c>
      <c r="AZ324" t="s">
        <v>183</v>
      </c>
      <c r="BA324" t="s">
        <v>183</v>
      </c>
      <c r="BB324" t="s">
        <v>183</v>
      </c>
      <c r="BC324" t="s">
        <v>183</v>
      </c>
      <c r="BD324" t="s">
        <v>183</v>
      </c>
    </row>
    <row r="325" hidden="1" spans="1:56">
      <c r="A325">
        <v>324</v>
      </c>
      <c r="B325" t="s">
        <v>246</v>
      </c>
      <c r="C325">
        <v>2022</v>
      </c>
      <c r="D325">
        <v>2009</v>
      </c>
      <c r="E325">
        <v>2009</v>
      </c>
      <c r="F325" t="s">
        <v>275</v>
      </c>
      <c r="G325"/>
      <c r="H325" t="s">
        <v>264</v>
      </c>
      <c r="I325"/>
      <c r="J325" t="s">
        <v>265</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1</v>
      </c>
      <c r="AC325" t="s">
        <v>173</v>
      </c>
      <c r="AD325" t="s">
        <v>183</v>
      </c>
      <c r="AE325" t="s">
        <v>173</v>
      </c>
      <c r="AF325" t="s">
        <v>173</v>
      </c>
      <c r="AG325" t="s">
        <v>173</v>
      </c>
      <c r="AH325" t="s">
        <v>173</v>
      </c>
      <c r="AI325" t="s">
        <v>173</v>
      </c>
      <c r="AJ325" t="s">
        <v>173</v>
      </c>
      <c r="AK325" t="s">
        <v>173</v>
      </c>
      <c r="AL325" t="s">
        <v>173</v>
      </c>
      <c r="AM325" t="s">
        <v>173</v>
      </c>
      <c r="AN325" t="s">
        <v>173</v>
      </c>
      <c r="AO325" t="s">
        <v>173</v>
      </c>
      <c r="AP325" t="s">
        <v>173</v>
      </c>
      <c r="AQ325" t="s">
        <v>183</v>
      </c>
      <c r="AR325" t="s">
        <v>173</v>
      </c>
      <c r="AS325" t="s">
        <v>173</v>
      </c>
      <c r="AT325" t="s">
        <v>173</v>
      </c>
      <c r="AU325" t="s">
        <v>173</v>
      </c>
      <c r="AV325" t="s">
        <v>173</v>
      </c>
      <c r="AW325" t="s">
        <v>173</v>
      </c>
      <c r="AX325" t="s">
        <v>193</v>
      </c>
      <c r="AY325" t="s">
        <v>195</v>
      </c>
      <c r="AZ325" t="s">
        <v>183</v>
      </c>
      <c r="BA325" t="s">
        <v>183</v>
      </c>
      <c r="BB325" t="s">
        <v>183</v>
      </c>
      <c r="BC325" t="s">
        <v>183</v>
      </c>
      <c r="BD325" t="s">
        <v>183</v>
      </c>
    </row>
    <row r="326" hidden="1" spans="1:56">
      <c r="A326">
        <v>325</v>
      </c>
      <c r="B326" t="s">
        <v>255</v>
      </c>
      <c r="C326">
        <v>2022</v>
      </c>
      <c r="D326">
        <v>2020</v>
      </c>
      <c r="E326">
        <v>2020</v>
      </c>
      <c r="F326" t="s">
        <v>266</v>
      </c>
      <c r="G326"/>
      <c r="H326" t="s">
        <v>261</v>
      </c>
      <c r="I326"/>
      <c r="J326" t="s">
        <v>265</v>
      </c>
      <c r="K326" t="b">
        <v>0</v>
      </c>
      <c r="L326" t="b">
        <v>0</v>
      </c>
      <c r="M326" t="b">
        <v>0</v>
      </c>
      <c r="N326" t="b">
        <v>0</v>
      </c>
      <c r="O326" t="b">
        <v>0</v>
      </c>
      <c r="P326" t="b">
        <v>0</v>
      </c>
      <c r="Q326" t="b">
        <v>0</v>
      </c>
      <c r="R326" t="b">
        <v>0</v>
      </c>
      <c r="S326" t="b">
        <v>0</v>
      </c>
      <c r="T326" t="b">
        <v>0</v>
      </c>
      <c r="U326" t="b">
        <v>0</v>
      </c>
      <c r="V326" t="b">
        <v>0</v>
      </c>
      <c r="W326" t="b">
        <v>1</v>
      </c>
      <c r="X326" t="b">
        <v>0</v>
      </c>
      <c r="Y326" t="b">
        <v>0</v>
      </c>
      <c r="Z326" t="b">
        <v>0</v>
      </c>
      <c r="AA326" t="b">
        <v>0</v>
      </c>
      <c r="AB326" t="b">
        <v>0</v>
      </c>
      <c r="AC326" t="s">
        <v>173</v>
      </c>
      <c r="AD326" t="s">
        <v>179</v>
      </c>
      <c r="AE326" t="s">
        <v>173</v>
      </c>
      <c r="AF326" t="s">
        <v>173</v>
      </c>
      <c r="AG326" t="s">
        <v>179</v>
      </c>
      <c r="AH326" t="s">
        <v>171</v>
      </c>
      <c r="AI326" t="s">
        <v>173</v>
      </c>
      <c r="AJ326" t="s">
        <v>173</v>
      </c>
      <c r="AK326" t="s">
        <v>173</v>
      </c>
      <c r="AL326" t="s">
        <v>171</v>
      </c>
      <c r="AM326" t="s">
        <v>173</v>
      </c>
      <c r="AN326" t="s">
        <v>177</v>
      </c>
      <c r="AO326" t="s">
        <v>173</v>
      </c>
      <c r="AP326" t="s">
        <v>173</v>
      </c>
      <c r="AQ326" t="s">
        <v>173</v>
      </c>
      <c r="AR326" t="s">
        <v>173</v>
      </c>
      <c r="AS326" t="s">
        <v>171</v>
      </c>
      <c r="AT326" t="s">
        <v>173</v>
      </c>
      <c r="AU326" t="s">
        <v>177</v>
      </c>
      <c r="AV326" t="s">
        <v>173</v>
      </c>
      <c r="AW326" t="s">
        <v>171</v>
      </c>
      <c r="AX326" t="s">
        <v>192</v>
      </c>
      <c r="AY326" t="s">
        <v>202</v>
      </c>
      <c r="AZ326" t="s">
        <v>183</v>
      </c>
      <c r="BA326" t="s">
        <v>183</v>
      </c>
      <c r="BB326" t="s">
        <v>183</v>
      </c>
      <c r="BC326" t="s">
        <v>183</v>
      </c>
      <c r="BD326" t="s">
        <v>183</v>
      </c>
    </row>
    <row r="327" hidden="1" spans="1:56">
      <c r="A327">
        <v>326</v>
      </c>
      <c r="B327" t="s">
        <v>269</v>
      </c>
      <c r="C327">
        <v>2022</v>
      </c>
      <c r="D327">
        <v>2009</v>
      </c>
      <c r="E327">
        <v>2013</v>
      </c>
      <c r="F327" t="s">
        <v>266</v>
      </c>
      <c r="G327"/>
      <c r="H327" t="s">
        <v>264</v>
      </c>
      <c r="I327"/>
      <c r="J327" t="s">
        <v>265</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1</v>
      </c>
      <c r="AC327" t="s">
        <v>173</v>
      </c>
      <c r="AD327" t="s">
        <v>183</v>
      </c>
      <c r="AE327" t="s">
        <v>173</v>
      </c>
      <c r="AF327" t="s">
        <v>173</v>
      </c>
      <c r="AG327" t="s">
        <v>173</v>
      </c>
      <c r="AH327" t="s">
        <v>173</v>
      </c>
      <c r="AI327" t="s">
        <v>173</v>
      </c>
      <c r="AJ327" t="s">
        <v>173</v>
      </c>
      <c r="AK327" t="s">
        <v>173</v>
      </c>
      <c r="AL327" t="s">
        <v>173</v>
      </c>
      <c r="AM327" t="s">
        <v>173</v>
      </c>
      <c r="AN327" t="s">
        <v>183</v>
      </c>
      <c r="AO327" t="s">
        <v>183</v>
      </c>
      <c r="AP327" t="s">
        <v>173</v>
      </c>
      <c r="AQ327" t="s">
        <v>173</v>
      </c>
      <c r="AR327" t="s">
        <v>173</v>
      </c>
      <c r="AS327" t="s">
        <v>173</v>
      </c>
      <c r="AT327" t="s">
        <v>173</v>
      </c>
      <c r="AU327" t="s">
        <v>173</v>
      </c>
      <c r="AV327" t="s">
        <v>173</v>
      </c>
      <c r="AW327" t="s">
        <v>173</v>
      </c>
      <c r="AX327" t="s">
        <v>192</v>
      </c>
      <c r="AY327" t="s">
        <v>198</v>
      </c>
      <c r="AZ327" t="s">
        <v>183</v>
      </c>
      <c r="BA327" t="s">
        <v>183</v>
      </c>
      <c r="BB327" t="s">
        <v>183</v>
      </c>
      <c r="BC327" t="s">
        <v>183</v>
      </c>
      <c r="BD327" t="s">
        <v>183</v>
      </c>
    </row>
    <row r="328" hidden="1" spans="1:56">
      <c r="A328">
        <v>327</v>
      </c>
      <c r="B328" t="s">
        <v>255</v>
      </c>
      <c r="C328">
        <v>2022</v>
      </c>
      <c r="D328">
        <v>2017</v>
      </c>
      <c r="E328">
        <v>2017</v>
      </c>
      <c r="F328" t="s">
        <v>275</v>
      </c>
      <c r="G328"/>
      <c r="H328" t="s">
        <v>268</v>
      </c>
      <c r="I328"/>
      <c r="J328" t="s">
        <v>252</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1</v>
      </c>
      <c r="AC328" t="s">
        <v>173</v>
      </c>
      <c r="AD328" t="s">
        <v>173</v>
      </c>
      <c r="AE328" t="s">
        <v>173</v>
      </c>
      <c r="AF328" t="s">
        <v>173</v>
      </c>
      <c r="AG328" t="s">
        <v>173</v>
      </c>
      <c r="AH328" t="s">
        <v>173</v>
      </c>
      <c r="AI328" t="s">
        <v>173</v>
      </c>
      <c r="AJ328" t="s">
        <v>173</v>
      </c>
      <c r="AK328" t="s">
        <v>173</v>
      </c>
      <c r="AL328" t="s">
        <v>173</v>
      </c>
      <c r="AM328" t="s">
        <v>173</v>
      </c>
      <c r="AN328" t="s">
        <v>173</v>
      </c>
      <c r="AO328" t="s">
        <v>171</v>
      </c>
      <c r="AP328" t="s">
        <v>171</v>
      </c>
      <c r="AQ328" t="s">
        <v>173</v>
      </c>
      <c r="AR328" t="s">
        <v>173</v>
      </c>
      <c r="AS328" t="s">
        <v>173</v>
      </c>
      <c r="AT328" t="s">
        <v>173</v>
      </c>
      <c r="AU328" t="s">
        <v>171</v>
      </c>
      <c r="AV328" t="s">
        <v>171</v>
      </c>
      <c r="AW328" t="s">
        <v>171</v>
      </c>
      <c r="AX328" t="s">
        <v>192</v>
      </c>
      <c r="AY328" t="s">
        <v>201</v>
      </c>
      <c r="AZ328" t="s">
        <v>183</v>
      </c>
      <c r="BA328" t="s">
        <v>183</v>
      </c>
      <c r="BB328" t="s">
        <v>183</v>
      </c>
      <c r="BC328" t="s">
        <v>183</v>
      </c>
      <c r="BD328" t="s">
        <v>208</v>
      </c>
    </row>
    <row r="329" hidden="1" spans="1:56">
      <c r="A329">
        <v>328</v>
      </c>
      <c r="B329" t="s">
        <v>259</v>
      </c>
      <c r="C329">
        <v>2022</v>
      </c>
      <c r="D329">
        <v>1984</v>
      </c>
      <c r="E329">
        <v>1984</v>
      </c>
      <c r="F329" t="s">
        <v>266</v>
      </c>
      <c r="G329"/>
      <c r="H329" t="s">
        <v>261</v>
      </c>
      <c r="I329"/>
      <c r="J329" t="s">
        <v>265</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1</v>
      </c>
      <c r="AC329" t="s">
        <v>177</v>
      </c>
      <c r="AD329" t="s">
        <v>177</v>
      </c>
      <c r="AE329" t="s">
        <v>173</v>
      </c>
      <c r="AF329" t="s">
        <v>175</v>
      </c>
      <c r="AG329" t="s">
        <v>173</v>
      </c>
      <c r="AH329" t="s">
        <v>173</v>
      </c>
      <c r="AI329" t="s">
        <v>173</v>
      </c>
      <c r="AJ329" t="s">
        <v>177</v>
      </c>
      <c r="AK329" t="s">
        <v>173</v>
      </c>
      <c r="AL329" t="s">
        <v>173</v>
      </c>
      <c r="AM329" t="s">
        <v>175</v>
      </c>
      <c r="AN329" t="s">
        <v>177</v>
      </c>
      <c r="AO329" t="s">
        <v>177</v>
      </c>
      <c r="AP329" t="s">
        <v>175</v>
      </c>
      <c r="AQ329" t="s">
        <v>177</v>
      </c>
      <c r="AR329" t="s">
        <v>173</v>
      </c>
      <c r="AS329" t="s">
        <v>173</v>
      </c>
      <c r="AT329" t="s">
        <v>177</v>
      </c>
      <c r="AU329" t="s">
        <v>175</v>
      </c>
      <c r="AV329" t="s">
        <v>175</v>
      </c>
      <c r="AW329" t="s">
        <v>175</v>
      </c>
      <c r="AX329" t="s">
        <v>192</v>
      </c>
      <c r="AY329" t="s">
        <v>195</v>
      </c>
      <c r="AZ329" t="s">
        <v>183</v>
      </c>
      <c r="BA329" t="s">
        <v>183</v>
      </c>
      <c r="BB329" t="s">
        <v>183</v>
      </c>
      <c r="BC329" t="s">
        <v>183</v>
      </c>
      <c r="BD329" t="s">
        <v>183</v>
      </c>
    </row>
    <row r="330" hidden="1" spans="1:56">
      <c r="A330">
        <v>329</v>
      </c>
      <c r="B330" t="s">
        <v>259</v>
      </c>
      <c r="C330">
        <v>2023</v>
      </c>
      <c r="D330">
        <v>1982</v>
      </c>
      <c r="E330">
        <v>2018</v>
      </c>
      <c r="F330" t="s">
        <v>256</v>
      </c>
      <c r="G330" t="s">
        <v>279</v>
      </c>
      <c r="H330" t="s">
        <v>261</v>
      </c>
      <c r="I330"/>
      <c r="J330" t="s">
        <v>252</v>
      </c>
      <c r="K330" t="b">
        <v>0</v>
      </c>
      <c r="L330" t="b">
        <v>0</v>
      </c>
      <c r="M330" t="b">
        <v>0</v>
      </c>
      <c r="N330" t="b">
        <v>0</v>
      </c>
      <c r="O330" t="b">
        <v>0</v>
      </c>
      <c r="P330" t="b">
        <v>0</v>
      </c>
      <c r="Q330" t="b">
        <v>0</v>
      </c>
      <c r="R330" t="b">
        <v>0</v>
      </c>
      <c r="S330" t="b">
        <v>0</v>
      </c>
      <c r="T330" t="b">
        <v>0</v>
      </c>
      <c r="U330" t="b">
        <v>1</v>
      </c>
      <c r="V330" t="b">
        <v>1</v>
      </c>
      <c r="W330" t="b">
        <v>0</v>
      </c>
      <c r="X330" t="b">
        <v>0</v>
      </c>
      <c r="Y330" t="b">
        <v>0</v>
      </c>
      <c r="Z330" t="b">
        <v>0</v>
      </c>
      <c r="AA330" t="b">
        <v>0</v>
      </c>
      <c r="AB330" t="b">
        <v>0</v>
      </c>
      <c r="AC330" t="s">
        <v>173</v>
      </c>
      <c r="AD330" t="s">
        <v>177</v>
      </c>
      <c r="AE330" t="s">
        <v>171</v>
      </c>
      <c r="AF330" t="s">
        <v>175</v>
      </c>
      <c r="AG330" t="s">
        <v>173</v>
      </c>
      <c r="AH330" t="s">
        <v>173</v>
      </c>
      <c r="AI330" t="s">
        <v>177</v>
      </c>
      <c r="AJ330" t="s">
        <v>177</v>
      </c>
      <c r="AK330" t="s">
        <v>171</v>
      </c>
      <c r="AL330" t="s">
        <v>173</v>
      </c>
      <c r="AM330" t="s">
        <v>173</v>
      </c>
      <c r="AN330" t="s">
        <v>177</v>
      </c>
      <c r="AO330" t="s">
        <v>175</v>
      </c>
      <c r="AP330" t="s">
        <v>177</v>
      </c>
      <c r="AQ330" t="s">
        <v>177</v>
      </c>
      <c r="AR330" t="s">
        <v>177</v>
      </c>
      <c r="AS330" t="s">
        <v>173</v>
      </c>
      <c r="AT330" t="s">
        <v>177</v>
      </c>
      <c r="AU330" t="s">
        <v>177</v>
      </c>
      <c r="AV330" t="s">
        <v>179</v>
      </c>
      <c r="AW330" t="s">
        <v>173</v>
      </c>
      <c r="AX330" t="s">
        <v>192</v>
      </c>
      <c r="AY330" t="s">
        <v>196</v>
      </c>
      <c r="AZ330" t="s">
        <v>183</v>
      </c>
      <c r="BA330" t="s">
        <v>183</v>
      </c>
      <c r="BB330" t="s">
        <v>183</v>
      </c>
      <c r="BC330" t="s">
        <v>183</v>
      </c>
      <c r="BD330" t="s">
        <v>183</v>
      </c>
    </row>
    <row r="331" hidden="1" spans="1:49">
      <c r="A331">
        <v>330</v>
      </c>
      <c r="B331" t="s">
        <v>246</v>
      </c>
      <c r="C331">
        <v>2023</v>
      </c>
      <c r="D331">
        <v>1980</v>
      </c>
      <c r="E331" t="s">
        <v>247</v>
      </c>
      <c r="F331" t="s">
        <v>256</v>
      </c>
      <c r="G331" t="s">
        <v>263</v>
      </c>
      <c r="H331" t="s">
        <v>274</v>
      </c>
      <c r="I331"/>
      <c r="J331" t="s">
        <v>252</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1</v>
      </c>
      <c r="AC331" t="s">
        <v>181</v>
      </c>
      <c r="AD331" t="s">
        <v>181</v>
      </c>
      <c r="AE331" t="s">
        <v>181</v>
      </c>
      <c r="AF331" t="s">
        <v>181</v>
      </c>
      <c r="AG331" t="s">
        <v>181</v>
      </c>
      <c r="AH331" t="s">
        <v>181</v>
      </c>
      <c r="AI331" t="s">
        <v>181</v>
      </c>
      <c r="AJ331" t="s">
        <v>181</v>
      </c>
      <c r="AK331" t="s">
        <v>181</v>
      </c>
      <c r="AL331" t="s">
        <v>181</v>
      </c>
      <c r="AM331" t="s">
        <v>181</v>
      </c>
      <c r="AN331" t="s">
        <v>181</v>
      </c>
      <c r="AO331" t="s">
        <v>181</v>
      </c>
      <c r="AP331" t="s">
        <v>181</v>
      </c>
      <c r="AQ331" t="s">
        <v>181</v>
      </c>
      <c r="AR331" t="s">
        <v>181</v>
      </c>
      <c r="AS331" t="s">
        <v>181</v>
      </c>
      <c r="AT331" t="s">
        <v>181</v>
      </c>
      <c r="AU331" t="s">
        <v>181</v>
      </c>
      <c r="AV331" t="s">
        <v>181</v>
      </c>
      <c r="AW331" t="s">
        <v>181</v>
      </c>
    </row>
    <row r="332" hidden="1" spans="1:56">
      <c r="A332">
        <v>331</v>
      </c>
      <c r="B332" t="s">
        <v>259</v>
      </c>
      <c r="C332">
        <v>2022</v>
      </c>
      <c r="D332">
        <v>1982</v>
      </c>
      <c r="E332">
        <v>1995</v>
      </c>
      <c r="F332" t="s">
        <v>256</v>
      </c>
      <c r="G332" t="s">
        <v>263</v>
      </c>
      <c r="H332" t="s">
        <v>258</v>
      </c>
      <c r="I332"/>
      <c r="J332" t="s">
        <v>252</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1</v>
      </c>
      <c r="AC332" t="s">
        <v>171</v>
      </c>
      <c r="AD332" t="s">
        <v>183</v>
      </c>
      <c r="AE332" t="s">
        <v>173</v>
      </c>
      <c r="AF332" t="s">
        <v>175</v>
      </c>
      <c r="AG332" t="s">
        <v>171</v>
      </c>
      <c r="AH332" t="s">
        <v>173</v>
      </c>
      <c r="AI332" t="s">
        <v>173</v>
      </c>
      <c r="AJ332" t="s">
        <v>173</v>
      </c>
      <c r="AK332" t="s">
        <v>173</v>
      </c>
      <c r="AL332" t="s">
        <v>171</v>
      </c>
      <c r="AM332" t="s">
        <v>173</v>
      </c>
      <c r="AN332" t="s">
        <v>173</v>
      </c>
      <c r="AO332" t="s">
        <v>183</v>
      </c>
      <c r="AP332" t="s">
        <v>171</v>
      </c>
      <c r="AQ332" t="s">
        <v>171</v>
      </c>
      <c r="AR332" t="s">
        <v>173</v>
      </c>
      <c r="AS332" t="s">
        <v>173</v>
      </c>
      <c r="AT332" t="s">
        <v>173</v>
      </c>
      <c r="AU332" t="s">
        <v>173</v>
      </c>
      <c r="AV332" t="s">
        <v>173</v>
      </c>
      <c r="AW332" t="s">
        <v>171</v>
      </c>
      <c r="AX332" t="s">
        <v>192</v>
      </c>
      <c r="AY332" t="s">
        <v>195</v>
      </c>
      <c r="AZ332" t="s">
        <v>183</v>
      </c>
      <c r="BA332" t="s">
        <v>183</v>
      </c>
      <c r="BB332" t="s">
        <v>183</v>
      </c>
      <c r="BC332" t="s">
        <v>183</v>
      </c>
      <c r="BD332" t="s">
        <v>183</v>
      </c>
    </row>
    <row r="333" hidden="1" spans="1:56">
      <c r="A333">
        <v>332</v>
      </c>
      <c r="B333" t="s">
        <v>259</v>
      </c>
      <c r="C333">
        <v>2022</v>
      </c>
      <c r="D333">
        <v>2004</v>
      </c>
      <c r="E333">
        <v>2008</v>
      </c>
      <c r="F333" t="s">
        <v>292</v>
      </c>
      <c r="G333"/>
      <c r="H333" t="s">
        <v>247</v>
      </c>
      <c r="I333"/>
      <c r="J333" t="s">
        <v>252</v>
      </c>
      <c r="K333" t="b">
        <v>0</v>
      </c>
      <c r="L333" t="b">
        <v>0</v>
      </c>
      <c r="M333" t="b">
        <v>0</v>
      </c>
      <c r="N333" t="b">
        <v>0</v>
      </c>
      <c r="O333" t="b">
        <v>0</v>
      </c>
      <c r="P333" t="b">
        <v>0</v>
      </c>
      <c r="Q333" t="b">
        <v>0</v>
      </c>
      <c r="R333" t="b">
        <v>0</v>
      </c>
      <c r="S333" t="b">
        <v>1</v>
      </c>
      <c r="T333" t="b">
        <v>0</v>
      </c>
      <c r="U333" t="b">
        <v>0</v>
      </c>
      <c r="V333" t="b">
        <v>0</v>
      </c>
      <c r="W333" t="b">
        <v>0</v>
      </c>
      <c r="X333" t="b">
        <v>0</v>
      </c>
      <c r="Y333" t="b">
        <v>0</v>
      </c>
      <c r="Z333" t="b">
        <v>1</v>
      </c>
      <c r="AA333" t="b">
        <v>1</v>
      </c>
      <c r="AB333" t="b">
        <v>0</v>
      </c>
      <c r="AC333" t="s">
        <v>173</v>
      </c>
      <c r="AD333" t="s">
        <v>173</v>
      </c>
      <c r="AE333" t="s">
        <v>177</v>
      </c>
      <c r="AF333" t="s">
        <v>183</v>
      </c>
      <c r="AG333" t="s">
        <v>173</v>
      </c>
      <c r="AH333" t="s">
        <v>177</v>
      </c>
      <c r="AI333" t="s">
        <v>173</v>
      </c>
      <c r="AJ333" t="s">
        <v>183</v>
      </c>
      <c r="AK333" t="s">
        <v>171</v>
      </c>
      <c r="AL333" t="s">
        <v>171</v>
      </c>
      <c r="AM333" t="s">
        <v>171</v>
      </c>
      <c r="AN333" t="s">
        <v>171</v>
      </c>
      <c r="AO333" t="s">
        <v>183</v>
      </c>
      <c r="AP333" t="s">
        <v>177</v>
      </c>
      <c r="AQ333" t="s">
        <v>175</v>
      </c>
      <c r="AR333" t="s">
        <v>171</v>
      </c>
      <c r="AS333" t="s">
        <v>173</v>
      </c>
      <c r="AT333" t="s">
        <v>177</v>
      </c>
      <c r="AU333" t="s">
        <v>173</v>
      </c>
      <c r="AV333" t="s">
        <v>173</v>
      </c>
      <c r="AW333" t="s">
        <v>171</v>
      </c>
      <c r="AX333" t="s">
        <v>192</v>
      </c>
      <c r="AY333" t="s">
        <v>195</v>
      </c>
      <c r="AZ333" t="s">
        <v>183</v>
      </c>
      <c r="BA333" t="s">
        <v>183</v>
      </c>
      <c r="BB333" t="s">
        <v>183</v>
      </c>
      <c r="BC333" t="s">
        <v>183</v>
      </c>
      <c r="BD333" t="s">
        <v>183</v>
      </c>
    </row>
    <row r="334" hidden="1" spans="1:56">
      <c r="A334">
        <v>333</v>
      </c>
      <c r="B334" t="s">
        <v>255</v>
      </c>
      <c r="C334">
        <v>2022</v>
      </c>
      <c r="D334">
        <v>2020</v>
      </c>
      <c r="E334">
        <v>2020</v>
      </c>
      <c r="F334" t="s">
        <v>275</v>
      </c>
      <c r="G334"/>
      <c r="H334" t="s">
        <v>247</v>
      </c>
      <c r="I334"/>
      <c r="J334" t="s">
        <v>252</v>
      </c>
      <c r="K334" t="b">
        <v>0</v>
      </c>
      <c r="L334" t="b">
        <v>0</v>
      </c>
      <c r="M334" t="b">
        <v>1</v>
      </c>
      <c r="N334" t="b">
        <v>0</v>
      </c>
      <c r="O334" t="b">
        <v>0</v>
      </c>
      <c r="P334" t="b">
        <v>0</v>
      </c>
      <c r="Q334" t="b">
        <v>0</v>
      </c>
      <c r="R334" t="b">
        <v>0</v>
      </c>
      <c r="S334" t="b">
        <v>0</v>
      </c>
      <c r="T334" t="b">
        <v>0</v>
      </c>
      <c r="U334" t="b">
        <v>0</v>
      </c>
      <c r="V334" t="b">
        <v>1</v>
      </c>
      <c r="W334" t="b">
        <v>0</v>
      </c>
      <c r="X334" t="b">
        <v>0</v>
      </c>
      <c r="Y334" t="b">
        <v>0</v>
      </c>
      <c r="Z334" t="b">
        <v>1</v>
      </c>
      <c r="AA334" t="b">
        <v>0</v>
      </c>
      <c r="AB334" t="b">
        <v>0</v>
      </c>
      <c r="AC334" t="s">
        <v>171</v>
      </c>
      <c r="AD334" t="s">
        <v>181</v>
      </c>
      <c r="AE334" t="s">
        <v>175</v>
      </c>
      <c r="AF334" t="s">
        <v>175</v>
      </c>
      <c r="AG334" t="s">
        <v>171</v>
      </c>
      <c r="AH334" t="s">
        <v>175</v>
      </c>
      <c r="AI334" t="s">
        <v>175</v>
      </c>
      <c r="AJ334" t="s">
        <v>175</v>
      </c>
      <c r="AK334" t="s">
        <v>175</v>
      </c>
      <c r="AL334" t="s">
        <v>171</v>
      </c>
      <c r="AM334" t="s">
        <v>171</v>
      </c>
      <c r="AN334" t="s">
        <v>175</v>
      </c>
      <c r="AO334" t="s">
        <v>173</v>
      </c>
      <c r="AP334" t="s">
        <v>181</v>
      </c>
      <c r="AQ334" t="s">
        <v>173</v>
      </c>
      <c r="AR334" t="s">
        <v>177</v>
      </c>
      <c r="AS334" t="s">
        <v>175</v>
      </c>
      <c r="AT334" t="s">
        <v>171</v>
      </c>
      <c r="AU334" t="s">
        <v>173</v>
      </c>
      <c r="AV334" t="s">
        <v>175</v>
      </c>
      <c r="AW334" t="s">
        <v>171</v>
      </c>
      <c r="AX334" t="s">
        <v>192</v>
      </c>
      <c r="AY334" t="s">
        <v>202</v>
      </c>
      <c r="AZ334" t="s">
        <v>183</v>
      </c>
      <c r="BA334" t="s">
        <v>183</v>
      </c>
      <c r="BB334" t="s">
        <v>183</v>
      </c>
      <c r="BC334" t="s">
        <v>183</v>
      </c>
      <c r="BD334" t="s">
        <v>183</v>
      </c>
    </row>
    <row r="335" hidden="1" spans="1:56">
      <c r="A335">
        <v>334</v>
      </c>
      <c r="B335" t="s">
        <v>269</v>
      </c>
      <c r="C335">
        <v>2022</v>
      </c>
      <c r="D335">
        <v>2021</v>
      </c>
      <c r="E335">
        <v>2021</v>
      </c>
      <c r="F335" t="s">
        <v>276</v>
      </c>
      <c r="G335"/>
      <c r="H335" t="s">
        <v>261</v>
      </c>
      <c r="I335"/>
      <c r="J335" t="s">
        <v>281</v>
      </c>
      <c r="K335" t="b">
        <v>0</v>
      </c>
      <c r="L335" t="b">
        <v>0</v>
      </c>
      <c r="M335" t="b">
        <v>0</v>
      </c>
      <c r="N335" t="b">
        <v>0</v>
      </c>
      <c r="O335" t="b">
        <v>0</v>
      </c>
      <c r="P335" t="b">
        <v>0</v>
      </c>
      <c r="Q335" t="b">
        <v>0</v>
      </c>
      <c r="R335" t="b">
        <v>1</v>
      </c>
      <c r="S335" t="b">
        <v>0</v>
      </c>
      <c r="T335" t="b">
        <v>0</v>
      </c>
      <c r="U335" t="b">
        <v>0</v>
      </c>
      <c r="V335" t="b">
        <v>0</v>
      </c>
      <c r="W335" t="b">
        <v>0</v>
      </c>
      <c r="X335" t="b">
        <v>0</v>
      </c>
      <c r="Y335" t="b">
        <v>0</v>
      </c>
      <c r="Z335" t="b">
        <v>0</v>
      </c>
      <c r="AA335" t="b">
        <v>0</v>
      </c>
      <c r="AB335" t="b">
        <v>0</v>
      </c>
      <c r="AC335" t="s">
        <v>183</v>
      </c>
      <c r="AD335" t="s">
        <v>183</v>
      </c>
      <c r="AE335" t="s">
        <v>171</v>
      </c>
      <c r="AF335" t="s">
        <v>171</v>
      </c>
      <c r="AG335" t="s">
        <v>171</v>
      </c>
      <c r="AH335" t="s">
        <v>171</v>
      </c>
      <c r="AI335" t="s">
        <v>171</v>
      </c>
      <c r="AJ335" t="s">
        <v>171</v>
      </c>
      <c r="AK335" t="s">
        <v>171</v>
      </c>
      <c r="AL335" t="s">
        <v>171</v>
      </c>
      <c r="AM335" t="s">
        <v>171</v>
      </c>
      <c r="AN335" t="s">
        <v>183</v>
      </c>
      <c r="AO335" t="s">
        <v>183</v>
      </c>
      <c r="AP335" t="s">
        <v>171</v>
      </c>
      <c r="AQ335" t="s">
        <v>183</v>
      </c>
      <c r="AR335" t="s">
        <v>171</v>
      </c>
      <c r="AS335" t="s">
        <v>171</v>
      </c>
      <c r="AT335" t="s">
        <v>171</v>
      </c>
      <c r="AU335" t="s">
        <v>171</v>
      </c>
      <c r="AV335" t="s">
        <v>183</v>
      </c>
      <c r="AW335" t="s">
        <v>171</v>
      </c>
      <c r="AX335" t="s">
        <v>192</v>
      </c>
      <c r="AY335" t="s">
        <v>197</v>
      </c>
      <c r="AZ335" t="s">
        <v>183</v>
      </c>
      <c r="BA335" t="s">
        <v>183</v>
      </c>
      <c r="BB335" t="s">
        <v>183</v>
      </c>
      <c r="BC335" t="s">
        <v>183</v>
      </c>
      <c r="BD335" t="s">
        <v>183</v>
      </c>
    </row>
    <row r="336" hidden="1" spans="1:56">
      <c r="A336">
        <v>335</v>
      </c>
      <c r="B336" t="s">
        <v>259</v>
      </c>
      <c r="C336">
        <v>2023</v>
      </c>
      <c r="D336">
        <v>1988</v>
      </c>
      <c r="E336" t="s">
        <v>247</v>
      </c>
      <c r="F336" t="s">
        <v>256</v>
      </c>
      <c r="G336" t="s">
        <v>263</v>
      </c>
      <c r="H336" t="s">
        <v>267</v>
      </c>
      <c r="I336"/>
      <c r="J336" t="s">
        <v>252</v>
      </c>
      <c r="K336" t="b">
        <v>0</v>
      </c>
      <c r="L336" t="b">
        <v>0</v>
      </c>
      <c r="M336" t="b">
        <v>0</v>
      </c>
      <c r="N336" t="b">
        <v>1</v>
      </c>
      <c r="O336" t="b">
        <v>0</v>
      </c>
      <c r="P336" t="b">
        <v>0</v>
      </c>
      <c r="Q336" t="b">
        <v>0</v>
      </c>
      <c r="R336" t="b">
        <v>0</v>
      </c>
      <c r="S336" t="b">
        <v>0</v>
      </c>
      <c r="T336" t="b">
        <v>1</v>
      </c>
      <c r="U336" t="b">
        <v>0</v>
      </c>
      <c r="V336" t="b">
        <v>0</v>
      </c>
      <c r="W336" t="b">
        <v>0</v>
      </c>
      <c r="X336" t="b">
        <v>0</v>
      </c>
      <c r="Y336" t="b">
        <v>0</v>
      </c>
      <c r="Z336" t="b">
        <v>1</v>
      </c>
      <c r="AA336" t="b">
        <v>0</v>
      </c>
      <c r="AB336" t="b">
        <v>0</v>
      </c>
      <c r="AC336" t="s">
        <v>173</v>
      </c>
      <c r="AD336" t="s">
        <v>173</v>
      </c>
      <c r="AE336" t="s">
        <v>177</v>
      </c>
      <c r="AF336" t="s">
        <v>175</v>
      </c>
      <c r="AG336" t="s">
        <v>173</v>
      </c>
      <c r="AH336" t="s">
        <v>175</v>
      </c>
      <c r="AI336" t="s">
        <v>179</v>
      </c>
      <c r="AJ336" t="s">
        <v>179</v>
      </c>
      <c r="AK336" t="s">
        <v>173</v>
      </c>
      <c r="AL336" t="s">
        <v>175</v>
      </c>
      <c r="AM336" t="s">
        <v>173</v>
      </c>
      <c r="AN336" t="s">
        <v>173</v>
      </c>
      <c r="AO336" t="s">
        <v>173</v>
      </c>
      <c r="AP336" t="s">
        <v>175</v>
      </c>
      <c r="AQ336" t="s">
        <v>177</v>
      </c>
      <c r="AR336" t="s">
        <v>173</v>
      </c>
      <c r="AS336" t="s">
        <v>173</v>
      </c>
      <c r="AT336" t="s">
        <v>177</v>
      </c>
      <c r="AU336" t="s">
        <v>179</v>
      </c>
      <c r="AV336" t="s">
        <v>173</v>
      </c>
      <c r="AW336" t="s">
        <v>173</v>
      </c>
      <c r="AX336" t="s">
        <v>193</v>
      </c>
      <c r="AY336" t="s">
        <v>197</v>
      </c>
      <c r="AZ336" t="s">
        <v>183</v>
      </c>
      <c r="BA336" t="s">
        <v>183</v>
      </c>
      <c r="BB336" t="s">
        <v>183</v>
      </c>
      <c r="BC336" t="s">
        <v>183</v>
      </c>
      <c r="BD336" t="s">
        <v>183</v>
      </c>
    </row>
    <row r="337" hidden="1" spans="1:56">
      <c r="A337">
        <v>336</v>
      </c>
      <c r="B337" t="s">
        <v>288</v>
      </c>
      <c r="C337">
        <v>2022</v>
      </c>
      <c r="D337">
        <v>2021</v>
      </c>
      <c r="E337">
        <v>2021</v>
      </c>
      <c r="F337" t="s">
        <v>256</v>
      </c>
      <c r="G337" t="s">
        <v>257</v>
      </c>
      <c r="H337" t="s">
        <v>273</v>
      </c>
      <c r="I337"/>
      <c r="J337" t="s">
        <v>290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1</v>
      </c>
      <c r="AC337" t="s">
        <v>173</v>
      </c>
      <c r="AD337" t="s">
        <v>175</v>
      </c>
      <c r="AE337" t="s">
        <v>171</v>
      </c>
      <c r="AF337" t="s">
        <v>175</v>
      </c>
      <c r="AG337" t="s">
        <v>173</v>
      </c>
      <c r="AH337" t="s">
        <v>177</v>
      </c>
      <c r="AI337" t="s">
        <v>175</v>
      </c>
      <c r="AJ337" t="s">
        <v>175</v>
      </c>
      <c r="AK337" t="s">
        <v>171</v>
      </c>
      <c r="AL337" t="s">
        <v>175</v>
      </c>
      <c r="AM337" t="s">
        <v>173</v>
      </c>
      <c r="AN337" t="s">
        <v>183</v>
      </c>
      <c r="AO337" t="s">
        <v>175</v>
      </c>
      <c r="AP337" t="s">
        <v>175</v>
      </c>
      <c r="AQ337" t="s">
        <v>175</v>
      </c>
      <c r="AR337" t="s">
        <v>171</v>
      </c>
      <c r="AS337" t="s">
        <v>173</v>
      </c>
      <c r="AT337" t="s">
        <v>173</v>
      </c>
      <c r="AU337" t="s">
        <v>173</v>
      </c>
      <c r="AV337" t="s">
        <v>175</v>
      </c>
      <c r="AW337" t="s">
        <v>175</v>
      </c>
      <c r="AX337" t="s">
        <v>192</v>
      </c>
      <c r="AY337" t="s">
        <v>202</v>
      </c>
      <c r="AZ337" t="s">
        <v>183</v>
      </c>
      <c r="BA337" t="s">
        <v>183</v>
      </c>
      <c r="BB337" t="s">
        <v>183</v>
      </c>
      <c r="BC337" t="s">
        <v>183</v>
      </c>
      <c r="BD337" t="s">
        <v>183</v>
      </c>
    </row>
    <row r="338" hidden="1" spans="1:49">
      <c r="A338">
        <v>337</v>
      </c>
      <c r="B338" t="s">
        <v>282</v>
      </c>
      <c r="C338">
        <v>2022</v>
      </c>
      <c r="D338" t="s">
        <v>247</v>
      </c>
      <c r="E338" t="s">
        <v>247</v>
      </c>
      <c r="F338" t="s">
        <v>276</v>
      </c>
      <c r="G338"/>
      <c r="H338" t="s">
        <v>247</v>
      </c>
      <c r="I338"/>
      <c r="J338" t="s">
        <v>265</v>
      </c>
      <c r="K338" t="b">
        <v>0</v>
      </c>
      <c r="L338" t="b">
        <v>0</v>
      </c>
      <c r="M338" t="b">
        <v>0</v>
      </c>
      <c r="N338" t="b">
        <v>0</v>
      </c>
      <c r="O338" t="b">
        <v>0</v>
      </c>
      <c r="P338" t="b">
        <v>0</v>
      </c>
      <c r="Q338" t="b">
        <v>0</v>
      </c>
      <c r="R338" t="b">
        <v>0</v>
      </c>
      <c r="S338" t="b">
        <v>0</v>
      </c>
      <c r="T338" t="b">
        <v>0</v>
      </c>
      <c r="U338" t="b">
        <v>0</v>
      </c>
      <c r="V338" t="b">
        <v>0</v>
      </c>
      <c r="W338" t="b">
        <v>0</v>
      </c>
      <c r="X338" t="b">
        <v>0</v>
      </c>
      <c r="Y338" t="b">
        <v>0</v>
      </c>
      <c r="Z338" t="b">
        <v>1</v>
      </c>
      <c r="AA338" t="b">
        <v>0</v>
      </c>
      <c r="AB338" t="b">
        <v>0</v>
      </c>
      <c r="AC338" t="s">
        <v>173</v>
      </c>
      <c r="AD338" t="s">
        <v>183</v>
      </c>
      <c r="AE338" t="s">
        <v>175</v>
      </c>
      <c r="AF338" t="s">
        <v>173</v>
      </c>
      <c r="AG338" t="s">
        <v>173</v>
      </c>
      <c r="AH338" t="s">
        <v>175</v>
      </c>
      <c r="AI338" t="s">
        <v>173</v>
      </c>
      <c r="AJ338" t="s">
        <v>173</v>
      </c>
      <c r="AK338" t="s">
        <v>173</v>
      </c>
      <c r="AL338" t="s">
        <v>173</v>
      </c>
      <c r="AM338" t="s">
        <v>173</v>
      </c>
      <c r="AN338" t="s">
        <v>173</v>
      </c>
      <c r="AO338" t="s">
        <v>171</v>
      </c>
      <c r="AP338" t="s">
        <v>171</v>
      </c>
      <c r="AQ338" t="s">
        <v>171</v>
      </c>
      <c r="AR338" t="s">
        <v>173</v>
      </c>
      <c r="AS338" t="s">
        <v>173</v>
      </c>
      <c r="AT338" t="s">
        <v>173</v>
      </c>
      <c r="AU338" t="s">
        <v>173</v>
      </c>
      <c r="AV338" t="s">
        <v>181</v>
      </c>
      <c r="AW338" t="s">
        <v>181</v>
      </c>
    </row>
    <row r="339" hidden="1" spans="1:56">
      <c r="A339">
        <v>338</v>
      </c>
      <c r="B339" t="s">
        <v>259</v>
      </c>
      <c r="C339">
        <v>2023</v>
      </c>
      <c r="D339">
        <v>1997</v>
      </c>
      <c r="E339">
        <v>2010</v>
      </c>
      <c r="F339" t="s">
        <v>256</v>
      </c>
      <c r="G339" t="s">
        <v>263</v>
      </c>
      <c r="H339" t="s">
        <v>274</v>
      </c>
      <c r="I339"/>
      <c r="J339" t="s">
        <v>252</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1</v>
      </c>
      <c r="AC339" t="s">
        <v>173</v>
      </c>
      <c r="AD339" t="s">
        <v>173</v>
      </c>
      <c r="AE339" t="s">
        <v>173</v>
      </c>
      <c r="AF339" t="s">
        <v>173</v>
      </c>
      <c r="AG339" t="s">
        <v>173</v>
      </c>
      <c r="AH339" t="s">
        <v>173</v>
      </c>
      <c r="AI339" t="s">
        <v>173</v>
      </c>
      <c r="AJ339" t="s">
        <v>173</v>
      </c>
      <c r="AK339" t="s">
        <v>171</v>
      </c>
      <c r="AL339" t="s">
        <v>171</v>
      </c>
      <c r="AM339" t="s">
        <v>171</v>
      </c>
      <c r="AN339" t="s">
        <v>171</v>
      </c>
      <c r="AO339" t="s">
        <v>173</v>
      </c>
      <c r="AP339" t="s">
        <v>173</v>
      </c>
      <c r="AQ339" t="s">
        <v>173</v>
      </c>
      <c r="AR339" t="s">
        <v>175</v>
      </c>
      <c r="AS339" t="s">
        <v>173</v>
      </c>
      <c r="AT339" t="s">
        <v>173</v>
      </c>
      <c r="AU339" t="s">
        <v>173</v>
      </c>
      <c r="AV339" t="s">
        <v>171</v>
      </c>
      <c r="AW339" t="s">
        <v>173</v>
      </c>
      <c r="AX339" t="s">
        <v>193</v>
      </c>
      <c r="AY339" t="s">
        <v>197</v>
      </c>
      <c r="AZ339" t="s">
        <v>183</v>
      </c>
      <c r="BA339" t="s">
        <v>183</v>
      </c>
      <c r="BB339" t="s">
        <v>183</v>
      </c>
      <c r="BC339" t="s">
        <v>183</v>
      </c>
      <c r="BD339" t="s">
        <v>208</v>
      </c>
    </row>
    <row r="340" hidden="1" spans="1:56">
      <c r="A340">
        <v>339</v>
      </c>
      <c r="B340" t="s">
        <v>259</v>
      </c>
      <c r="C340">
        <v>2022</v>
      </c>
      <c r="D340">
        <v>1993</v>
      </c>
      <c r="E340">
        <v>1994</v>
      </c>
      <c r="F340" t="s">
        <v>266</v>
      </c>
      <c r="G340"/>
      <c r="H340" t="s">
        <v>247</v>
      </c>
      <c r="I340"/>
      <c r="J340" t="s">
        <v>265</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1</v>
      </c>
      <c r="AC340" t="s">
        <v>175</v>
      </c>
      <c r="AD340" t="s">
        <v>177</v>
      </c>
      <c r="AE340" t="s">
        <v>173</v>
      </c>
      <c r="AF340" t="s">
        <v>173</v>
      </c>
      <c r="AG340" t="s">
        <v>173</v>
      </c>
      <c r="AH340" t="s">
        <v>173</v>
      </c>
      <c r="AI340" t="s">
        <v>173</v>
      </c>
      <c r="AJ340" t="s">
        <v>173</v>
      </c>
      <c r="AK340" t="s">
        <v>173</v>
      </c>
      <c r="AL340" t="s">
        <v>173</v>
      </c>
      <c r="AM340" t="s">
        <v>173</v>
      </c>
      <c r="AN340" t="s">
        <v>173</v>
      </c>
      <c r="AO340" t="s">
        <v>177</v>
      </c>
      <c r="AP340" t="s">
        <v>175</v>
      </c>
      <c r="AQ340" t="s">
        <v>177</v>
      </c>
      <c r="AR340" t="s">
        <v>173</v>
      </c>
      <c r="AS340" t="s">
        <v>173</v>
      </c>
      <c r="AT340" t="s">
        <v>173</v>
      </c>
      <c r="AU340" t="s">
        <v>173</v>
      </c>
      <c r="AV340" t="s">
        <v>175</v>
      </c>
      <c r="AW340" t="s">
        <v>173</v>
      </c>
      <c r="AX340" t="s">
        <v>192</v>
      </c>
      <c r="AY340" t="s">
        <v>195</v>
      </c>
      <c r="AZ340" t="s">
        <v>183</v>
      </c>
      <c r="BA340" t="s">
        <v>183</v>
      </c>
      <c r="BB340" t="s">
        <v>183</v>
      </c>
      <c r="BC340" t="s">
        <v>183</v>
      </c>
      <c r="BD340" t="s">
        <v>183</v>
      </c>
    </row>
    <row r="341" hidden="1" spans="1:56">
      <c r="A341">
        <v>340</v>
      </c>
      <c r="B341" t="s">
        <v>259</v>
      </c>
      <c r="C341">
        <v>2023</v>
      </c>
      <c r="D341" t="s">
        <v>247</v>
      </c>
      <c r="E341" t="s">
        <v>247</v>
      </c>
      <c r="F341" t="s">
        <v>260</v>
      </c>
      <c r="G341"/>
      <c r="H341" t="s">
        <v>267</v>
      </c>
      <c r="I341"/>
      <c r="J341" t="s">
        <v>252</v>
      </c>
      <c r="K341" t="b">
        <v>0</v>
      </c>
      <c r="L341" t="b">
        <v>0</v>
      </c>
      <c r="M341" t="b">
        <v>0</v>
      </c>
      <c r="N341" t="b">
        <v>0</v>
      </c>
      <c r="O341" t="b">
        <v>0</v>
      </c>
      <c r="P341" t="b">
        <v>0</v>
      </c>
      <c r="Q341" t="b">
        <v>0</v>
      </c>
      <c r="R341" t="b">
        <v>0</v>
      </c>
      <c r="S341" t="b">
        <v>0</v>
      </c>
      <c r="T341" t="b">
        <v>0</v>
      </c>
      <c r="U341" t="b">
        <v>1</v>
      </c>
      <c r="V341" t="b">
        <v>0</v>
      </c>
      <c r="W341" t="b">
        <v>0</v>
      </c>
      <c r="X341" t="b">
        <v>0</v>
      </c>
      <c r="Y341" t="b">
        <v>0</v>
      </c>
      <c r="Z341" t="b">
        <v>1</v>
      </c>
      <c r="AA341" t="b">
        <v>1</v>
      </c>
      <c r="AB341" t="b">
        <v>0</v>
      </c>
      <c r="AC341" t="s">
        <v>173</v>
      </c>
      <c r="AD341" t="s">
        <v>173</v>
      </c>
      <c r="AE341" t="s">
        <v>177</v>
      </c>
      <c r="AF341" t="s">
        <v>173</v>
      </c>
      <c r="AG341" t="s">
        <v>173</v>
      </c>
      <c r="AH341" t="s">
        <v>179</v>
      </c>
      <c r="AI341" t="s">
        <v>171</v>
      </c>
      <c r="AJ341" t="s">
        <v>175</v>
      </c>
      <c r="AK341" t="s">
        <v>173</v>
      </c>
      <c r="AL341" t="s">
        <v>173</v>
      </c>
      <c r="AM341" t="s">
        <v>173</v>
      </c>
      <c r="AN341" t="s">
        <v>173</v>
      </c>
      <c r="AO341" t="s">
        <v>175</v>
      </c>
      <c r="AP341" t="s">
        <v>173</v>
      </c>
      <c r="AQ341" t="s">
        <v>175</v>
      </c>
      <c r="AR341" t="s">
        <v>177</v>
      </c>
      <c r="AS341" t="s">
        <v>177</v>
      </c>
      <c r="AT341" t="s">
        <v>175</v>
      </c>
      <c r="AU341" t="s">
        <v>177</v>
      </c>
      <c r="AV341" t="s">
        <v>173</v>
      </c>
      <c r="AW341" t="s">
        <v>173</v>
      </c>
      <c r="AX341" t="s">
        <v>193</v>
      </c>
      <c r="AY341" t="s">
        <v>196</v>
      </c>
      <c r="AZ341" t="s">
        <v>183</v>
      </c>
      <c r="BA341" t="s">
        <v>183</v>
      </c>
      <c r="BB341" t="s">
        <v>183</v>
      </c>
      <c r="BC341" t="s">
        <v>183</v>
      </c>
      <c r="BD341" t="s">
        <v>183</v>
      </c>
    </row>
    <row r="342" hidden="1" spans="1:56">
      <c r="A342">
        <v>341</v>
      </c>
      <c r="B342" t="s">
        <v>255</v>
      </c>
      <c r="C342">
        <v>2023</v>
      </c>
      <c r="D342">
        <v>2014</v>
      </c>
      <c r="E342">
        <v>2021</v>
      </c>
      <c r="F342" t="s">
        <v>256</v>
      </c>
      <c r="G342" t="s">
        <v>257</v>
      </c>
      <c r="H342" t="s">
        <v>267</v>
      </c>
      <c r="I342"/>
      <c r="J342" t="s">
        <v>252</v>
      </c>
      <c r="K342" t="b">
        <v>0</v>
      </c>
      <c r="L342" t="b">
        <v>0</v>
      </c>
      <c r="M342" t="b">
        <v>0</v>
      </c>
      <c r="N342" t="b">
        <v>0</v>
      </c>
      <c r="O342" t="b">
        <v>0</v>
      </c>
      <c r="P342" t="b">
        <v>0</v>
      </c>
      <c r="Q342" t="b">
        <v>0</v>
      </c>
      <c r="R342" t="b">
        <v>0</v>
      </c>
      <c r="S342" t="b">
        <v>1</v>
      </c>
      <c r="T342" t="b">
        <v>0</v>
      </c>
      <c r="U342" t="b">
        <v>1</v>
      </c>
      <c r="V342" t="b">
        <v>0</v>
      </c>
      <c r="W342" t="b">
        <v>0</v>
      </c>
      <c r="X342" t="b">
        <v>0</v>
      </c>
      <c r="Y342" t="b">
        <v>0</v>
      </c>
      <c r="Z342" t="b">
        <v>1</v>
      </c>
      <c r="AA342" t="b">
        <v>0</v>
      </c>
      <c r="AB342" t="b">
        <v>0</v>
      </c>
      <c r="AC342" t="s">
        <v>171</v>
      </c>
      <c r="AD342" t="s">
        <v>171</v>
      </c>
      <c r="AE342" t="s">
        <v>175</v>
      </c>
      <c r="AF342" t="s">
        <v>171</v>
      </c>
      <c r="AG342" t="s">
        <v>177</v>
      </c>
      <c r="AH342" t="s">
        <v>177</v>
      </c>
      <c r="AI342" t="s">
        <v>173</v>
      </c>
      <c r="AJ342" t="s">
        <v>173</v>
      </c>
      <c r="AK342" t="s">
        <v>173</v>
      </c>
      <c r="AL342" t="s">
        <v>171</v>
      </c>
      <c r="AM342" t="s">
        <v>173</v>
      </c>
      <c r="AN342" t="s">
        <v>173</v>
      </c>
      <c r="AO342" t="s">
        <v>171</v>
      </c>
      <c r="AP342" t="s">
        <v>173</v>
      </c>
      <c r="AQ342" t="s">
        <v>171</v>
      </c>
      <c r="AR342" t="s">
        <v>173</v>
      </c>
      <c r="AS342" t="s">
        <v>173</v>
      </c>
      <c r="AT342" t="s">
        <v>173</v>
      </c>
      <c r="AU342" t="s">
        <v>173</v>
      </c>
      <c r="AV342" t="s">
        <v>175</v>
      </c>
      <c r="AW342" t="s">
        <v>173</v>
      </c>
      <c r="AX342" t="s">
        <v>193</v>
      </c>
      <c r="AY342" t="s">
        <v>200</v>
      </c>
      <c r="AZ342" t="s">
        <v>183</v>
      </c>
      <c r="BA342" t="s">
        <v>183</v>
      </c>
      <c r="BB342" t="s">
        <v>183</v>
      </c>
      <c r="BC342" t="s">
        <v>183</v>
      </c>
      <c r="BD342" t="s">
        <v>183</v>
      </c>
    </row>
    <row r="343" hidden="1" spans="1:56">
      <c r="A343">
        <v>342</v>
      </c>
      <c r="B343" t="s">
        <v>246</v>
      </c>
      <c r="C343">
        <v>2023</v>
      </c>
      <c r="D343">
        <v>1981</v>
      </c>
      <c r="E343">
        <v>2005</v>
      </c>
      <c r="F343" t="s">
        <v>256</v>
      </c>
      <c r="G343" t="s">
        <v>257</v>
      </c>
      <c r="H343" t="s">
        <v>273</v>
      </c>
      <c r="I343"/>
      <c r="J343" t="s">
        <v>252</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1</v>
      </c>
      <c r="AC343" t="s">
        <v>171</v>
      </c>
      <c r="AD343" t="s">
        <v>171</v>
      </c>
      <c r="AE343" t="s">
        <v>171</v>
      </c>
      <c r="AF343" t="s">
        <v>171</v>
      </c>
      <c r="AG343" t="s">
        <v>171</v>
      </c>
      <c r="AH343" t="s">
        <v>171</v>
      </c>
      <c r="AI343" t="s">
        <v>171</v>
      </c>
      <c r="AJ343" t="s">
        <v>171</v>
      </c>
      <c r="AK343" t="s">
        <v>171</v>
      </c>
      <c r="AL343" t="s">
        <v>171</v>
      </c>
      <c r="AM343" t="s">
        <v>171</v>
      </c>
      <c r="AN343" t="s">
        <v>171</v>
      </c>
      <c r="AO343" t="s">
        <v>171</v>
      </c>
      <c r="AP343" t="s">
        <v>171</v>
      </c>
      <c r="AQ343" t="s">
        <v>171</v>
      </c>
      <c r="AR343" t="s">
        <v>171</v>
      </c>
      <c r="AS343" t="s">
        <v>171</v>
      </c>
      <c r="AT343" t="s">
        <v>171</v>
      </c>
      <c r="AU343" t="s">
        <v>171</v>
      </c>
      <c r="AV343" t="s">
        <v>171</v>
      </c>
      <c r="AW343" t="s">
        <v>171</v>
      </c>
      <c r="AX343" t="s">
        <v>192</v>
      </c>
      <c r="AY343" t="s">
        <v>195</v>
      </c>
      <c r="AZ343" t="s">
        <v>183</v>
      </c>
      <c r="BA343" t="s">
        <v>183</v>
      </c>
      <c r="BB343" t="s">
        <v>183</v>
      </c>
      <c r="BC343" t="s">
        <v>183</v>
      </c>
      <c r="BD343" t="s">
        <v>183</v>
      </c>
    </row>
    <row r="344" hidden="1" spans="1:56">
      <c r="A344">
        <v>343</v>
      </c>
      <c r="B344" t="s">
        <v>259</v>
      </c>
      <c r="C344">
        <v>2022</v>
      </c>
      <c r="D344">
        <v>2008</v>
      </c>
      <c r="E344">
        <v>2021</v>
      </c>
      <c r="F344" t="s">
        <v>266</v>
      </c>
      <c r="G344"/>
      <c r="H344" t="s">
        <v>258</v>
      </c>
      <c r="I344"/>
      <c r="J344" t="s">
        <v>265</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1</v>
      </c>
      <c r="AC344" t="s">
        <v>171</v>
      </c>
      <c r="AD344" t="s">
        <v>171</v>
      </c>
      <c r="AE344" t="s">
        <v>171</v>
      </c>
      <c r="AF344" t="s">
        <v>171</v>
      </c>
      <c r="AG344" t="s">
        <v>171</v>
      </c>
      <c r="AH344" t="s">
        <v>171</v>
      </c>
      <c r="AI344" t="s">
        <v>171</v>
      </c>
      <c r="AJ344" t="s">
        <v>171</v>
      </c>
      <c r="AK344" t="s">
        <v>171</v>
      </c>
      <c r="AL344" t="s">
        <v>171</v>
      </c>
      <c r="AM344" t="s">
        <v>171</v>
      </c>
      <c r="AN344" t="s">
        <v>171</v>
      </c>
      <c r="AO344" t="s">
        <v>171</v>
      </c>
      <c r="AP344" t="s">
        <v>171</v>
      </c>
      <c r="AQ344" t="s">
        <v>171</v>
      </c>
      <c r="AR344" t="s">
        <v>171</v>
      </c>
      <c r="AS344" t="s">
        <v>171</v>
      </c>
      <c r="AT344" t="s">
        <v>171</v>
      </c>
      <c r="AU344" t="s">
        <v>171</v>
      </c>
      <c r="AV344" t="s">
        <v>171</v>
      </c>
      <c r="AW344" t="s">
        <v>171</v>
      </c>
      <c r="AX344" t="s">
        <v>192</v>
      </c>
      <c r="AY344" t="s">
        <v>196</v>
      </c>
      <c r="AZ344" t="s">
        <v>183</v>
      </c>
      <c r="BA344" t="s">
        <v>183</v>
      </c>
      <c r="BB344" t="s">
        <v>183</v>
      </c>
      <c r="BC344" t="s">
        <v>183</v>
      </c>
      <c r="BD344" t="s">
        <v>183</v>
      </c>
    </row>
    <row r="345" hidden="1" spans="1:56">
      <c r="A345">
        <v>344</v>
      </c>
      <c r="B345" t="s">
        <v>269</v>
      </c>
      <c r="C345">
        <v>2022</v>
      </c>
      <c r="D345" t="s">
        <v>247</v>
      </c>
      <c r="E345" t="s">
        <v>247</v>
      </c>
      <c r="F345" t="s">
        <v>276</v>
      </c>
      <c r="G345"/>
      <c r="H345" t="s">
        <v>274</v>
      </c>
      <c r="I345"/>
      <c r="J345" t="s">
        <v>265</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1</v>
      </c>
      <c r="AC345" t="s">
        <v>175</v>
      </c>
      <c r="AD345" t="s">
        <v>177</v>
      </c>
      <c r="AE345" t="s">
        <v>173</v>
      </c>
      <c r="AF345" t="s">
        <v>173</v>
      </c>
      <c r="AG345" t="s">
        <v>173</v>
      </c>
      <c r="AH345" t="s">
        <v>173</v>
      </c>
      <c r="AI345" t="s">
        <v>175</v>
      </c>
      <c r="AJ345" t="s">
        <v>173</v>
      </c>
      <c r="AK345" t="s">
        <v>173</v>
      </c>
      <c r="AL345" t="s">
        <v>171</v>
      </c>
      <c r="AM345" t="s">
        <v>171</v>
      </c>
      <c r="AN345" t="s">
        <v>173</v>
      </c>
      <c r="AO345" t="s">
        <v>175</v>
      </c>
      <c r="AP345" t="s">
        <v>175</v>
      </c>
      <c r="AQ345" t="s">
        <v>175</v>
      </c>
      <c r="AR345" t="s">
        <v>175</v>
      </c>
      <c r="AS345" t="s">
        <v>173</v>
      </c>
      <c r="AT345" t="s">
        <v>173</v>
      </c>
      <c r="AU345" t="s">
        <v>173</v>
      </c>
      <c r="AV345" t="s">
        <v>173</v>
      </c>
      <c r="AW345" t="s">
        <v>173</v>
      </c>
      <c r="AX345" t="s">
        <v>192</v>
      </c>
      <c r="AY345" t="s">
        <v>199</v>
      </c>
      <c r="AZ345" t="s">
        <v>183</v>
      </c>
      <c r="BA345" t="s">
        <v>183</v>
      </c>
      <c r="BB345" t="s">
        <v>183</v>
      </c>
      <c r="BC345" t="s">
        <v>183</v>
      </c>
      <c r="BD345" t="s">
        <v>208</v>
      </c>
    </row>
    <row r="346" hidden="1" spans="1:56">
      <c r="A346">
        <v>345</v>
      </c>
      <c r="B346" t="s">
        <v>259</v>
      </c>
      <c r="C346">
        <v>2023</v>
      </c>
      <c r="D346">
        <v>1990</v>
      </c>
      <c r="E346">
        <v>2005</v>
      </c>
      <c r="F346" t="s">
        <v>266</v>
      </c>
      <c r="G346"/>
      <c r="H346" t="s">
        <v>261</v>
      </c>
      <c r="I346"/>
      <c r="J346" t="s">
        <v>265</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1</v>
      </c>
      <c r="AC346" t="s">
        <v>183</v>
      </c>
      <c r="AD346" t="s">
        <v>183</v>
      </c>
      <c r="AE346" t="s">
        <v>173</v>
      </c>
      <c r="AF346" t="s">
        <v>171</v>
      </c>
      <c r="AG346" t="s">
        <v>173</v>
      </c>
      <c r="AH346" t="s">
        <v>171</v>
      </c>
      <c r="AI346" t="s">
        <v>171</v>
      </c>
      <c r="AJ346" t="s">
        <v>177</v>
      </c>
      <c r="AK346" t="s">
        <v>173</v>
      </c>
      <c r="AL346" t="s">
        <v>173</v>
      </c>
      <c r="AM346" t="s">
        <v>171</v>
      </c>
      <c r="AN346" t="s">
        <v>171</v>
      </c>
      <c r="AO346" t="s">
        <v>173</v>
      </c>
      <c r="AP346" t="s">
        <v>173</v>
      </c>
      <c r="AQ346" t="s">
        <v>183</v>
      </c>
      <c r="AR346" t="s">
        <v>173</v>
      </c>
      <c r="AS346" t="s">
        <v>171</v>
      </c>
      <c r="AT346" t="s">
        <v>171</v>
      </c>
      <c r="AU346" t="s">
        <v>171</v>
      </c>
      <c r="AV346" t="s">
        <v>183</v>
      </c>
      <c r="AW346" t="s">
        <v>175</v>
      </c>
      <c r="AX346" t="s">
        <v>192</v>
      </c>
      <c r="AY346" t="s">
        <v>195</v>
      </c>
      <c r="AZ346" t="s">
        <v>183</v>
      </c>
      <c r="BA346" t="s">
        <v>183</v>
      </c>
      <c r="BB346" t="s">
        <v>183</v>
      </c>
      <c r="BC346" t="s">
        <v>183</v>
      </c>
      <c r="BD346" t="s">
        <v>183</v>
      </c>
    </row>
    <row r="347" hidden="1" spans="1:56">
      <c r="A347">
        <v>346</v>
      </c>
      <c r="B347" t="s">
        <v>269</v>
      </c>
      <c r="C347">
        <v>2022</v>
      </c>
      <c r="D347">
        <v>1997</v>
      </c>
      <c r="E347">
        <v>1997</v>
      </c>
      <c r="F347" t="s">
        <v>256</v>
      </c>
      <c r="G347" t="s">
        <v>257</v>
      </c>
      <c r="H347" t="s">
        <v>274</v>
      </c>
      <c r="I347"/>
      <c r="J347" t="s">
        <v>252</v>
      </c>
      <c r="K347" t="b">
        <v>0</v>
      </c>
      <c r="L347" t="b">
        <v>0</v>
      </c>
      <c r="M347" t="b">
        <v>0</v>
      </c>
      <c r="N347" t="b">
        <v>0</v>
      </c>
      <c r="O347" t="b">
        <v>0</v>
      </c>
      <c r="P347" t="b">
        <v>0</v>
      </c>
      <c r="Q347" t="b">
        <v>0</v>
      </c>
      <c r="R347" t="b">
        <v>0</v>
      </c>
      <c r="S347" t="b">
        <v>0</v>
      </c>
      <c r="T347" t="b">
        <v>0</v>
      </c>
      <c r="U347" t="b">
        <v>0</v>
      </c>
      <c r="V347" t="b">
        <v>0</v>
      </c>
      <c r="W347" t="b">
        <v>0</v>
      </c>
      <c r="X347" t="b">
        <v>0</v>
      </c>
      <c r="Y347" t="b">
        <v>0</v>
      </c>
      <c r="Z347" t="b">
        <v>1</v>
      </c>
      <c r="AA347" t="b">
        <v>0</v>
      </c>
      <c r="AB347" t="b">
        <v>0</v>
      </c>
      <c r="AC347" t="s">
        <v>173</v>
      </c>
      <c r="AD347" t="s">
        <v>173</v>
      </c>
      <c r="AE347" t="s">
        <v>173</v>
      </c>
      <c r="AF347" t="s">
        <v>173</v>
      </c>
      <c r="AG347" t="s">
        <v>173</v>
      </c>
      <c r="AH347" t="s">
        <v>173</v>
      </c>
      <c r="AI347" t="s">
        <v>173</v>
      </c>
      <c r="AJ347" t="s">
        <v>173</v>
      </c>
      <c r="AK347" t="s">
        <v>173</v>
      </c>
      <c r="AL347" t="s">
        <v>173</v>
      </c>
      <c r="AM347" t="s">
        <v>173</v>
      </c>
      <c r="AN347" t="s">
        <v>173</v>
      </c>
      <c r="AO347" t="s">
        <v>173</v>
      </c>
      <c r="AP347" t="s">
        <v>173</v>
      </c>
      <c r="AQ347" t="s">
        <v>173</v>
      </c>
      <c r="AR347" t="s">
        <v>173</v>
      </c>
      <c r="AS347" t="s">
        <v>173</v>
      </c>
      <c r="AT347" t="s">
        <v>173</v>
      </c>
      <c r="AU347" t="s">
        <v>173</v>
      </c>
      <c r="AV347" t="s">
        <v>173</v>
      </c>
      <c r="AW347" t="s">
        <v>173</v>
      </c>
      <c r="AX347" t="s">
        <v>192</v>
      </c>
      <c r="AY347" t="s">
        <v>199</v>
      </c>
      <c r="AZ347" t="s">
        <v>183</v>
      </c>
      <c r="BA347" t="s">
        <v>183</v>
      </c>
      <c r="BB347" t="s">
        <v>183</v>
      </c>
      <c r="BC347" t="s">
        <v>183</v>
      </c>
      <c r="BD347" t="s">
        <v>183</v>
      </c>
    </row>
    <row r="348" hidden="1" spans="1:56">
      <c r="A348">
        <v>347</v>
      </c>
      <c r="B348" t="s">
        <v>259</v>
      </c>
      <c r="C348">
        <v>2023</v>
      </c>
      <c r="D348" t="s">
        <v>247</v>
      </c>
      <c r="E348" t="s">
        <v>247</v>
      </c>
      <c r="F348" t="s">
        <v>256</v>
      </c>
      <c r="G348" t="s">
        <v>257</v>
      </c>
      <c r="H348" t="s">
        <v>247</v>
      </c>
      <c r="I348"/>
      <c r="J348" t="s">
        <v>252</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1</v>
      </c>
      <c r="AC348" t="s">
        <v>175</v>
      </c>
      <c r="AD348" t="s">
        <v>175</v>
      </c>
      <c r="AE348" t="s">
        <v>175</v>
      </c>
      <c r="AF348" t="s">
        <v>175</v>
      </c>
      <c r="AG348" t="s">
        <v>175</v>
      </c>
      <c r="AH348" t="s">
        <v>173</v>
      </c>
      <c r="AI348" t="s">
        <v>175</v>
      </c>
      <c r="AJ348" t="s">
        <v>175</v>
      </c>
      <c r="AK348" t="s">
        <v>175</v>
      </c>
      <c r="AL348" t="s">
        <v>173</v>
      </c>
      <c r="AM348" t="s">
        <v>175</v>
      </c>
      <c r="AN348" t="s">
        <v>173</v>
      </c>
      <c r="AO348" t="s">
        <v>173</v>
      </c>
      <c r="AP348" t="s">
        <v>175</v>
      </c>
      <c r="AQ348" t="s">
        <v>173</v>
      </c>
      <c r="AR348" t="s">
        <v>175</v>
      </c>
      <c r="AS348" t="s">
        <v>175</v>
      </c>
      <c r="AT348" t="s">
        <v>173</v>
      </c>
      <c r="AU348" t="s">
        <v>175</v>
      </c>
      <c r="AV348" t="s">
        <v>175</v>
      </c>
      <c r="AW348" t="s">
        <v>173</v>
      </c>
      <c r="AX348" t="s">
        <v>192</v>
      </c>
      <c r="AY348" t="s">
        <v>196</v>
      </c>
      <c r="AZ348" t="s">
        <v>183</v>
      </c>
      <c r="BA348" t="s">
        <v>183</v>
      </c>
      <c r="BB348" t="s">
        <v>183</v>
      </c>
      <c r="BC348" t="s">
        <v>183</v>
      </c>
      <c r="BD348" t="s">
        <v>183</v>
      </c>
    </row>
    <row r="349" hidden="1" spans="1:56">
      <c r="A349">
        <v>348</v>
      </c>
      <c r="B349" t="s">
        <v>269</v>
      </c>
      <c r="C349">
        <v>2022</v>
      </c>
      <c r="D349">
        <v>2017</v>
      </c>
      <c r="E349">
        <v>2017</v>
      </c>
      <c r="F349" t="s">
        <v>260</v>
      </c>
      <c r="G349"/>
      <c r="H349" t="s">
        <v>268</v>
      </c>
      <c r="I349"/>
      <c r="J349" t="s">
        <v>252</v>
      </c>
      <c r="K349" t="b">
        <v>0</v>
      </c>
      <c r="L349" t="b">
        <v>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s">
        <v>173</v>
      </c>
      <c r="AD349" t="s">
        <v>173</v>
      </c>
      <c r="AE349" t="s">
        <v>173</v>
      </c>
      <c r="AF349" t="s">
        <v>173</v>
      </c>
      <c r="AG349" t="s">
        <v>173</v>
      </c>
      <c r="AH349" t="s">
        <v>173</v>
      </c>
      <c r="AI349" t="s">
        <v>173</v>
      </c>
      <c r="AJ349" t="s">
        <v>173</v>
      </c>
      <c r="AK349" t="s">
        <v>173</v>
      </c>
      <c r="AL349" t="s">
        <v>173</v>
      </c>
      <c r="AM349" t="s">
        <v>173</v>
      </c>
      <c r="AN349" t="s">
        <v>173</v>
      </c>
      <c r="AO349" t="s">
        <v>173</v>
      </c>
      <c r="AP349" t="s">
        <v>173</v>
      </c>
      <c r="AQ349" t="s">
        <v>173</v>
      </c>
      <c r="AR349" t="s">
        <v>173</v>
      </c>
      <c r="AS349" t="s">
        <v>173</v>
      </c>
      <c r="AT349" t="s">
        <v>173</v>
      </c>
      <c r="AU349" t="s">
        <v>173</v>
      </c>
      <c r="AV349" t="s">
        <v>173</v>
      </c>
      <c r="AW349" t="s">
        <v>173</v>
      </c>
      <c r="AX349" t="s">
        <v>192</v>
      </c>
      <c r="AY349" t="s">
        <v>201</v>
      </c>
      <c r="AZ349" t="s">
        <v>183</v>
      </c>
      <c r="BA349" t="s">
        <v>183</v>
      </c>
      <c r="BB349" t="s">
        <v>183</v>
      </c>
      <c r="BC349" t="s">
        <v>183</v>
      </c>
      <c r="BD349" t="s">
        <v>208</v>
      </c>
    </row>
    <row r="350" hidden="1" spans="1:56">
      <c r="A350">
        <v>349</v>
      </c>
      <c r="B350" t="s">
        <v>255</v>
      </c>
      <c r="C350">
        <v>2023</v>
      </c>
      <c r="D350">
        <v>1989</v>
      </c>
      <c r="E350">
        <v>2008</v>
      </c>
      <c r="F350" t="s">
        <v>256</v>
      </c>
      <c r="G350" t="s">
        <v>263</v>
      </c>
      <c r="H350" t="s">
        <v>247</v>
      </c>
      <c r="I350"/>
      <c r="J350" t="s">
        <v>265</v>
      </c>
      <c r="K350" t="b">
        <v>0</v>
      </c>
      <c r="L350" t="b">
        <v>0</v>
      </c>
      <c r="M350" t="b">
        <v>0</v>
      </c>
      <c r="N350" t="b">
        <v>0</v>
      </c>
      <c r="O350" t="b">
        <v>0</v>
      </c>
      <c r="P350" t="b">
        <v>0</v>
      </c>
      <c r="Q350" t="b">
        <v>0</v>
      </c>
      <c r="R350" t="b">
        <v>0</v>
      </c>
      <c r="S350" t="b">
        <v>0</v>
      </c>
      <c r="T350" t="b">
        <v>0</v>
      </c>
      <c r="U350" t="b">
        <v>0</v>
      </c>
      <c r="V350" t="b">
        <v>0</v>
      </c>
      <c r="W350" t="b">
        <v>0</v>
      </c>
      <c r="X350" t="b">
        <v>0</v>
      </c>
      <c r="Y350" t="b">
        <v>0</v>
      </c>
      <c r="Z350" t="b">
        <v>1</v>
      </c>
      <c r="AA350" t="b">
        <v>1</v>
      </c>
      <c r="AB350" t="b">
        <v>0</v>
      </c>
      <c r="AC350" t="s">
        <v>173</v>
      </c>
      <c r="AD350" t="s">
        <v>183</v>
      </c>
      <c r="AE350" t="s">
        <v>177</v>
      </c>
      <c r="AF350" t="s">
        <v>173</v>
      </c>
      <c r="AG350" t="s">
        <v>173</v>
      </c>
      <c r="AH350" t="s">
        <v>177</v>
      </c>
      <c r="AI350" t="s">
        <v>177</v>
      </c>
      <c r="AJ350" t="s">
        <v>175</v>
      </c>
      <c r="AK350" t="s">
        <v>173</v>
      </c>
      <c r="AL350" t="s">
        <v>173</v>
      </c>
      <c r="AM350" t="s">
        <v>173</v>
      </c>
      <c r="AN350" t="s">
        <v>177</v>
      </c>
      <c r="AO350" t="s">
        <v>173</v>
      </c>
      <c r="AP350" t="s">
        <v>173</v>
      </c>
      <c r="AQ350" t="s">
        <v>173</v>
      </c>
      <c r="AR350" t="s">
        <v>173</v>
      </c>
      <c r="AS350" t="s">
        <v>175</v>
      </c>
      <c r="AT350" t="s">
        <v>173</v>
      </c>
      <c r="AU350" t="s">
        <v>173</v>
      </c>
      <c r="AV350" t="s">
        <v>177</v>
      </c>
      <c r="AW350" t="s">
        <v>173</v>
      </c>
      <c r="AX350" t="s">
        <v>193</v>
      </c>
      <c r="AY350" t="s">
        <v>196</v>
      </c>
      <c r="AZ350" t="s">
        <v>183</v>
      </c>
      <c r="BA350" t="s">
        <v>183</v>
      </c>
      <c r="BB350" t="s">
        <v>183</v>
      </c>
      <c r="BC350" t="s">
        <v>183</v>
      </c>
      <c r="BD350" t="s">
        <v>183</v>
      </c>
    </row>
    <row r="351" hidden="1" spans="1:56">
      <c r="A351">
        <v>350</v>
      </c>
      <c r="B351" t="s">
        <v>259</v>
      </c>
      <c r="C351">
        <v>2023</v>
      </c>
      <c r="D351" t="s">
        <v>247</v>
      </c>
      <c r="E351" t="s">
        <v>247</v>
      </c>
      <c r="F351" t="s">
        <v>256</v>
      </c>
      <c r="G351" t="s">
        <v>257</v>
      </c>
      <c r="H351" t="s">
        <v>264</v>
      </c>
      <c r="I351"/>
      <c r="J351" t="s">
        <v>252</v>
      </c>
      <c r="K351" t="b">
        <v>0</v>
      </c>
      <c r="L351" t="b">
        <v>0</v>
      </c>
      <c r="M351" t="b">
        <v>0</v>
      </c>
      <c r="N351" t="b">
        <v>0</v>
      </c>
      <c r="O351" t="b">
        <v>0</v>
      </c>
      <c r="P351" t="b">
        <v>0</v>
      </c>
      <c r="Q351" t="b">
        <v>0</v>
      </c>
      <c r="R351" t="b">
        <v>0</v>
      </c>
      <c r="S351" t="b">
        <v>0</v>
      </c>
      <c r="T351" t="b">
        <v>0</v>
      </c>
      <c r="U351" t="b">
        <v>0</v>
      </c>
      <c r="V351" t="b">
        <v>0</v>
      </c>
      <c r="W351" t="b">
        <v>0</v>
      </c>
      <c r="X351" t="b">
        <v>0</v>
      </c>
      <c r="Y351" t="b">
        <v>0</v>
      </c>
      <c r="Z351" t="b">
        <v>1</v>
      </c>
      <c r="AA351" t="b">
        <v>1</v>
      </c>
      <c r="AB351" t="b">
        <v>0</v>
      </c>
      <c r="AC351" t="s">
        <v>173</v>
      </c>
      <c r="AD351" t="s">
        <v>173</v>
      </c>
      <c r="AE351" t="s">
        <v>171</v>
      </c>
      <c r="AF351" t="s">
        <v>173</v>
      </c>
      <c r="AG351" t="s">
        <v>173</v>
      </c>
      <c r="AH351" t="s">
        <v>177</v>
      </c>
      <c r="AI351" t="s">
        <v>173</v>
      </c>
      <c r="AJ351" t="s">
        <v>171</v>
      </c>
      <c r="AK351" t="s">
        <v>171</v>
      </c>
      <c r="AL351" t="s">
        <v>171</v>
      </c>
      <c r="AM351" t="s">
        <v>171</v>
      </c>
      <c r="AN351" t="s">
        <v>173</v>
      </c>
      <c r="AO351" t="s">
        <v>171</v>
      </c>
      <c r="AP351" t="s">
        <v>171</v>
      </c>
      <c r="AQ351" t="s">
        <v>171</v>
      </c>
      <c r="AR351" t="s">
        <v>171</v>
      </c>
      <c r="AS351" t="s">
        <v>171</v>
      </c>
      <c r="AT351" t="s">
        <v>171</v>
      </c>
      <c r="AU351" t="s">
        <v>171</v>
      </c>
      <c r="AV351" t="s">
        <v>175</v>
      </c>
      <c r="AW351" t="s">
        <v>173</v>
      </c>
      <c r="AX351" t="s">
        <v>192</v>
      </c>
      <c r="AY351" t="s">
        <v>197</v>
      </c>
      <c r="AZ351" t="s">
        <v>183</v>
      </c>
      <c r="BA351" t="s">
        <v>183</v>
      </c>
      <c r="BB351" t="s">
        <v>183</v>
      </c>
      <c r="BC351" t="s">
        <v>183</v>
      </c>
      <c r="BD351" t="s">
        <v>183</v>
      </c>
    </row>
    <row r="352" hidden="1" spans="1:56">
      <c r="A352">
        <v>351</v>
      </c>
      <c r="B352" t="s">
        <v>259</v>
      </c>
      <c r="C352">
        <v>2023</v>
      </c>
      <c r="D352">
        <v>1983</v>
      </c>
      <c r="E352">
        <v>1992</v>
      </c>
      <c r="F352" t="s">
        <v>256</v>
      </c>
      <c r="G352" t="s">
        <v>257</v>
      </c>
      <c r="H352" t="s">
        <v>264</v>
      </c>
      <c r="I352"/>
      <c r="J352" t="s">
        <v>265</v>
      </c>
      <c r="K352" t="b">
        <v>0</v>
      </c>
      <c r="L352" t="b">
        <v>0</v>
      </c>
      <c r="M352" t="b">
        <v>0</v>
      </c>
      <c r="N352" t="b">
        <v>0</v>
      </c>
      <c r="O352" t="b">
        <v>0</v>
      </c>
      <c r="P352" t="b">
        <v>0</v>
      </c>
      <c r="Q352" t="b">
        <v>0</v>
      </c>
      <c r="R352" t="b">
        <v>0</v>
      </c>
      <c r="S352" t="b">
        <v>0</v>
      </c>
      <c r="T352" t="b">
        <v>0</v>
      </c>
      <c r="U352" t="b">
        <v>0</v>
      </c>
      <c r="V352" t="b">
        <v>0</v>
      </c>
      <c r="W352" t="b">
        <v>0</v>
      </c>
      <c r="X352" t="b">
        <v>0</v>
      </c>
      <c r="Y352" t="b">
        <v>0</v>
      </c>
      <c r="Z352" t="b">
        <v>1</v>
      </c>
      <c r="AA352" t="b">
        <v>1</v>
      </c>
      <c r="AB352" t="b">
        <v>0</v>
      </c>
      <c r="AC352" t="s">
        <v>173</v>
      </c>
      <c r="AD352" t="s">
        <v>173</v>
      </c>
      <c r="AE352" t="s">
        <v>175</v>
      </c>
      <c r="AF352" t="s">
        <v>173</v>
      </c>
      <c r="AG352" t="s">
        <v>173</v>
      </c>
      <c r="AH352" t="s">
        <v>179</v>
      </c>
      <c r="AI352" t="s">
        <v>175</v>
      </c>
      <c r="AJ352" t="s">
        <v>173</v>
      </c>
      <c r="AK352" t="s">
        <v>173</v>
      </c>
      <c r="AL352" t="s">
        <v>173</v>
      </c>
      <c r="AM352" t="s">
        <v>173</v>
      </c>
      <c r="AN352" t="s">
        <v>173</v>
      </c>
      <c r="AO352" t="s">
        <v>173</v>
      </c>
      <c r="AP352" t="s">
        <v>173</v>
      </c>
      <c r="AQ352" t="s">
        <v>173</v>
      </c>
      <c r="AR352" t="s">
        <v>173</v>
      </c>
      <c r="AS352" t="s">
        <v>173</v>
      </c>
      <c r="AT352" t="s">
        <v>173</v>
      </c>
      <c r="AU352" t="s">
        <v>173</v>
      </c>
      <c r="AV352" t="s">
        <v>175</v>
      </c>
      <c r="AW352" t="s">
        <v>173</v>
      </c>
      <c r="AX352" t="s">
        <v>192</v>
      </c>
      <c r="AY352" t="s">
        <v>196</v>
      </c>
      <c r="AZ352" t="s">
        <v>183</v>
      </c>
      <c r="BA352" t="s">
        <v>183</v>
      </c>
      <c r="BB352" t="s">
        <v>183</v>
      </c>
      <c r="BC352" t="s">
        <v>183</v>
      </c>
      <c r="BD352" t="s">
        <v>183</v>
      </c>
    </row>
    <row r="353" hidden="1" spans="1:56">
      <c r="A353">
        <v>352</v>
      </c>
      <c r="B353" t="s">
        <v>259</v>
      </c>
      <c r="C353">
        <v>2022</v>
      </c>
      <c r="D353">
        <v>1995</v>
      </c>
      <c r="E353">
        <v>1995</v>
      </c>
      <c r="F353" t="s">
        <v>266</v>
      </c>
      <c r="G353"/>
      <c r="H353" t="s">
        <v>247</v>
      </c>
      <c r="I353"/>
      <c r="J353" t="s">
        <v>265</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1</v>
      </c>
      <c r="AC353" t="s">
        <v>173</v>
      </c>
      <c r="AD353" t="s">
        <v>183</v>
      </c>
      <c r="AE353" t="s">
        <v>173</v>
      </c>
      <c r="AF353" t="s">
        <v>183</v>
      </c>
      <c r="AG353" t="s">
        <v>173</v>
      </c>
      <c r="AH353" t="s">
        <v>173</v>
      </c>
      <c r="AI353" t="s">
        <v>173</v>
      </c>
      <c r="AJ353" t="s">
        <v>173</v>
      </c>
      <c r="AK353" t="s">
        <v>173</v>
      </c>
      <c r="AL353" t="s">
        <v>171</v>
      </c>
      <c r="AM353" t="s">
        <v>173</v>
      </c>
      <c r="AN353" t="s">
        <v>173</v>
      </c>
      <c r="AO353" t="s">
        <v>183</v>
      </c>
      <c r="AP353" t="s">
        <v>173</v>
      </c>
      <c r="AQ353" t="s">
        <v>183</v>
      </c>
      <c r="AR353" t="s">
        <v>173</v>
      </c>
      <c r="AS353" t="s">
        <v>173</v>
      </c>
      <c r="AT353" t="s">
        <v>173</v>
      </c>
      <c r="AU353" t="s">
        <v>173</v>
      </c>
      <c r="AV353" t="s">
        <v>175</v>
      </c>
      <c r="AW353" t="s">
        <v>173</v>
      </c>
      <c r="AX353" t="s">
        <v>192</v>
      </c>
      <c r="AY353" t="s">
        <v>195</v>
      </c>
      <c r="AZ353" t="s">
        <v>183</v>
      </c>
      <c r="BA353" t="s">
        <v>183</v>
      </c>
      <c r="BB353" t="s">
        <v>183</v>
      </c>
      <c r="BC353" t="s">
        <v>183</v>
      </c>
      <c r="BD353" t="s">
        <v>183</v>
      </c>
    </row>
    <row r="354" hidden="1" spans="1:56">
      <c r="A354">
        <v>353</v>
      </c>
      <c r="B354" t="s">
        <v>259</v>
      </c>
      <c r="C354">
        <v>2023</v>
      </c>
      <c r="D354" t="s">
        <v>247</v>
      </c>
      <c r="E354" t="s">
        <v>247</v>
      </c>
      <c r="F354" t="s">
        <v>256</v>
      </c>
      <c r="G354" t="s">
        <v>257</v>
      </c>
      <c r="H354" t="s">
        <v>247</v>
      </c>
      <c r="I354"/>
      <c r="J354" t="s">
        <v>252</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1</v>
      </c>
      <c r="AC354" t="s">
        <v>175</v>
      </c>
      <c r="AD354" t="s">
        <v>175</v>
      </c>
      <c r="AE354" t="s">
        <v>175</v>
      </c>
      <c r="AF354" t="s">
        <v>175</v>
      </c>
      <c r="AG354" t="s">
        <v>175</v>
      </c>
      <c r="AH354" t="s">
        <v>173</v>
      </c>
      <c r="AI354" t="s">
        <v>175</v>
      </c>
      <c r="AJ354" t="s">
        <v>175</v>
      </c>
      <c r="AK354" t="s">
        <v>175</v>
      </c>
      <c r="AL354" t="s">
        <v>173</v>
      </c>
      <c r="AM354" t="s">
        <v>175</v>
      </c>
      <c r="AN354" t="s">
        <v>173</v>
      </c>
      <c r="AO354" t="s">
        <v>173</v>
      </c>
      <c r="AP354" t="s">
        <v>175</v>
      </c>
      <c r="AQ354" t="s">
        <v>173</v>
      </c>
      <c r="AR354" t="s">
        <v>175</v>
      </c>
      <c r="AS354" t="s">
        <v>175</v>
      </c>
      <c r="AT354" t="s">
        <v>173</v>
      </c>
      <c r="AU354" t="s">
        <v>175</v>
      </c>
      <c r="AV354" t="s">
        <v>175</v>
      </c>
      <c r="AW354" t="s">
        <v>173</v>
      </c>
      <c r="AX354" t="s">
        <v>192</v>
      </c>
      <c r="AY354" t="s">
        <v>196</v>
      </c>
      <c r="AZ354" t="s">
        <v>183</v>
      </c>
      <c r="BA354" t="s">
        <v>183</v>
      </c>
      <c r="BB354" t="s">
        <v>183</v>
      </c>
      <c r="BC354" t="s">
        <v>183</v>
      </c>
      <c r="BD354" t="s">
        <v>183</v>
      </c>
    </row>
    <row r="355" hidden="1" spans="1:56">
      <c r="A355">
        <v>354</v>
      </c>
      <c r="B355" t="s">
        <v>282</v>
      </c>
      <c r="C355">
        <v>2022</v>
      </c>
      <c r="D355">
        <v>2013</v>
      </c>
      <c r="E355">
        <v>2020</v>
      </c>
      <c r="F355" t="s">
        <v>266</v>
      </c>
      <c r="G355"/>
      <c r="H355" t="s">
        <v>247</v>
      </c>
      <c r="I355"/>
      <c r="J355" t="s">
        <v>265</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1</v>
      </c>
      <c r="AC355" t="s">
        <v>171</v>
      </c>
      <c r="AD355" t="s">
        <v>173</v>
      </c>
      <c r="AE355" t="s">
        <v>173</v>
      </c>
      <c r="AF355" t="s">
        <v>173</v>
      </c>
      <c r="AG355" t="s">
        <v>173</v>
      </c>
      <c r="AH355" t="s">
        <v>173</v>
      </c>
      <c r="AI355" t="s">
        <v>173</v>
      </c>
      <c r="AJ355" t="s">
        <v>171</v>
      </c>
      <c r="AK355" t="s">
        <v>173</v>
      </c>
      <c r="AL355" t="s">
        <v>173</v>
      </c>
      <c r="AM355" t="s">
        <v>173</v>
      </c>
      <c r="AN355" t="s">
        <v>183</v>
      </c>
      <c r="AO355" t="s">
        <v>171</v>
      </c>
      <c r="AP355" t="s">
        <v>171</v>
      </c>
      <c r="AQ355" t="s">
        <v>171</v>
      </c>
      <c r="AR355" t="s">
        <v>173</v>
      </c>
      <c r="AS355" t="s">
        <v>173</v>
      </c>
      <c r="AT355" t="s">
        <v>173</v>
      </c>
      <c r="AU355" t="s">
        <v>173</v>
      </c>
      <c r="AV355" t="s">
        <v>175</v>
      </c>
      <c r="AW355" t="s">
        <v>175</v>
      </c>
      <c r="AX355" t="s">
        <v>192</v>
      </c>
      <c r="AY355" t="s">
        <v>196</v>
      </c>
      <c r="AZ355" t="s">
        <v>183</v>
      </c>
      <c r="BA355" t="s">
        <v>183</v>
      </c>
      <c r="BB355" t="s">
        <v>183</v>
      </c>
      <c r="BC355" t="s">
        <v>183</v>
      </c>
      <c r="BD355" t="s">
        <v>183</v>
      </c>
    </row>
    <row r="356" hidden="1" spans="1:56">
      <c r="A356">
        <v>355</v>
      </c>
      <c r="B356" t="s">
        <v>269</v>
      </c>
      <c r="C356">
        <v>2023</v>
      </c>
      <c r="D356">
        <v>2016</v>
      </c>
      <c r="E356">
        <v>2016</v>
      </c>
      <c r="F356" t="s">
        <v>256</v>
      </c>
      <c r="G356" t="s">
        <v>263</v>
      </c>
      <c r="H356" t="s">
        <v>274</v>
      </c>
      <c r="I356"/>
      <c r="J356" t="s">
        <v>252</v>
      </c>
      <c r="K356" t="b">
        <v>0</v>
      </c>
      <c r="L356" t="b">
        <v>1</v>
      </c>
      <c r="M356" t="b">
        <v>0</v>
      </c>
      <c r="N356" t="b">
        <v>0</v>
      </c>
      <c r="O356" t="b">
        <v>0</v>
      </c>
      <c r="P356" t="b">
        <v>0</v>
      </c>
      <c r="Q356" t="b">
        <v>0</v>
      </c>
      <c r="R356" t="b">
        <v>0</v>
      </c>
      <c r="S356" t="b">
        <v>0</v>
      </c>
      <c r="T356" t="b">
        <v>0</v>
      </c>
      <c r="U356" t="b">
        <v>0</v>
      </c>
      <c r="V356" t="b">
        <v>1</v>
      </c>
      <c r="W356" t="b">
        <v>0</v>
      </c>
      <c r="X356" t="b">
        <v>0</v>
      </c>
      <c r="Y356" t="b">
        <v>0</v>
      </c>
      <c r="Z356" t="b">
        <v>0</v>
      </c>
      <c r="AA356" t="b">
        <v>1</v>
      </c>
      <c r="AB356" t="b">
        <v>0</v>
      </c>
      <c r="AC356" t="s">
        <v>173</v>
      </c>
      <c r="AD356" t="s">
        <v>173</v>
      </c>
      <c r="AE356" t="s">
        <v>175</v>
      </c>
      <c r="AF356" t="s">
        <v>173</v>
      </c>
      <c r="AG356" t="s">
        <v>173</v>
      </c>
      <c r="AH356" t="s">
        <v>173</v>
      </c>
      <c r="AI356" t="s">
        <v>173</v>
      </c>
      <c r="AJ356" t="s">
        <v>175</v>
      </c>
      <c r="AK356" t="s">
        <v>171</v>
      </c>
      <c r="AL356" t="s">
        <v>171</v>
      </c>
      <c r="AM356" t="s">
        <v>173</v>
      </c>
      <c r="AN356" t="s">
        <v>171</v>
      </c>
      <c r="AO356" t="s">
        <v>175</v>
      </c>
      <c r="AP356" t="s">
        <v>175</v>
      </c>
      <c r="AQ356" t="s">
        <v>175</v>
      </c>
      <c r="AR356" t="s">
        <v>173</v>
      </c>
      <c r="AS356" t="s">
        <v>173</v>
      </c>
      <c r="AT356" t="s">
        <v>173</v>
      </c>
      <c r="AU356" t="s">
        <v>173</v>
      </c>
      <c r="AV356" t="s">
        <v>173</v>
      </c>
      <c r="AW356" t="s">
        <v>173</v>
      </c>
      <c r="AX356" t="s">
        <v>193</v>
      </c>
      <c r="AY356" t="s">
        <v>200</v>
      </c>
      <c r="AZ356" t="s">
        <v>183</v>
      </c>
      <c r="BA356" t="s">
        <v>183</v>
      </c>
      <c r="BB356" t="s">
        <v>183</v>
      </c>
      <c r="BC356" t="s">
        <v>183</v>
      </c>
      <c r="BD356" t="s">
        <v>183</v>
      </c>
    </row>
    <row r="357" hidden="1" spans="1:56">
      <c r="A357">
        <v>356</v>
      </c>
      <c r="B357" t="s">
        <v>255</v>
      </c>
      <c r="C357">
        <v>2023</v>
      </c>
      <c r="D357">
        <v>2001</v>
      </c>
      <c r="E357">
        <v>2001</v>
      </c>
      <c r="F357" t="s">
        <v>266</v>
      </c>
      <c r="G357"/>
      <c r="H357" t="s">
        <v>247</v>
      </c>
      <c r="I357"/>
      <c r="J357" t="s">
        <v>265</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1</v>
      </c>
      <c r="AC357" t="s">
        <v>173</v>
      </c>
      <c r="AD357" t="s">
        <v>175</v>
      </c>
      <c r="AE357" t="s">
        <v>175</v>
      </c>
      <c r="AF357" t="s">
        <v>173</v>
      </c>
      <c r="AG357" t="s">
        <v>175</v>
      </c>
      <c r="AH357" t="s">
        <v>173</v>
      </c>
      <c r="AI357" t="s">
        <v>175</v>
      </c>
      <c r="AJ357" t="s">
        <v>175</v>
      </c>
      <c r="AK357" t="s">
        <v>173</v>
      </c>
      <c r="AL357" t="s">
        <v>173</v>
      </c>
      <c r="AM357" t="s">
        <v>173</v>
      </c>
      <c r="AN357" t="s">
        <v>173</v>
      </c>
      <c r="AO357" t="s">
        <v>173</v>
      </c>
      <c r="AP357" t="s">
        <v>173</v>
      </c>
      <c r="AQ357" t="s">
        <v>175</v>
      </c>
      <c r="AR357" t="s">
        <v>175</v>
      </c>
      <c r="AS357" t="s">
        <v>173</v>
      </c>
      <c r="AT357" t="s">
        <v>173</v>
      </c>
      <c r="AU357" t="s">
        <v>175</v>
      </c>
      <c r="AV357" t="s">
        <v>175</v>
      </c>
      <c r="AW357" t="s">
        <v>175</v>
      </c>
      <c r="AX357" t="s">
        <v>192</v>
      </c>
      <c r="AY357" t="s">
        <v>196</v>
      </c>
      <c r="AZ357" t="s">
        <v>183</v>
      </c>
      <c r="BA357" t="s">
        <v>183</v>
      </c>
      <c r="BB357" t="s">
        <v>183</v>
      </c>
      <c r="BC357" t="s">
        <v>183</v>
      </c>
      <c r="BD357" t="s">
        <v>183</v>
      </c>
    </row>
    <row r="358" hidden="1" spans="1:56">
      <c r="A358">
        <v>357</v>
      </c>
      <c r="B358" t="s">
        <v>272</v>
      </c>
      <c r="C358">
        <v>2023</v>
      </c>
      <c r="D358">
        <v>2012</v>
      </c>
      <c r="E358">
        <v>2020</v>
      </c>
      <c r="F358" t="s">
        <v>256</v>
      </c>
      <c r="G358" t="s">
        <v>263</v>
      </c>
      <c r="H358" t="s">
        <v>268</v>
      </c>
      <c r="I358"/>
      <c r="J358" t="s">
        <v>265</v>
      </c>
      <c r="K358" t="b">
        <v>0</v>
      </c>
      <c r="L358" t="b">
        <v>0</v>
      </c>
      <c r="M358" t="b">
        <v>0</v>
      </c>
      <c r="N358" t="b">
        <v>0</v>
      </c>
      <c r="O358" t="b">
        <v>0</v>
      </c>
      <c r="P358" t="b">
        <v>0</v>
      </c>
      <c r="Q358" t="b">
        <v>0</v>
      </c>
      <c r="R358" t="b">
        <v>0</v>
      </c>
      <c r="S358" t="b">
        <v>0</v>
      </c>
      <c r="T358" t="b">
        <v>0</v>
      </c>
      <c r="U358" t="b">
        <v>0</v>
      </c>
      <c r="V358" t="b">
        <v>0</v>
      </c>
      <c r="W358" t="b">
        <v>1</v>
      </c>
      <c r="X358" t="b">
        <v>0</v>
      </c>
      <c r="Y358" t="b">
        <v>0</v>
      </c>
      <c r="Z358" t="b">
        <v>0</v>
      </c>
      <c r="AA358" t="b">
        <v>0</v>
      </c>
      <c r="AB358" t="b">
        <v>0</v>
      </c>
      <c r="AC358" t="s">
        <v>171</v>
      </c>
      <c r="AD358" t="s">
        <v>171</v>
      </c>
      <c r="AE358" t="s">
        <v>173</v>
      </c>
      <c r="AF358" t="s">
        <v>171</v>
      </c>
      <c r="AG358" t="s">
        <v>171</v>
      </c>
      <c r="AH358" t="s">
        <v>173</v>
      </c>
      <c r="AI358" t="s">
        <v>173</v>
      </c>
      <c r="AJ358" t="s">
        <v>171</v>
      </c>
      <c r="AK358" t="s">
        <v>171</v>
      </c>
      <c r="AL358" t="s">
        <v>171</v>
      </c>
      <c r="AM358" t="s">
        <v>171</v>
      </c>
      <c r="AN358" t="s">
        <v>171</v>
      </c>
      <c r="AO358" t="s">
        <v>171</v>
      </c>
      <c r="AP358" t="s">
        <v>171</v>
      </c>
      <c r="AQ358" t="s">
        <v>171</v>
      </c>
      <c r="AR358" t="s">
        <v>171</v>
      </c>
      <c r="AS358" t="s">
        <v>171</v>
      </c>
      <c r="AT358" t="s">
        <v>171</v>
      </c>
      <c r="AU358" t="s">
        <v>171</v>
      </c>
      <c r="AV358" t="s">
        <v>173</v>
      </c>
      <c r="AW358" t="s">
        <v>173</v>
      </c>
      <c r="AX358" t="s">
        <v>192</v>
      </c>
      <c r="AY358" t="s">
        <v>203</v>
      </c>
      <c r="AZ358" t="s">
        <v>183</v>
      </c>
      <c r="BA358" t="s">
        <v>183</v>
      </c>
      <c r="BB358" t="s">
        <v>183</v>
      </c>
      <c r="BC358" t="s">
        <v>183</v>
      </c>
      <c r="BD358" t="s">
        <v>183</v>
      </c>
    </row>
    <row r="359" hidden="1" spans="1:56">
      <c r="A359">
        <v>358</v>
      </c>
      <c r="B359" t="s">
        <v>259</v>
      </c>
      <c r="C359">
        <v>2023</v>
      </c>
      <c r="D359">
        <v>1987</v>
      </c>
      <c r="E359">
        <v>2015</v>
      </c>
      <c r="F359" t="s">
        <v>260</v>
      </c>
      <c r="G359"/>
      <c r="H359" t="s">
        <v>268</v>
      </c>
      <c r="I359"/>
      <c r="J359" t="s">
        <v>252</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1</v>
      </c>
      <c r="AC359" t="s">
        <v>171</v>
      </c>
      <c r="AD359" t="s">
        <v>171</v>
      </c>
      <c r="AE359" t="s">
        <v>171</v>
      </c>
      <c r="AF359" t="s">
        <v>171</v>
      </c>
      <c r="AG359" t="s">
        <v>173</v>
      </c>
      <c r="AH359" t="s">
        <v>171</v>
      </c>
      <c r="AI359" t="s">
        <v>171</v>
      </c>
      <c r="AJ359" t="s">
        <v>171</v>
      </c>
      <c r="AK359" t="s">
        <v>171</v>
      </c>
      <c r="AL359" t="s">
        <v>171</v>
      </c>
      <c r="AM359" t="s">
        <v>171</v>
      </c>
      <c r="AN359" t="s">
        <v>171</v>
      </c>
      <c r="AO359" t="s">
        <v>171</v>
      </c>
      <c r="AP359" t="s">
        <v>171</v>
      </c>
      <c r="AQ359" t="s">
        <v>171</v>
      </c>
      <c r="AR359" t="s">
        <v>171</v>
      </c>
      <c r="AS359" t="s">
        <v>171</v>
      </c>
      <c r="AT359" t="s">
        <v>171</v>
      </c>
      <c r="AU359" t="s">
        <v>171</v>
      </c>
      <c r="AV359" t="s">
        <v>175</v>
      </c>
      <c r="AW359" t="s">
        <v>171</v>
      </c>
      <c r="AX359" t="s">
        <v>193</v>
      </c>
      <c r="AY359" t="s">
        <v>196</v>
      </c>
      <c r="AZ359" t="s">
        <v>183</v>
      </c>
      <c r="BA359" t="s">
        <v>183</v>
      </c>
      <c r="BB359" t="s">
        <v>183</v>
      </c>
      <c r="BC359" t="s">
        <v>183</v>
      </c>
      <c r="BD359" t="s">
        <v>183</v>
      </c>
    </row>
    <row r="360" hidden="1" spans="1:56">
      <c r="A360">
        <v>359</v>
      </c>
      <c r="B360" t="s">
        <v>259</v>
      </c>
      <c r="C360">
        <v>2023</v>
      </c>
      <c r="D360">
        <v>1984</v>
      </c>
      <c r="E360">
        <v>1984</v>
      </c>
      <c r="F360" t="s">
        <v>256</v>
      </c>
      <c r="G360" t="s">
        <v>263</v>
      </c>
      <c r="H360" t="s">
        <v>274</v>
      </c>
      <c r="I360"/>
      <c r="J360" t="s">
        <v>252</v>
      </c>
      <c r="K360" t="b">
        <v>0</v>
      </c>
      <c r="L360" t="b">
        <v>0</v>
      </c>
      <c r="M360" t="b">
        <v>0</v>
      </c>
      <c r="N360" t="b">
        <v>0</v>
      </c>
      <c r="O360" t="b">
        <v>0</v>
      </c>
      <c r="P360" t="b">
        <v>0</v>
      </c>
      <c r="Q360" t="b">
        <v>0</v>
      </c>
      <c r="R360" t="b">
        <v>0</v>
      </c>
      <c r="S360" t="b">
        <v>0</v>
      </c>
      <c r="T360" t="b">
        <v>0</v>
      </c>
      <c r="U360" t="b">
        <v>0</v>
      </c>
      <c r="V360" t="b">
        <v>0</v>
      </c>
      <c r="W360" t="b">
        <v>0</v>
      </c>
      <c r="X360" t="b">
        <v>0</v>
      </c>
      <c r="Y360" t="b">
        <v>0</v>
      </c>
      <c r="Z360" t="b">
        <v>1</v>
      </c>
      <c r="AA360" t="b">
        <v>0</v>
      </c>
      <c r="AB360" t="b">
        <v>0</v>
      </c>
      <c r="AC360" t="s">
        <v>173</v>
      </c>
      <c r="AD360" t="s">
        <v>175</v>
      </c>
      <c r="AE360" t="s">
        <v>177</v>
      </c>
      <c r="AF360" t="s">
        <v>177</v>
      </c>
      <c r="AG360" t="s">
        <v>177</v>
      </c>
      <c r="AH360" t="s">
        <v>177</v>
      </c>
      <c r="AI360" t="s">
        <v>177</v>
      </c>
      <c r="AJ360" t="s">
        <v>181</v>
      </c>
      <c r="AK360" t="s">
        <v>173</v>
      </c>
      <c r="AL360" t="s">
        <v>173</v>
      </c>
      <c r="AM360" t="s">
        <v>177</v>
      </c>
      <c r="AN360" t="s">
        <v>173</v>
      </c>
      <c r="AO360" t="s">
        <v>175</v>
      </c>
      <c r="AP360" t="s">
        <v>173</v>
      </c>
      <c r="AQ360" t="s">
        <v>173</v>
      </c>
      <c r="AR360" t="s">
        <v>173</v>
      </c>
      <c r="AS360" t="s">
        <v>173</v>
      </c>
      <c r="AT360" t="s">
        <v>173</v>
      </c>
      <c r="AU360" t="s">
        <v>173</v>
      </c>
      <c r="AV360" t="s">
        <v>175</v>
      </c>
      <c r="AW360" t="s">
        <v>173</v>
      </c>
      <c r="AX360" t="s">
        <v>192</v>
      </c>
      <c r="AY360" t="s">
        <v>196</v>
      </c>
      <c r="AZ360" t="s">
        <v>183</v>
      </c>
      <c r="BA360" t="s">
        <v>183</v>
      </c>
      <c r="BB360" t="s">
        <v>183</v>
      </c>
      <c r="BC360" t="s">
        <v>183</v>
      </c>
      <c r="BD360" t="s">
        <v>183</v>
      </c>
    </row>
    <row r="361" hidden="1" spans="1:56">
      <c r="A361">
        <v>360</v>
      </c>
      <c r="B361" t="s">
        <v>259</v>
      </c>
      <c r="C361">
        <v>2023</v>
      </c>
      <c r="D361">
        <v>1999</v>
      </c>
      <c r="E361">
        <v>1999</v>
      </c>
      <c r="F361" t="s">
        <v>248</v>
      </c>
      <c r="G361" t="s">
        <v>242</v>
      </c>
      <c r="H361" t="s">
        <v>264</v>
      </c>
      <c r="I361"/>
      <c r="J361" t="s">
        <v>265</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1</v>
      </c>
      <c r="AC361" t="s">
        <v>171</v>
      </c>
      <c r="AD361" t="s">
        <v>183</v>
      </c>
      <c r="AE361" t="s">
        <v>171</v>
      </c>
      <c r="AF361" t="s">
        <v>183</v>
      </c>
      <c r="AG361" t="s">
        <v>171</v>
      </c>
      <c r="AH361" t="s">
        <v>177</v>
      </c>
      <c r="AI361" t="s">
        <v>177</v>
      </c>
      <c r="AJ361" t="s">
        <v>171</v>
      </c>
      <c r="AK361" t="s">
        <v>171</v>
      </c>
      <c r="AL361" t="s">
        <v>171</v>
      </c>
      <c r="AM361" t="s">
        <v>171</v>
      </c>
      <c r="AN361" t="s">
        <v>183</v>
      </c>
      <c r="AO361" t="s">
        <v>183</v>
      </c>
      <c r="AP361" t="s">
        <v>177</v>
      </c>
      <c r="AQ361" t="s">
        <v>173</v>
      </c>
      <c r="AR361" t="s">
        <v>171</v>
      </c>
      <c r="AS361" t="s">
        <v>173</v>
      </c>
      <c r="AT361" t="s">
        <v>173</v>
      </c>
      <c r="AU361" t="s">
        <v>173</v>
      </c>
      <c r="AV361" t="s">
        <v>177</v>
      </c>
      <c r="AW361" t="s">
        <v>173</v>
      </c>
      <c r="AX361" t="s">
        <v>192</v>
      </c>
      <c r="AY361" t="s">
        <v>195</v>
      </c>
      <c r="AZ361" t="s">
        <v>183</v>
      </c>
      <c r="BA361" t="s">
        <v>183</v>
      </c>
      <c r="BB361" t="s">
        <v>183</v>
      </c>
      <c r="BC361" t="s">
        <v>183</v>
      </c>
      <c r="BD361" t="s">
        <v>183</v>
      </c>
    </row>
    <row r="362" hidden="1" spans="1:56">
      <c r="A362">
        <v>361</v>
      </c>
      <c r="B362" t="s">
        <v>288</v>
      </c>
      <c r="C362">
        <v>2022</v>
      </c>
      <c r="D362">
        <v>2015</v>
      </c>
      <c r="E362">
        <v>2021</v>
      </c>
      <c r="F362" t="s">
        <v>266</v>
      </c>
      <c r="G362"/>
      <c r="H362" t="s">
        <v>261</v>
      </c>
      <c r="I362"/>
      <c r="J362" t="s">
        <v>281</v>
      </c>
      <c r="K362" t="b">
        <v>0</v>
      </c>
      <c r="L362" t="b">
        <v>0</v>
      </c>
      <c r="M362" t="b">
        <v>0</v>
      </c>
      <c r="N362" t="b">
        <v>0</v>
      </c>
      <c r="O362" t="b">
        <v>0</v>
      </c>
      <c r="P362" t="b">
        <v>0</v>
      </c>
      <c r="Q362" t="b">
        <v>0</v>
      </c>
      <c r="R362" t="b">
        <v>1</v>
      </c>
      <c r="S362" t="b">
        <v>0</v>
      </c>
      <c r="T362" t="b">
        <v>0</v>
      </c>
      <c r="U362" t="b">
        <v>0</v>
      </c>
      <c r="V362" t="b">
        <v>0</v>
      </c>
      <c r="W362" t="b">
        <v>0</v>
      </c>
      <c r="X362" t="b">
        <v>0</v>
      </c>
      <c r="Y362" t="b">
        <v>0</v>
      </c>
      <c r="Z362" t="b">
        <v>0</v>
      </c>
      <c r="AA362" t="b">
        <v>0</v>
      </c>
      <c r="AB362" t="b">
        <v>0</v>
      </c>
      <c r="AC362" t="s">
        <v>183</v>
      </c>
      <c r="AD362" t="s">
        <v>183</v>
      </c>
      <c r="AE362" t="s">
        <v>171</v>
      </c>
      <c r="AF362" t="s">
        <v>183</v>
      </c>
      <c r="AG362" t="s">
        <v>171</v>
      </c>
      <c r="AH362" t="s">
        <v>171</v>
      </c>
      <c r="AI362" t="s">
        <v>171</v>
      </c>
      <c r="AJ362" t="s">
        <v>173</v>
      </c>
      <c r="AK362" t="s">
        <v>171</v>
      </c>
      <c r="AL362" t="s">
        <v>171</v>
      </c>
      <c r="AM362" t="s">
        <v>171</v>
      </c>
      <c r="AN362" t="s">
        <v>173</v>
      </c>
      <c r="AO362" t="s">
        <v>183</v>
      </c>
      <c r="AP362" t="s">
        <v>171</v>
      </c>
      <c r="AQ362" t="s">
        <v>183</v>
      </c>
      <c r="AR362" t="s">
        <v>175</v>
      </c>
      <c r="AS362" t="s">
        <v>173</v>
      </c>
      <c r="AT362" t="s">
        <v>171</v>
      </c>
      <c r="AU362" t="s">
        <v>183</v>
      </c>
      <c r="AV362" t="s">
        <v>183</v>
      </c>
      <c r="AW362" t="s">
        <v>183</v>
      </c>
      <c r="AX362" t="s">
        <v>192</v>
      </c>
      <c r="AY362" t="s">
        <v>198</v>
      </c>
      <c r="AZ362" t="s">
        <v>183</v>
      </c>
      <c r="BA362" t="s">
        <v>183</v>
      </c>
      <c r="BB362" t="s">
        <v>183</v>
      </c>
      <c r="BC362" t="s">
        <v>183</v>
      </c>
      <c r="BD362" t="s">
        <v>183</v>
      </c>
    </row>
    <row r="363" hidden="1" spans="1:56">
      <c r="A363">
        <v>362</v>
      </c>
      <c r="B363" t="s">
        <v>259</v>
      </c>
      <c r="C363">
        <v>2023</v>
      </c>
      <c r="D363">
        <v>1984</v>
      </c>
      <c r="E363">
        <v>1990</v>
      </c>
      <c r="F363" t="s">
        <v>256</v>
      </c>
      <c r="G363" t="s">
        <v>263</v>
      </c>
      <c r="H363" t="s">
        <v>247</v>
      </c>
      <c r="I363"/>
      <c r="J363" t="s">
        <v>252</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1</v>
      </c>
      <c r="AC363" t="s">
        <v>171</v>
      </c>
      <c r="AD363" t="s">
        <v>173</v>
      </c>
      <c r="AE363" t="s">
        <v>173</v>
      </c>
      <c r="AF363" t="s">
        <v>173</v>
      </c>
      <c r="AG363" t="s">
        <v>173</v>
      </c>
      <c r="AH363" t="s">
        <v>177</v>
      </c>
      <c r="AI363" t="s">
        <v>173</v>
      </c>
      <c r="AJ363" t="s">
        <v>173</v>
      </c>
      <c r="AK363" t="s">
        <v>171</v>
      </c>
      <c r="AL363" t="s">
        <v>173</v>
      </c>
      <c r="AM363" t="s">
        <v>173</v>
      </c>
      <c r="AN363" t="s">
        <v>173</v>
      </c>
      <c r="AO363" t="s">
        <v>175</v>
      </c>
      <c r="AP363" t="s">
        <v>173</v>
      </c>
      <c r="AQ363" t="s">
        <v>173</v>
      </c>
      <c r="AR363" t="s">
        <v>173</v>
      </c>
      <c r="AS363" t="s">
        <v>173</v>
      </c>
      <c r="AT363" t="s">
        <v>173</v>
      </c>
      <c r="AU363" t="s">
        <v>173</v>
      </c>
      <c r="AV363" t="s">
        <v>175</v>
      </c>
      <c r="AW363" t="s">
        <v>173</v>
      </c>
      <c r="AX363" t="s">
        <v>192</v>
      </c>
      <c r="AY363" t="s">
        <v>196</v>
      </c>
      <c r="AZ363" t="s">
        <v>183</v>
      </c>
      <c r="BA363" t="s">
        <v>183</v>
      </c>
      <c r="BB363" t="s">
        <v>183</v>
      </c>
      <c r="BC363" t="s">
        <v>183</v>
      </c>
      <c r="BD363" t="s">
        <v>183</v>
      </c>
    </row>
    <row r="364" hidden="1" spans="1:56">
      <c r="A364">
        <v>363</v>
      </c>
      <c r="B364" t="s">
        <v>259</v>
      </c>
      <c r="C364">
        <v>2023</v>
      </c>
      <c r="D364">
        <v>2003</v>
      </c>
      <c r="E364">
        <v>2007</v>
      </c>
      <c r="F364" t="s">
        <v>256</v>
      </c>
      <c r="G364" t="s">
        <v>257</v>
      </c>
      <c r="H364" t="s">
        <v>268</v>
      </c>
      <c r="I364"/>
      <c r="J364" t="s">
        <v>265</v>
      </c>
      <c r="K364" t="b">
        <v>0</v>
      </c>
      <c r="L364" t="b">
        <v>0</v>
      </c>
      <c r="M364" t="b">
        <v>0</v>
      </c>
      <c r="N364" t="b">
        <v>0</v>
      </c>
      <c r="O364" t="b">
        <v>0</v>
      </c>
      <c r="P364" t="b">
        <v>0</v>
      </c>
      <c r="Q364" t="b">
        <v>0</v>
      </c>
      <c r="R364" t="b">
        <v>0</v>
      </c>
      <c r="S364" t="b">
        <v>0</v>
      </c>
      <c r="T364" t="b">
        <v>0</v>
      </c>
      <c r="U364" t="b">
        <v>0</v>
      </c>
      <c r="V364" t="b">
        <v>0</v>
      </c>
      <c r="W364" t="b">
        <v>0</v>
      </c>
      <c r="X364" t="b">
        <v>0</v>
      </c>
      <c r="Y364" t="b">
        <v>0</v>
      </c>
      <c r="Z364" t="b">
        <v>1</v>
      </c>
      <c r="AA364" t="b">
        <v>1</v>
      </c>
      <c r="AB364" t="b">
        <v>0</v>
      </c>
      <c r="AC364" t="s">
        <v>173</v>
      </c>
      <c r="AD364" t="s">
        <v>175</v>
      </c>
      <c r="AE364" t="s">
        <v>173</v>
      </c>
      <c r="AF364" t="s">
        <v>173</v>
      </c>
      <c r="AG364" t="s">
        <v>177</v>
      </c>
      <c r="AH364" t="s">
        <v>177</v>
      </c>
      <c r="AI364" t="s">
        <v>177</v>
      </c>
      <c r="AJ364" t="s">
        <v>177</v>
      </c>
      <c r="AK364" t="s">
        <v>173</v>
      </c>
      <c r="AL364" t="s">
        <v>173</v>
      </c>
      <c r="AM364" t="s">
        <v>173</v>
      </c>
      <c r="AN364" t="s">
        <v>177</v>
      </c>
      <c r="AO364" t="s">
        <v>183</v>
      </c>
      <c r="AP364" t="s">
        <v>183</v>
      </c>
      <c r="AQ364" t="s">
        <v>183</v>
      </c>
      <c r="AR364" t="s">
        <v>177</v>
      </c>
      <c r="AS364" t="s">
        <v>173</v>
      </c>
      <c r="AT364" t="s">
        <v>173</v>
      </c>
      <c r="AU364" t="s">
        <v>173</v>
      </c>
      <c r="AV364" t="s">
        <v>175</v>
      </c>
      <c r="AW364" t="s">
        <v>177</v>
      </c>
      <c r="AX364" t="s">
        <v>192</v>
      </c>
      <c r="AY364" t="s">
        <v>196</v>
      </c>
      <c r="AZ364" t="s">
        <v>183</v>
      </c>
      <c r="BA364" t="s">
        <v>183</v>
      </c>
      <c r="BB364" t="s">
        <v>183</v>
      </c>
      <c r="BC364" t="s">
        <v>183</v>
      </c>
      <c r="BD364" t="s">
        <v>183</v>
      </c>
    </row>
    <row r="365" spans="1:65">
      <c r="A365">
        <v>364</v>
      </c>
      <c r="B365" t="s">
        <v>270</v>
      </c>
      <c r="C365" s="10">
        <v>2023</v>
      </c>
      <c r="D365" s="10">
        <v>1993</v>
      </c>
      <c r="E365" s="10">
        <v>2015</v>
      </c>
      <c r="F365" s="10" t="s">
        <v>241</v>
      </c>
      <c r="G365" s="10" t="s">
        <v>301</v>
      </c>
      <c r="H365" s="10" t="s">
        <v>243</v>
      </c>
      <c r="I365" s="10" t="s">
        <v>312</v>
      </c>
      <c r="J365" s="10" t="s">
        <v>245</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1</v>
      </c>
      <c r="AC365" s="10" t="s">
        <v>175</v>
      </c>
      <c r="AD365" t="s">
        <v>173</v>
      </c>
      <c r="AE365" t="s">
        <v>173</v>
      </c>
      <c r="AF365" t="s">
        <v>175</v>
      </c>
      <c r="AG365" t="s">
        <v>171</v>
      </c>
      <c r="AH365" t="s">
        <v>175</v>
      </c>
      <c r="AI365" t="s">
        <v>173</v>
      </c>
      <c r="AJ365" t="s">
        <v>173</v>
      </c>
      <c r="AK365" t="s">
        <v>173</v>
      </c>
      <c r="AL365" t="s">
        <v>171</v>
      </c>
      <c r="AM365" t="s">
        <v>173</v>
      </c>
      <c r="AN365" t="s">
        <v>173</v>
      </c>
      <c r="AO365" t="s">
        <v>175</v>
      </c>
      <c r="AP365" t="s">
        <v>177</v>
      </c>
      <c r="AQ365" t="s">
        <v>175</v>
      </c>
      <c r="AR365" t="s">
        <v>175</v>
      </c>
      <c r="AS365" t="s">
        <v>173</v>
      </c>
      <c r="AT365" t="s">
        <v>173</v>
      </c>
      <c r="AU365" t="s">
        <v>173</v>
      </c>
      <c r="AV365" t="s">
        <v>173</v>
      </c>
      <c r="AW365" t="s">
        <v>173</v>
      </c>
      <c r="AX365" t="s">
        <v>193</v>
      </c>
      <c r="AY365" t="s">
        <v>204</v>
      </c>
      <c r="AZ365" t="s">
        <v>207</v>
      </c>
      <c r="BA365" t="s">
        <v>207</v>
      </c>
      <c r="BB365" t="s">
        <v>207</v>
      </c>
      <c r="BC365" t="s">
        <v>207</v>
      </c>
      <c r="BD365" t="s">
        <v>207</v>
      </c>
      <c r="BE365" t="str">
        <f>IF(AY365="","Unknown",AY365)</f>
        <v>61Not StatedorNot Statedolder</v>
      </c>
      <c r="BF365" s="11" t="str">
        <f>IF(AZ365="","unknown",AZ365)</f>
        <v>NO</v>
      </c>
      <c r="BG365" s="11" t="str">
        <f>IF(BA365="","UNKNOWN",BA365)</f>
        <v>NO</v>
      </c>
      <c r="BH365" s="11" t="str">
        <f>IF(BB365="","unknown",BB365)</f>
        <v>NO</v>
      </c>
      <c r="BI365" s="11" t="str">
        <f>IF(BC365="","Unknon",BC365)</f>
        <v>NO</v>
      </c>
      <c r="BJ365" s="11" t="str">
        <f>IF(BD365="","Unknown",BD365)</f>
        <v>NO</v>
      </c>
      <c r="BK365" s="11">
        <f>VALUE(C365)-VALUE(D365)</f>
        <v>30</v>
      </c>
      <c r="BM365" s="11"/>
    </row>
    <row r="366" hidden="1" spans="1:56">
      <c r="A366">
        <v>365</v>
      </c>
      <c r="B366" t="s">
        <v>282</v>
      </c>
      <c r="C366">
        <v>2022</v>
      </c>
      <c r="D366" t="s">
        <v>247</v>
      </c>
      <c r="E366" t="s">
        <v>247</v>
      </c>
      <c r="F366" t="s">
        <v>256</v>
      </c>
      <c r="G366" t="s">
        <v>257</v>
      </c>
      <c r="H366" t="s">
        <v>247</v>
      </c>
      <c r="I366"/>
      <c r="J366" t="s">
        <v>252</v>
      </c>
      <c r="K366" t="b">
        <v>0</v>
      </c>
      <c r="L366" t="b">
        <v>0</v>
      </c>
      <c r="M366" t="b">
        <v>0</v>
      </c>
      <c r="N366" t="b">
        <v>0</v>
      </c>
      <c r="O366" t="b">
        <v>0</v>
      </c>
      <c r="P366" t="b">
        <v>0</v>
      </c>
      <c r="Q366" t="b">
        <v>0</v>
      </c>
      <c r="R366" t="b">
        <v>0</v>
      </c>
      <c r="S366" t="b">
        <v>0</v>
      </c>
      <c r="T366" t="b">
        <v>0</v>
      </c>
      <c r="U366" t="b">
        <v>0</v>
      </c>
      <c r="V366" t="b">
        <v>0</v>
      </c>
      <c r="W366" t="b">
        <v>0</v>
      </c>
      <c r="X366" t="b">
        <v>1</v>
      </c>
      <c r="Y366" t="b">
        <v>0</v>
      </c>
      <c r="Z366" t="b">
        <v>0</v>
      </c>
      <c r="AA366" t="b">
        <v>0</v>
      </c>
      <c r="AB366" t="b">
        <v>0</v>
      </c>
      <c r="AC366" t="s">
        <v>181</v>
      </c>
      <c r="AD366" t="s">
        <v>181</v>
      </c>
      <c r="AE366" t="s">
        <v>181</v>
      </c>
      <c r="AF366" t="s">
        <v>181</v>
      </c>
      <c r="AG366" t="s">
        <v>181</v>
      </c>
      <c r="AH366" t="s">
        <v>181</v>
      </c>
      <c r="AI366" t="s">
        <v>181</v>
      </c>
      <c r="AJ366" t="s">
        <v>181</v>
      </c>
      <c r="AK366" t="s">
        <v>181</v>
      </c>
      <c r="AL366" t="s">
        <v>181</v>
      </c>
      <c r="AM366" t="s">
        <v>181</v>
      </c>
      <c r="AN366" t="s">
        <v>181</v>
      </c>
      <c r="AO366" t="s">
        <v>181</v>
      </c>
      <c r="AP366" t="s">
        <v>181</v>
      </c>
      <c r="AQ366" t="s">
        <v>181</v>
      </c>
      <c r="AR366" t="s">
        <v>181</v>
      </c>
      <c r="AS366" t="s">
        <v>181</v>
      </c>
      <c r="AT366" t="s">
        <v>181</v>
      </c>
      <c r="AU366" t="s">
        <v>181</v>
      </c>
      <c r="AV366" t="s">
        <v>181</v>
      </c>
      <c r="AW366" t="s">
        <v>181</v>
      </c>
      <c r="AX366" t="s">
        <v>193</v>
      </c>
      <c r="AY366" t="s">
        <v>198</v>
      </c>
      <c r="AZ366" t="s">
        <v>183</v>
      </c>
      <c r="BA366" t="s">
        <v>183</v>
      </c>
      <c r="BB366" t="s">
        <v>183</v>
      </c>
      <c r="BC366" t="s">
        <v>208</v>
      </c>
      <c r="BD366" t="s">
        <v>183</v>
      </c>
    </row>
    <row r="367" hidden="1" spans="1:51">
      <c r="A367">
        <v>366</v>
      </c>
      <c r="B367" t="s">
        <v>255</v>
      </c>
      <c r="C367">
        <v>2022</v>
      </c>
      <c r="D367" t="s">
        <v>247</v>
      </c>
      <c r="E367" t="s">
        <v>247</v>
      </c>
      <c r="F367" t="s">
        <v>256</v>
      </c>
      <c r="G367" t="s">
        <v>263</v>
      </c>
      <c r="H367" t="s">
        <v>274</v>
      </c>
      <c r="I367"/>
      <c r="J367" t="s">
        <v>252</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1</v>
      </c>
      <c r="AC367" t="s">
        <v>181</v>
      </c>
      <c r="AD367" t="s">
        <v>181</v>
      </c>
      <c r="AE367" t="s">
        <v>181</v>
      </c>
      <c r="AF367" t="s">
        <v>181</v>
      </c>
      <c r="AG367" t="s">
        <v>181</v>
      </c>
      <c r="AH367" t="s">
        <v>181</v>
      </c>
      <c r="AI367" t="s">
        <v>181</v>
      </c>
      <c r="AJ367" t="s">
        <v>181</v>
      </c>
      <c r="AK367" t="s">
        <v>181</v>
      </c>
      <c r="AL367" t="s">
        <v>181</v>
      </c>
      <c r="AM367" t="s">
        <v>181</v>
      </c>
      <c r="AN367" t="s">
        <v>181</v>
      </c>
      <c r="AO367" t="s">
        <v>181</v>
      </c>
      <c r="AP367" t="s">
        <v>181</v>
      </c>
      <c r="AQ367" t="s">
        <v>181</v>
      </c>
      <c r="AR367" t="s">
        <v>181</v>
      </c>
      <c r="AS367" t="s">
        <v>181</v>
      </c>
      <c r="AT367" t="s">
        <v>181</v>
      </c>
      <c r="AU367" t="s">
        <v>181</v>
      </c>
      <c r="AV367" t="s">
        <v>181</v>
      </c>
      <c r="AW367" t="s">
        <v>181</v>
      </c>
      <c r="AX367" t="s">
        <v>193</v>
      </c>
      <c r="AY367" t="s">
        <v>200</v>
      </c>
    </row>
    <row r="368" hidden="1" spans="1:56">
      <c r="A368">
        <v>367</v>
      </c>
      <c r="B368" t="s">
        <v>272</v>
      </c>
      <c r="C368">
        <v>2023</v>
      </c>
      <c r="D368">
        <v>2019</v>
      </c>
      <c r="E368">
        <v>2019</v>
      </c>
      <c r="F368" t="s">
        <v>256</v>
      </c>
      <c r="G368" t="s">
        <v>263</v>
      </c>
      <c r="H368" t="s">
        <v>261</v>
      </c>
      <c r="I368"/>
      <c r="J368" t="s">
        <v>252</v>
      </c>
      <c r="K368" t="b">
        <v>0</v>
      </c>
      <c r="L368" t="b">
        <v>1</v>
      </c>
      <c r="M368" t="b">
        <v>0</v>
      </c>
      <c r="N368" t="b">
        <v>0</v>
      </c>
      <c r="O368" t="b">
        <v>0</v>
      </c>
      <c r="P368" t="b">
        <v>0</v>
      </c>
      <c r="Q368" t="b">
        <v>1</v>
      </c>
      <c r="R368" t="b">
        <v>0</v>
      </c>
      <c r="S368" t="b">
        <v>0</v>
      </c>
      <c r="T368" t="b">
        <v>0</v>
      </c>
      <c r="U368" t="b">
        <v>0</v>
      </c>
      <c r="V368" t="b">
        <v>0</v>
      </c>
      <c r="W368" t="b">
        <v>0</v>
      </c>
      <c r="X368" t="b">
        <v>0</v>
      </c>
      <c r="Y368" t="b">
        <v>0</v>
      </c>
      <c r="Z368" t="b">
        <v>0</v>
      </c>
      <c r="AA368" t="b">
        <v>0</v>
      </c>
      <c r="AB368" t="b">
        <v>0</v>
      </c>
      <c r="AC368" t="s">
        <v>173</v>
      </c>
      <c r="AD368" t="s">
        <v>175</v>
      </c>
      <c r="AE368" t="s">
        <v>175</v>
      </c>
      <c r="AF368" t="s">
        <v>177</v>
      </c>
      <c r="AG368" t="s">
        <v>173</v>
      </c>
      <c r="AH368" t="s">
        <v>173</v>
      </c>
      <c r="AI368" t="s">
        <v>175</v>
      </c>
      <c r="AJ368" t="s">
        <v>175</v>
      </c>
      <c r="AK368" t="s">
        <v>173</v>
      </c>
      <c r="AL368" t="s">
        <v>173</v>
      </c>
      <c r="AM368" t="s">
        <v>175</v>
      </c>
      <c r="AN368" t="s">
        <v>173</v>
      </c>
      <c r="AO368" t="s">
        <v>175</v>
      </c>
      <c r="AP368" t="s">
        <v>173</v>
      </c>
      <c r="AQ368" t="s">
        <v>173</v>
      </c>
      <c r="AR368" t="s">
        <v>173</v>
      </c>
      <c r="AS368" t="s">
        <v>175</v>
      </c>
      <c r="AT368" t="s">
        <v>173</v>
      </c>
      <c r="AU368" t="s">
        <v>173</v>
      </c>
      <c r="AV368" t="s">
        <v>177</v>
      </c>
      <c r="AW368" t="s">
        <v>173</v>
      </c>
      <c r="AX368" t="s">
        <v>193</v>
      </c>
      <c r="AY368" t="s">
        <v>202</v>
      </c>
      <c r="AZ368" t="s">
        <v>183</v>
      </c>
      <c r="BA368" t="s">
        <v>183</v>
      </c>
      <c r="BB368" t="s">
        <v>183</v>
      </c>
      <c r="BC368" t="s">
        <v>183</v>
      </c>
      <c r="BD368" t="s">
        <v>183</v>
      </c>
    </row>
    <row r="369" hidden="1" spans="1:56">
      <c r="A369">
        <v>368</v>
      </c>
      <c r="B369" t="s">
        <v>272</v>
      </c>
      <c r="C369">
        <v>2023</v>
      </c>
      <c r="D369">
        <v>2021</v>
      </c>
      <c r="E369">
        <v>2021</v>
      </c>
      <c r="F369" t="s">
        <v>256</v>
      </c>
      <c r="G369" t="s">
        <v>263</v>
      </c>
      <c r="H369" t="s">
        <v>264</v>
      </c>
      <c r="I369"/>
      <c r="J369" t="s">
        <v>252</v>
      </c>
      <c r="K369" t="b">
        <v>0</v>
      </c>
      <c r="L369" t="b">
        <v>0</v>
      </c>
      <c r="M369" t="b">
        <v>0</v>
      </c>
      <c r="N369" t="b">
        <v>0</v>
      </c>
      <c r="O369" t="b">
        <v>0</v>
      </c>
      <c r="P369" t="b">
        <v>0</v>
      </c>
      <c r="Q369" t="b">
        <v>0</v>
      </c>
      <c r="R369" t="b">
        <v>0</v>
      </c>
      <c r="S369" t="b">
        <v>0</v>
      </c>
      <c r="T369" t="b">
        <v>0</v>
      </c>
      <c r="U369" t="b">
        <v>0</v>
      </c>
      <c r="V369" t="b">
        <v>1</v>
      </c>
      <c r="W369" t="b">
        <v>1</v>
      </c>
      <c r="X369" t="b">
        <v>0</v>
      </c>
      <c r="Y369" t="b">
        <v>0</v>
      </c>
      <c r="Z369" t="b">
        <v>1</v>
      </c>
      <c r="AA369" t="b">
        <v>0</v>
      </c>
      <c r="AB369" t="b">
        <v>0</v>
      </c>
      <c r="AC369" t="s">
        <v>173</v>
      </c>
      <c r="AD369" t="s">
        <v>175</v>
      </c>
      <c r="AE369" t="s">
        <v>173</v>
      </c>
      <c r="AF369" t="s">
        <v>175</v>
      </c>
      <c r="AG369" t="s">
        <v>173</v>
      </c>
      <c r="AH369" t="s">
        <v>177</v>
      </c>
      <c r="AI369" t="s">
        <v>173</v>
      </c>
      <c r="AJ369" t="s">
        <v>173</v>
      </c>
      <c r="AK369" t="s">
        <v>171</v>
      </c>
      <c r="AL369" t="s">
        <v>171</v>
      </c>
      <c r="AM369" t="s">
        <v>173</v>
      </c>
      <c r="AN369" t="s">
        <v>173</v>
      </c>
      <c r="AO369" t="s">
        <v>173</v>
      </c>
      <c r="AP369" t="s">
        <v>171</v>
      </c>
      <c r="AQ369" t="s">
        <v>171</v>
      </c>
      <c r="AR369" t="s">
        <v>171</v>
      </c>
      <c r="AS369" t="s">
        <v>171</v>
      </c>
      <c r="AT369" t="s">
        <v>171</v>
      </c>
      <c r="AU369" t="s">
        <v>173</v>
      </c>
      <c r="AV369" t="s">
        <v>173</v>
      </c>
      <c r="AW369" t="s">
        <v>173</v>
      </c>
      <c r="AX369" t="s">
        <v>192</v>
      </c>
      <c r="AY369" t="s">
        <v>202</v>
      </c>
      <c r="AZ369" t="s">
        <v>183</v>
      </c>
      <c r="BA369" t="s">
        <v>183</v>
      </c>
      <c r="BB369" t="s">
        <v>183</v>
      </c>
      <c r="BC369" t="s">
        <v>183</v>
      </c>
      <c r="BD369" t="s">
        <v>183</v>
      </c>
    </row>
    <row r="370" hidden="1" spans="1:56">
      <c r="A370">
        <v>369</v>
      </c>
      <c r="B370" t="s">
        <v>246</v>
      </c>
      <c r="C370">
        <v>2023</v>
      </c>
      <c r="D370">
        <v>2003</v>
      </c>
      <c r="E370">
        <v>2003</v>
      </c>
      <c r="F370" t="s">
        <v>266</v>
      </c>
      <c r="G370"/>
      <c r="H370" t="s">
        <v>273</v>
      </c>
      <c r="I370"/>
      <c r="J370" t="s">
        <v>252</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1</v>
      </c>
      <c r="AC370" t="s">
        <v>173</v>
      </c>
      <c r="AD370" t="s">
        <v>175</v>
      </c>
      <c r="AE370" t="s">
        <v>173</v>
      </c>
      <c r="AF370" t="s">
        <v>173</v>
      </c>
      <c r="AG370" t="s">
        <v>173</v>
      </c>
      <c r="AH370" t="s">
        <v>173</v>
      </c>
      <c r="AI370" t="s">
        <v>173</v>
      </c>
      <c r="AJ370" t="s">
        <v>173</v>
      </c>
      <c r="AK370" t="s">
        <v>173</v>
      </c>
      <c r="AL370" t="s">
        <v>173</v>
      </c>
      <c r="AM370" t="s">
        <v>173</v>
      </c>
      <c r="AN370" t="s">
        <v>175</v>
      </c>
      <c r="AO370" t="s">
        <v>173</v>
      </c>
      <c r="AP370" t="s">
        <v>173</v>
      </c>
      <c r="AQ370" t="s">
        <v>173</v>
      </c>
      <c r="AR370" t="s">
        <v>173</v>
      </c>
      <c r="AS370" t="s">
        <v>175</v>
      </c>
      <c r="AT370" t="s">
        <v>173</v>
      </c>
      <c r="AU370" t="s">
        <v>173</v>
      </c>
      <c r="AV370" t="s">
        <v>173</v>
      </c>
      <c r="AW370" t="s">
        <v>173</v>
      </c>
      <c r="AX370" t="s">
        <v>192</v>
      </c>
      <c r="AY370" t="s">
        <v>197</v>
      </c>
      <c r="AZ370" t="s">
        <v>183</v>
      </c>
      <c r="BA370" t="s">
        <v>183</v>
      </c>
      <c r="BB370" t="s">
        <v>183</v>
      </c>
      <c r="BC370" t="s">
        <v>183</v>
      </c>
      <c r="BD370" t="s">
        <v>183</v>
      </c>
    </row>
    <row r="371" hidden="1" spans="1:56">
      <c r="A371">
        <v>370</v>
      </c>
      <c r="B371" t="s">
        <v>259</v>
      </c>
      <c r="C371">
        <v>2023</v>
      </c>
      <c r="D371">
        <v>1979</v>
      </c>
      <c r="E371">
        <v>1985</v>
      </c>
      <c r="F371" t="s">
        <v>256</v>
      </c>
      <c r="G371" t="s">
        <v>263</v>
      </c>
      <c r="H371" t="s">
        <v>264</v>
      </c>
      <c r="I371"/>
      <c r="J371" t="s">
        <v>252</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1</v>
      </c>
      <c r="AC371" t="s">
        <v>173</v>
      </c>
      <c r="AD371" t="s">
        <v>173</v>
      </c>
      <c r="AE371" t="s">
        <v>175</v>
      </c>
      <c r="AF371" t="s">
        <v>183</v>
      </c>
      <c r="AG371" t="s">
        <v>179</v>
      </c>
      <c r="AH371" t="s">
        <v>179</v>
      </c>
      <c r="AI371" t="s">
        <v>175</v>
      </c>
      <c r="AJ371" t="s">
        <v>175</v>
      </c>
      <c r="AK371" t="s">
        <v>173</v>
      </c>
      <c r="AL371" t="s">
        <v>173</v>
      </c>
      <c r="AM371" t="s">
        <v>175</v>
      </c>
      <c r="AN371" t="s">
        <v>173</v>
      </c>
      <c r="AO371" t="s">
        <v>183</v>
      </c>
      <c r="AP371" t="s">
        <v>173</v>
      </c>
      <c r="AQ371" t="s">
        <v>173</v>
      </c>
      <c r="AR371" t="s">
        <v>175</v>
      </c>
      <c r="AS371" t="s">
        <v>175</v>
      </c>
      <c r="AT371" t="s">
        <v>175</v>
      </c>
      <c r="AU371" t="s">
        <v>175</v>
      </c>
      <c r="AV371" t="s">
        <v>175</v>
      </c>
      <c r="AW371" t="s">
        <v>173</v>
      </c>
      <c r="AX371" t="s">
        <v>193</v>
      </c>
      <c r="AY371" t="s">
        <v>196</v>
      </c>
      <c r="AZ371" t="s">
        <v>183</v>
      </c>
      <c r="BA371" t="s">
        <v>183</v>
      </c>
      <c r="BB371" t="s">
        <v>183</v>
      </c>
      <c r="BC371" t="s">
        <v>183</v>
      </c>
      <c r="BD371" t="s">
        <v>183</v>
      </c>
    </row>
    <row r="372" hidden="1" spans="1:56">
      <c r="A372">
        <v>371</v>
      </c>
      <c r="B372" t="s">
        <v>288</v>
      </c>
      <c r="C372">
        <v>2022</v>
      </c>
      <c r="D372">
        <v>2021</v>
      </c>
      <c r="E372">
        <v>2021</v>
      </c>
      <c r="F372" t="s">
        <v>256</v>
      </c>
      <c r="G372" t="s">
        <v>263</v>
      </c>
      <c r="H372" t="s">
        <v>264</v>
      </c>
      <c r="I372"/>
      <c r="J372" t="s">
        <v>290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1</v>
      </c>
      <c r="AC372" t="s">
        <v>175</v>
      </c>
      <c r="AD372" t="s">
        <v>175</v>
      </c>
      <c r="AE372" t="s">
        <v>175</v>
      </c>
      <c r="AF372" t="s">
        <v>175</v>
      </c>
      <c r="AG372" t="s">
        <v>175</v>
      </c>
      <c r="AH372" t="s">
        <v>175</v>
      </c>
      <c r="AI372" t="s">
        <v>175</v>
      </c>
      <c r="AJ372" t="s">
        <v>175</v>
      </c>
      <c r="AK372" t="s">
        <v>175</v>
      </c>
      <c r="AL372" t="s">
        <v>175</v>
      </c>
      <c r="AM372" t="s">
        <v>175</v>
      </c>
      <c r="AN372" t="s">
        <v>175</v>
      </c>
      <c r="AO372" t="s">
        <v>175</v>
      </c>
      <c r="AP372" t="s">
        <v>175</v>
      </c>
      <c r="AQ372" t="s">
        <v>175</v>
      </c>
      <c r="AR372" t="s">
        <v>175</v>
      </c>
      <c r="AS372" t="s">
        <v>175</v>
      </c>
      <c r="AT372" t="s">
        <v>175</v>
      </c>
      <c r="AU372" t="s">
        <v>175</v>
      </c>
      <c r="AV372" t="s">
        <v>175</v>
      </c>
      <c r="AW372" t="s">
        <v>175</v>
      </c>
      <c r="AX372" t="s">
        <v>192</v>
      </c>
      <c r="AY372" t="s">
        <v>200</v>
      </c>
      <c r="AZ372" t="s">
        <v>183</v>
      </c>
      <c r="BA372" t="s">
        <v>183</v>
      </c>
      <c r="BB372" t="s">
        <v>183</v>
      </c>
      <c r="BC372" t="s">
        <v>183</v>
      </c>
      <c r="BD372" t="s">
        <v>183</v>
      </c>
    </row>
    <row r="373" hidden="1" spans="1:56">
      <c r="A373">
        <v>372</v>
      </c>
      <c r="B373" t="s">
        <v>255</v>
      </c>
      <c r="C373">
        <v>2022</v>
      </c>
      <c r="D373">
        <v>2021</v>
      </c>
      <c r="E373">
        <v>2021</v>
      </c>
      <c r="F373" t="s">
        <v>266</v>
      </c>
      <c r="G373"/>
      <c r="H373" t="s">
        <v>258</v>
      </c>
      <c r="I373"/>
      <c r="J373" t="s">
        <v>252</v>
      </c>
      <c r="K373" t="b">
        <v>0</v>
      </c>
      <c r="L373" t="b">
        <v>0</v>
      </c>
      <c r="M373" t="b">
        <v>0</v>
      </c>
      <c r="N373" t="b">
        <v>0</v>
      </c>
      <c r="O373" t="b">
        <v>0</v>
      </c>
      <c r="P373" t="b">
        <v>0</v>
      </c>
      <c r="Q373" t="b">
        <v>0</v>
      </c>
      <c r="R373" t="b">
        <v>0</v>
      </c>
      <c r="S373" t="b">
        <v>0</v>
      </c>
      <c r="T373" t="b">
        <v>0</v>
      </c>
      <c r="U373" t="b">
        <v>0</v>
      </c>
      <c r="V373" t="b">
        <v>0</v>
      </c>
      <c r="W373" t="b">
        <v>1</v>
      </c>
      <c r="X373" t="b">
        <v>0</v>
      </c>
      <c r="Y373" t="b">
        <v>0</v>
      </c>
      <c r="Z373" t="b">
        <v>0</v>
      </c>
      <c r="AA373" t="b">
        <v>0</v>
      </c>
      <c r="AB373" t="b">
        <v>0</v>
      </c>
      <c r="AC373" t="s">
        <v>171</v>
      </c>
      <c r="AD373" t="s">
        <v>175</v>
      </c>
      <c r="AE373" t="s">
        <v>173</v>
      </c>
      <c r="AF373" t="s">
        <v>173</v>
      </c>
      <c r="AG373" t="s">
        <v>173</v>
      </c>
      <c r="AH373" t="s">
        <v>171</v>
      </c>
      <c r="AI373" t="s">
        <v>175</v>
      </c>
      <c r="AJ373" t="s">
        <v>173</v>
      </c>
      <c r="AK373" t="s">
        <v>173</v>
      </c>
      <c r="AL373" t="s">
        <v>173</v>
      </c>
      <c r="AM373" t="s">
        <v>171</v>
      </c>
      <c r="AN373" t="s">
        <v>175</v>
      </c>
      <c r="AO373" t="s">
        <v>183</v>
      </c>
      <c r="AP373" t="s">
        <v>171</v>
      </c>
      <c r="AQ373" t="s">
        <v>173</v>
      </c>
      <c r="AR373" t="s">
        <v>173</v>
      </c>
      <c r="AS373" t="s">
        <v>173</v>
      </c>
      <c r="AT373" t="s">
        <v>173</v>
      </c>
      <c r="AU373" t="s">
        <v>173</v>
      </c>
      <c r="AV373" t="s">
        <v>183</v>
      </c>
      <c r="AW373" t="s">
        <v>173</v>
      </c>
      <c r="AX373" t="s">
        <v>192</v>
      </c>
      <c r="AY373" t="s">
        <v>201</v>
      </c>
      <c r="AZ373" t="s">
        <v>183</v>
      </c>
      <c r="BA373" t="s">
        <v>183</v>
      </c>
      <c r="BB373" t="s">
        <v>183</v>
      </c>
      <c r="BC373" t="s">
        <v>183</v>
      </c>
      <c r="BD373" t="s">
        <v>183</v>
      </c>
    </row>
    <row r="374" hidden="1" spans="1:56">
      <c r="A374">
        <v>373</v>
      </c>
      <c r="B374" t="s">
        <v>259</v>
      </c>
      <c r="C374">
        <v>2022</v>
      </c>
      <c r="D374" t="s">
        <v>247</v>
      </c>
      <c r="E374" t="s">
        <v>247</v>
      </c>
      <c r="F374" t="s">
        <v>256</v>
      </c>
      <c r="G374" t="s">
        <v>257</v>
      </c>
      <c r="H374" t="s">
        <v>247</v>
      </c>
      <c r="I374"/>
      <c r="J374" t="s">
        <v>252</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1</v>
      </c>
      <c r="AC374" t="s">
        <v>181</v>
      </c>
      <c r="AD374" t="s">
        <v>181</v>
      </c>
      <c r="AE374" t="s">
        <v>181</v>
      </c>
      <c r="AF374" t="s">
        <v>181</v>
      </c>
      <c r="AG374" t="s">
        <v>181</v>
      </c>
      <c r="AH374" t="s">
        <v>181</v>
      </c>
      <c r="AI374" t="s">
        <v>181</v>
      </c>
      <c r="AJ374" t="s">
        <v>181</v>
      </c>
      <c r="AK374" t="s">
        <v>181</v>
      </c>
      <c r="AL374" t="s">
        <v>181</v>
      </c>
      <c r="AM374" t="s">
        <v>181</v>
      </c>
      <c r="AN374" t="s">
        <v>181</v>
      </c>
      <c r="AO374" t="s">
        <v>181</v>
      </c>
      <c r="AP374" t="s">
        <v>181</v>
      </c>
      <c r="AQ374" t="s">
        <v>181</v>
      </c>
      <c r="AR374" t="s">
        <v>181</v>
      </c>
      <c r="AS374" t="s">
        <v>181</v>
      </c>
      <c r="AT374" t="s">
        <v>181</v>
      </c>
      <c r="AU374" t="s">
        <v>181</v>
      </c>
      <c r="AV374" t="s">
        <v>181</v>
      </c>
      <c r="AW374" t="s">
        <v>181</v>
      </c>
      <c r="AX374" t="s">
        <v>192</v>
      </c>
      <c r="AY374" t="s">
        <v>196</v>
      </c>
      <c r="AZ374" t="s">
        <v>183</v>
      </c>
      <c r="BA374" t="s">
        <v>183</v>
      </c>
      <c r="BB374" t="s">
        <v>183</v>
      </c>
      <c r="BC374" t="s">
        <v>183</v>
      </c>
      <c r="BD374" t="s">
        <v>183</v>
      </c>
    </row>
    <row r="375" hidden="1" spans="1:56">
      <c r="A375">
        <v>374</v>
      </c>
      <c r="B375" t="s">
        <v>259</v>
      </c>
      <c r="C375">
        <v>2022</v>
      </c>
      <c r="D375">
        <v>1997</v>
      </c>
      <c r="E375">
        <v>2021</v>
      </c>
      <c r="F375" t="s">
        <v>256</v>
      </c>
      <c r="G375" t="s">
        <v>279</v>
      </c>
      <c r="H375" t="s">
        <v>261</v>
      </c>
      <c r="I375"/>
      <c r="J375" t="s">
        <v>252</v>
      </c>
      <c r="K375" t="b">
        <v>0</v>
      </c>
      <c r="L375" t="b">
        <v>0</v>
      </c>
      <c r="M375" t="b">
        <v>0</v>
      </c>
      <c r="N375" t="b">
        <v>0</v>
      </c>
      <c r="O375" t="b">
        <v>0</v>
      </c>
      <c r="P375" t="b">
        <v>0</v>
      </c>
      <c r="Q375" t="b">
        <v>0</v>
      </c>
      <c r="R375" t="b">
        <v>0</v>
      </c>
      <c r="S375" t="b">
        <v>0</v>
      </c>
      <c r="T375" t="b">
        <v>0</v>
      </c>
      <c r="U375" t="b">
        <v>0</v>
      </c>
      <c r="V375" t="b">
        <v>0</v>
      </c>
      <c r="W375" t="b">
        <v>0</v>
      </c>
      <c r="X375" t="b">
        <v>1</v>
      </c>
      <c r="Y375" t="b">
        <v>0</v>
      </c>
      <c r="Z375" t="b">
        <v>0</v>
      </c>
      <c r="AA375" t="b">
        <v>0</v>
      </c>
      <c r="AB375" t="b">
        <v>0</v>
      </c>
      <c r="AC375" t="s">
        <v>175</v>
      </c>
      <c r="AD375" t="s">
        <v>179</v>
      </c>
      <c r="AE375" t="s">
        <v>175</v>
      </c>
      <c r="AF375" t="s">
        <v>171</v>
      </c>
      <c r="AG375" t="s">
        <v>171</v>
      </c>
      <c r="AH375" t="s">
        <v>175</v>
      </c>
      <c r="AI375" t="s">
        <v>173</v>
      </c>
      <c r="AJ375" t="s">
        <v>171</v>
      </c>
      <c r="AK375" t="s">
        <v>171</v>
      </c>
      <c r="AL375" t="s">
        <v>173</v>
      </c>
      <c r="AM375" t="s">
        <v>177</v>
      </c>
      <c r="AN375" t="s">
        <v>177</v>
      </c>
      <c r="AO375" t="s">
        <v>173</v>
      </c>
      <c r="AP375" t="s">
        <v>173</v>
      </c>
      <c r="AQ375" t="s">
        <v>177</v>
      </c>
      <c r="AR375" t="s">
        <v>173</v>
      </c>
      <c r="AS375" t="s">
        <v>173</v>
      </c>
      <c r="AT375" t="s">
        <v>173</v>
      </c>
      <c r="AU375" t="s">
        <v>173</v>
      </c>
      <c r="AV375" t="s">
        <v>175</v>
      </c>
      <c r="AW375" t="s">
        <v>173</v>
      </c>
      <c r="AX375" t="s">
        <v>192</v>
      </c>
      <c r="AY375" t="s">
        <v>195</v>
      </c>
      <c r="AZ375" t="s">
        <v>183</v>
      </c>
      <c r="BA375" t="s">
        <v>183</v>
      </c>
      <c r="BB375" t="s">
        <v>183</v>
      </c>
      <c r="BC375" t="s">
        <v>183</v>
      </c>
      <c r="BD375" t="s">
        <v>183</v>
      </c>
    </row>
    <row r="376" hidden="1" spans="1:56">
      <c r="A376">
        <v>375</v>
      </c>
      <c r="B376" t="s">
        <v>269</v>
      </c>
      <c r="C376">
        <v>2022</v>
      </c>
      <c r="D376">
        <v>2001</v>
      </c>
      <c r="E376">
        <v>2001</v>
      </c>
      <c r="F376" t="s">
        <v>256</v>
      </c>
      <c r="G376" t="s">
        <v>263</v>
      </c>
      <c r="H376" t="s">
        <v>264</v>
      </c>
      <c r="I376"/>
      <c r="J376" t="s">
        <v>252</v>
      </c>
      <c r="K376" t="b">
        <v>0</v>
      </c>
      <c r="L376" t="b">
        <v>0</v>
      </c>
      <c r="M376" t="b">
        <v>0</v>
      </c>
      <c r="N376" t="b">
        <v>0</v>
      </c>
      <c r="O376" t="b">
        <v>0</v>
      </c>
      <c r="P376" t="b">
        <v>0</v>
      </c>
      <c r="Q376" t="b">
        <v>0</v>
      </c>
      <c r="R376" t="b">
        <v>0</v>
      </c>
      <c r="S376" t="b">
        <v>0</v>
      </c>
      <c r="T376" t="b">
        <v>0</v>
      </c>
      <c r="U376" t="b">
        <v>1</v>
      </c>
      <c r="V376" t="b">
        <v>0</v>
      </c>
      <c r="W376" t="b">
        <v>0</v>
      </c>
      <c r="X376" t="b">
        <v>0</v>
      </c>
      <c r="Y376" t="b">
        <v>0</v>
      </c>
      <c r="Z376" t="b">
        <v>0</v>
      </c>
      <c r="AA376" t="b">
        <v>0</v>
      </c>
      <c r="AB376" t="b">
        <v>0</v>
      </c>
      <c r="AC376" t="s">
        <v>171</v>
      </c>
      <c r="AD376" t="s">
        <v>171</v>
      </c>
      <c r="AE376" t="s">
        <v>171</v>
      </c>
      <c r="AF376" t="s">
        <v>171</v>
      </c>
      <c r="AG376" t="s">
        <v>171</v>
      </c>
      <c r="AH376" t="s">
        <v>173</v>
      </c>
      <c r="AI376" t="s">
        <v>171</v>
      </c>
      <c r="AJ376" t="s">
        <v>171</v>
      </c>
      <c r="AK376" t="s">
        <v>171</v>
      </c>
      <c r="AL376" t="s">
        <v>171</v>
      </c>
      <c r="AM376" t="s">
        <v>171</v>
      </c>
      <c r="AN376" t="s">
        <v>175</v>
      </c>
      <c r="AO376" t="s">
        <v>171</v>
      </c>
      <c r="AP376" t="s">
        <v>173</v>
      </c>
      <c r="AQ376" t="s">
        <v>175</v>
      </c>
      <c r="AR376" t="s">
        <v>171</v>
      </c>
      <c r="AS376" t="s">
        <v>171</v>
      </c>
      <c r="AT376" t="s">
        <v>171</v>
      </c>
      <c r="AU376" t="s">
        <v>171</v>
      </c>
      <c r="AV376" t="s">
        <v>173</v>
      </c>
      <c r="AW376" t="s">
        <v>171</v>
      </c>
      <c r="AX376" t="s">
        <v>192</v>
      </c>
      <c r="AY376" t="s">
        <v>199</v>
      </c>
      <c r="AZ376" t="s">
        <v>183</v>
      </c>
      <c r="BA376" t="s">
        <v>183</v>
      </c>
      <c r="BB376" t="s">
        <v>183</v>
      </c>
      <c r="BC376" t="s">
        <v>183</v>
      </c>
      <c r="BD376" t="s">
        <v>183</v>
      </c>
    </row>
    <row r="377" hidden="1" spans="1:56">
      <c r="A377">
        <v>376</v>
      </c>
      <c r="B377" t="s">
        <v>255</v>
      </c>
      <c r="C377">
        <v>2022</v>
      </c>
      <c r="D377">
        <v>2008</v>
      </c>
      <c r="E377">
        <v>2008</v>
      </c>
      <c r="F377" t="s">
        <v>266</v>
      </c>
      <c r="G377"/>
      <c r="H377" t="s">
        <v>247</v>
      </c>
      <c r="I377"/>
      <c r="J377" t="s">
        <v>252</v>
      </c>
      <c r="K377" t="b">
        <v>0</v>
      </c>
      <c r="L377" t="b">
        <v>0</v>
      </c>
      <c r="M377" t="b">
        <v>0</v>
      </c>
      <c r="N377" t="b">
        <v>0</v>
      </c>
      <c r="O377" t="b">
        <v>0</v>
      </c>
      <c r="P377" t="b">
        <v>0</v>
      </c>
      <c r="Q377" t="b">
        <v>0</v>
      </c>
      <c r="R377" t="b">
        <v>1</v>
      </c>
      <c r="S377" t="b">
        <v>0</v>
      </c>
      <c r="T377" t="b">
        <v>0</v>
      </c>
      <c r="U377" t="b">
        <v>0</v>
      </c>
      <c r="V377" t="b">
        <v>0</v>
      </c>
      <c r="W377" t="b">
        <v>0</v>
      </c>
      <c r="X377" t="b">
        <v>0</v>
      </c>
      <c r="Y377" t="b">
        <v>0</v>
      </c>
      <c r="Z377" t="b">
        <v>0</v>
      </c>
      <c r="AA377" t="b">
        <v>0</v>
      </c>
      <c r="AB377" t="b">
        <v>0</v>
      </c>
      <c r="AC377" t="s">
        <v>179</v>
      </c>
      <c r="AD377" t="s">
        <v>183</v>
      </c>
      <c r="AE377" t="s">
        <v>175</v>
      </c>
      <c r="AF377" t="s">
        <v>175</v>
      </c>
      <c r="AG377" t="s">
        <v>175</v>
      </c>
      <c r="AH377" t="s">
        <v>173</v>
      </c>
      <c r="AI377" t="s">
        <v>173</v>
      </c>
      <c r="AJ377" t="s">
        <v>175</v>
      </c>
      <c r="AK377" t="s">
        <v>173</v>
      </c>
      <c r="AL377" t="s">
        <v>173</v>
      </c>
      <c r="AM377" t="s">
        <v>175</v>
      </c>
      <c r="AN377" t="s">
        <v>175</v>
      </c>
      <c r="AO377" t="s">
        <v>179</v>
      </c>
      <c r="AP377" t="s">
        <v>179</v>
      </c>
      <c r="AQ377" t="s">
        <v>179</v>
      </c>
      <c r="AR377" t="s">
        <v>175</v>
      </c>
      <c r="AS377" t="s">
        <v>175</v>
      </c>
      <c r="AT377" t="s">
        <v>175</v>
      </c>
      <c r="AU377" t="s">
        <v>175</v>
      </c>
      <c r="AV377" t="s">
        <v>175</v>
      </c>
      <c r="AW377" t="s">
        <v>175</v>
      </c>
      <c r="AX377" t="s">
        <v>192</v>
      </c>
      <c r="AY377" t="s">
        <v>198</v>
      </c>
      <c r="AZ377" t="s">
        <v>183</v>
      </c>
      <c r="BA377" t="s">
        <v>183</v>
      </c>
      <c r="BB377" t="s">
        <v>183</v>
      </c>
      <c r="BC377" t="s">
        <v>183</v>
      </c>
      <c r="BD377" t="s">
        <v>183</v>
      </c>
    </row>
    <row r="378" hidden="1" spans="1:56">
      <c r="A378">
        <v>377</v>
      </c>
      <c r="B378" t="s">
        <v>272</v>
      </c>
      <c r="C378">
        <v>2022</v>
      </c>
      <c r="D378">
        <v>2016</v>
      </c>
      <c r="E378">
        <v>2016</v>
      </c>
      <c r="F378" t="s">
        <v>266</v>
      </c>
      <c r="G378"/>
      <c r="H378" t="s">
        <v>247</v>
      </c>
      <c r="I378"/>
      <c r="J378" t="s">
        <v>265</v>
      </c>
      <c r="K378" t="b">
        <v>0</v>
      </c>
      <c r="L378" t="b">
        <v>0</v>
      </c>
      <c r="M378" t="b">
        <v>0</v>
      </c>
      <c r="N378" t="b">
        <v>0</v>
      </c>
      <c r="O378" t="b">
        <v>0</v>
      </c>
      <c r="P378" t="b">
        <v>0</v>
      </c>
      <c r="Q378" t="b">
        <v>0</v>
      </c>
      <c r="R378" t="b">
        <v>0</v>
      </c>
      <c r="S378" t="b">
        <v>0</v>
      </c>
      <c r="T378" t="b">
        <v>0</v>
      </c>
      <c r="U378" t="b">
        <v>1</v>
      </c>
      <c r="V378" t="b">
        <v>0</v>
      </c>
      <c r="W378" t="b">
        <v>0</v>
      </c>
      <c r="X378" t="b">
        <v>0</v>
      </c>
      <c r="Y378" t="b">
        <v>0</v>
      </c>
      <c r="Z378" t="b">
        <v>0</v>
      </c>
      <c r="AA378" t="b">
        <v>0</v>
      </c>
      <c r="AB378" t="b">
        <v>0</v>
      </c>
      <c r="AC378" t="s">
        <v>177</v>
      </c>
      <c r="AD378" t="s">
        <v>175</v>
      </c>
      <c r="AE378" t="s">
        <v>179</v>
      </c>
      <c r="AF378" t="s">
        <v>177</v>
      </c>
      <c r="AG378" t="s">
        <v>173</v>
      </c>
      <c r="AH378" t="s">
        <v>171</v>
      </c>
      <c r="AI378" t="s">
        <v>173</v>
      </c>
      <c r="AJ378" t="s">
        <v>175</v>
      </c>
      <c r="AK378" t="s">
        <v>173</v>
      </c>
      <c r="AL378" t="s">
        <v>171</v>
      </c>
      <c r="AM378" t="s">
        <v>173</v>
      </c>
      <c r="AN378" t="s">
        <v>173</v>
      </c>
      <c r="AO378" t="s">
        <v>175</v>
      </c>
      <c r="AP378" t="s">
        <v>173</v>
      </c>
      <c r="AQ378" t="s">
        <v>175</v>
      </c>
      <c r="AR378" t="s">
        <v>175</v>
      </c>
      <c r="AS378" t="s">
        <v>173</v>
      </c>
      <c r="AT378" t="s">
        <v>173</v>
      </c>
      <c r="AU378" t="s">
        <v>175</v>
      </c>
      <c r="AV378" t="s">
        <v>175</v>
      </c>
      <c r="AW378" t="s">
        <v>173</v>
      </c>
      <c r="AX378" t="s">
        <v>192</v>
      </c>
      <c r="AY378" t="s">
        <v>198</v>
      </c>
      <c r="AZ378" t="s">
        <v>183</v>
      </c>
      <c r="BA378" t="s">
        <v>183</v>
      </c>
      <c r="BB378" t="s">
        <v>183</v>
      </c>
      <c r="BC378" t="s">
        <v>183</v>
      </c>
      <c r="BD378" t="s">
        <v>183</v>
      </c>
    </row>
    <row r="379" hidden="1" spans="1:56">
      <c r="A379">
        <v>378</v>
      </c>
      <c r="B379" t="s">
        <v>269</v>
      </c>
      <c r="C379">
        <v>2022</v>
      </c>
      <c r="D379">
        <v>1999</v>
      </c>
      <c r="E379" t="s">
        <v>247</v>
      </c>
      <c r="F379" t="s">
        <v>266</v>
      </c>
      <c r="G379"/>
      <c r="H379" t="s">
        <v>247</v>
      </c>
      <c r="I379"/>
      <c r="J379" t="s">
        <v>265</v>
      </c>
      <c r="K379" t="b">
        <v>0</v>
      </c>
      <c r="L379" t="b">
        <v>0</v>
      </c>
      <c r="M379" t="b">
        <v>0</v>
      </c>
      <c r="N379" t="b">
        <v>1</v>
      </c>
      <c r="O379" t="b">
        <v>0</v>
      </c>
      <c r="P379" t="b">
        <v>0</v>
      </c>
      <c r="Q379" t="b">
        <v>1</v>
      </c>
      <c r="R379" t="b">
        <v>1</v>
      </c>
      <c r="S379" t="b">
        <v>0</v>
      </c>
      <c r="T379" t="b">
        <v>0</v>
      </c>
      <c r="U379" t="b">
        <v>0</v>
      </c>
      <c r="V379" t="b">
        <v>0</v>
      </c>
      <c r="W379" t="b">
        <v>0</v>
      </c>
      <c r="X379" t="b">
        <v>0</v>
      </c>
      <c r="Y379" t="b">
        <v>0</v>
      </c>
      <c r="Z379" t="b">
        <v>0</v>
      </c>
      <c r="AA379" t="b">
        <v>0</v>
      </c>
      <c r="AB379" t="b">
        <v>0</v>
      </c>
      <c r="AC379" t="s">
        <v>179</v>
      </c>
      <c r="AD379" t="s">
        <v>183</v>
      </c>
      <c r="AE379" t="s">
        <v>179</v>
      </c>
      <c r="AF379" t="s">
        <v>177</v>
      </c>
      <c r="AG379" t="s">
        <v>173</v>
      </c>
      <c r="AH379" t="s">
        <v>173</v>
      </c>
      <c r="AI379" t="s">
        <v>173</v>
      </c>
      <c r="AJ379" t="s">
        <v>179</v>
      </c>
      <c r="AK379" t="s">
        <v>171</v>
      </c>
      <c r="AL379" t="s">
        <v>177</v>
      </c>
      <c r="AM379" t="s">
        <v>177</v>
      </c>
      <c r="AN379" t="s">
        <v>183</v>
      </c>
      <c r="AO379" t="s">
        <v>183</v>
      </c>
      <c r="AP379" t="s">
        <v>179</v>
      </c>
      <c r="AQ379" t="s">
        <v>179</v>
      </c>
      <c r="AR379" t="s">
        <v>179</v>
      </c>
      <c r="AS379" t="s">
        <v>179</v>
      </c>
      <c r="AT379" t="s">
        <v>175</v>
      </c>
      <c r="AU379" t="s">
        <v>177</v>
      </c>
      <c r="AV379" t="s">
        <v>181</v>
      </c>
      <c r="AW379" t="s">
        <v>181</v>
      </c>
      <c r="AX379" t="s">
        <v>192</v>
      </c>
      <c r="AY379" t="s">
        <v>198</v>
      </c>
      <c r="AZ379" t="s">
        <v>183</v>
      </c>
      <c r="BA379" t="s">
        <v>183</v>
      </c>
      <c r="BB379" t="s">
        <v>183</v>
      </c>
      <c r="BC379" t="s">
        <v>183</v>
      </c>
      <c r="BD379" t="s">
        <v>183</v>
      </c>
    </row>
    <row r="380" hidden="1" spans="1:56">
      <c r="A380">
        <v>379</v>
      </c>
      <c r="B380" t="s">
        <v>259</v>
      </c>
      <c r="C380">
        <v>2023</v>
      </c>
      <c r="D380">
        <v>1984</v>
      </c>
      <c r="E380">
        <v>1987</v>
      </c>
      <c r="F380" t="s">
        <v>256</v>
      </c>
      <c r="G380"/>
      <c r="H380" t="s">
        <v>261</v>
      </c>
      <c r="I380"/>
      <c r="J380" t="s">
        <v>252</v>
      </c>
      <c r="K380" t="b">
        <v>0</v>
      </c>
      <c r="L380" t="b">
        <v>0</v>
      </c>
      <c r="M380" t="b">
        <v>0</v>
      </c>
      <c r="N380" t="b">
        <v>1</v>
      </c>
      <c r="O380" t="b">
        <v>0</v>
      </c>
      <c r="P380" t="b">
        <v>0</v>
      </c>
      <c r="Q380" t="b">
        <v>0</v>
      </c>
      <c r="R380" t="b">
        <v>0</v>
      </c>
      <c r="S380" t="b">
        <v>0</v>
      </c>
      <c r="T380" t="b">
        <v>0</v>
      </c>
      <c r="U380" t="b">
        <v>0</v>
      </c>
      <c r="V380" t="b">
        <v>0</v>
      </c>
      <c r="W380" t="b">
        <v>0</v>
      </c>
      <c r="X380" t="b">
        <v>0</v>
      </c>
      <c r="Y380" t="b">
        <v>0</v>
      </c>
      <c r="Z380" t="b">
        <v>1</v>
      </c>
      <c r="AA380" t="b">
        <v>0</v>
      </c>
      <c r="AB380" t="b">
        <v>0</v>
      </c>
      <c r="AC380" t="s">
        <v>173</v>
      </c>
      <c r="AD380" t="s">
        <v>173</v>
      </c>
      <c r="AE380" t="s">
        <v>177</v>
      </c>
      <c r="AF380" t="s">
        <v>175</v>
      </c>
      <c r="AG380" t="s">
        <v>173</v>
      </c>
      <c r="AH380" t="s">
        <v>173</v>
      </c>
      <c r="AI380" t="s">
        <v>173</v>
      </c>
      <c r="AJ380" t="s">
        <v>173</v>
      </c>
      <c r="AK380" t="s">
        <v>171</v>
      </c>
      <c r="AL380" t="s">
        <v>173</v>
      </c>
      <c r="AM380" t="s">
        <v>173</v>
      </c>
      <c r="AN380" t="s">
        <v>173</v>
      </c>
      <c r="AO380" t="s">
        <v>175</v>
      </c>
      <c r="AP380" t="s">
        <v>173</v>
      </c>
      <c r="AQ380" t="s">
        <v>173</v>
      </c>
      <c r="AR380" t="s">
        <v>173</v>
      </c>
      <c r="AS380" t="s">
        <v>175</v>
      </c>
      <c r="AT380" t="s">
        <v>173</v>
      </c>
      <c r="AU380" t="s">
        <v>173</v>
      </c>
      <c r="AV380" t="s">
        <v>179</v>
      </c>
      <c r="AW380" t="s">
        <v>173</v>
      </c>
      <c r="AX380" t="s">
        <v>193</v>
      </c>
      <c r="AY380" t="s">
        <v>197</v>
      </c>
      <c r="AZ380" t="s">
        <v>183</v>
      </c>
      <c r="BA380" t="s">
        <v>183</v>
      </c>
      <c r="BB380" t="s">
        <v>183</v>
      </c>
      <c r="BC380" t="s">
        <v>183</v>
      </c>
      <c r="BD380" t="s">
        <v>208</v>
      </c>
    </row>
    <row r="381" hidden="1" spans="1:56">
      <c r="A381">
        <v>380</v>
      </c>
      <c r="B381" t="s">
        <v>272</v>
      </c>
      <c r="C381">
        <v>2022</v>
      </c>
      <c r="D381" t="s">
        <v>247</v>
      </c>
      <c r="E381" t="s">
        <v>247</v>
      </c>
      <c r="F381" t="s">
        <v>256</v>
      </c>
      <c r="G381" t="s">
        <v>257</v>
      </c>
      <c r="H381" t="s">
        <v>264</v>
      </c>
      <c r="I381"/>
      <c r="J381" t="s">
        <v>265</v>
      </c>
      <c r="K381" t="b">
        <v>0</v>
      </c>
      <c r="L381" t="b">
        <v>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s">
        <v>171</v>
      </c>
      <c r="AD381" t="s">
        <v>171</v>
      </c>
      <c r="AE381" t="s">
        <v>171</v>
      </c>
      <c r="AF381" t="s">
        <v>171</v>
      </c>
      <c r="AG381" t="s">
        <v>171</v>
      </c>
      <c r="AH381" t="s">
        <v>171</v>
      </c>
      <c r="AI381" t="s">
        <v>171</v>
      </c>
      <c r="AJ381" t="s">
        <v>171</v>
      </c>
      <c r="AK381" t="s">
        <v>171</v>
      </c>
      <c r="AL381" t="s">
        <v>171</v>
      </c>
      <c r="AM381" t="s">
        <v>171</v>
      </c>
      <c r="AN381" t="s">
        <v>171</v>
      </c>
      <c r="AO381" t="s">
        <v>171</v>
      </c>
      <c r="AP381" t="s">
        <v>171</v>
      </c>
      <c r="AQ381" t="s">
        <v>171</v>
      </c>
      <c r="AR381" t="s">
        <v>171</v>
      </c>
      <c r="AS381" t="s">
        <v>171</v>
      </c>
      <c r="AT381" t="s">
        <v>171</v>
      </c>
      <c r="AU381" t="s">
        <v>171</v>
      </c>
      <c r="AV381" t="s">
        <v>171</v>
      </c>
      <c r="AW381" t="s">
        <v>171</v>
      </c>
      <c r="AX381" t="s">
        <v>192</v>
      </c>
      <c r="AY381" t="s">
        <v>200</v>
      </c>
      <c r="AZ381" t="s">
        <v>183</v>
      </c>
      <c r="BA381" t="s">
        <v>183</v>
      </c>
      <c r="BB381" t="s">
        <v>183</v>
      </c>
      <c r="BC381" t="s">
        <v>183</v>
      </c>
      <c r="BD381" t="s">
        <v>183</v>
      </c>
    </row>
    <row r="382" hidden="1" spans="1:56">
      <c r="A382">
        <v>381</v>
      </c>
      <c r="B382" t="s">
        <v>259</v>
      </c>
      <c r="C382">
        <v>2023</v>
      </c>
      <c r="D382">
        <v>1987</v>
      </c>
      <c r="E382">
        <v>2013</v>
      </c>
      <c r="F382" t="s">
        <v>256</v>
      </c>
      <c r="G382" t="s">
        <v>257</v>
      </c>
      <c r="H382" t="s">
        <v>274</v>
      </c>
      <c r="I382"/>
      <c r="J382" t="s">
        <v>252</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1</v>
      </c>
      <c r="AC382" t="s">
        <v>173</v>
      </c>
      <c r="AD382" t="s">
        <v>175</v>
      </c>
      <c r="AE382" t="s">
        <v>173</v>
      </c>
      <c r="AF382" t="s">
        <v>173</v>
      </c>
      <c r="AG382" t="s">
        <v>173</v>
      </c>
      <c r="AH382" t="s">
        <v>173</v>
      </c>
      <c r="AI382" t="s">
        <v>173</v>
      </c>
      <c r="AJ382" t="s">
        <v>173</v>
      </c>
      <c r="AK382" t="s">
        <v>173</v>
      </c>
      <c r="AL382" t="s">
        <v>175</v>
      </c>
      <c r="AM382" t="s">
        <v>175</v>
      </c>
      <c r="AN382" t="s">
        <v>173</v>
      </c>
      <c r="AO382" t="s">
        <v>173</v>
      </c>
      <c r="AP382" t="s">
        <v>173</v>
      </c>
      <c r="AQ382" t="s">
        <v>173</v>
      </c>
      <c r="AR382" t="s">
        <v>173</v>
      </c>
      <c r="AS382" t="s">
        <v>173</v>
      </c>
      <c r="AT382" t="s">
        <v>173</v>
      </c>
      <c r="AU382" t="s">
        <v>173</v>
      </c>
      <c r="AV382" t="s">
        <v>173</v>
      </c>
      <c r="AW382" t="s">
        <v>173</v>
      </c>
      <c r="AX382" t="s">
        <v>192</v>
      </c>
      <c r="AY382" t="s">
        <v>197</v>
      </c>
      <c r="AZ382" t="s">
        <v>183</v>
      </c>
      <c r="BA382" t="s">
        <v>183</v>
      </c>
      <c r="BB382" t="s">
        <v>183</v>
      </c>
      <c r="BC382" t="s">
        <v>183</v>
      </c>
      <c r="BD382" t="s">
        <v>183</v>
      </c>
    </row>
    <row r="383" hidden="1" spans="1:56">
      <c r="A383">
        <v>382</v>
      </c>
      <c r="B383" t="s">
        <v>269</v>
      </c>
      <c r="C383">
        <v>2023</v>
      </c>
      <c r="D383">
        <v>2017</v>
      </c>
      <c r="E383">
        <v>2017</v>
      </c>
      <c r="F383" t="s">
        <v>256</v>
      </c>
      <c r="G383" t="s">
        <v>263</v>
      </c>
      <c r="H383" t="s">
        <v>247</v>
      </c>
      <c r="I383"/>
      <c r="J383" t="s">
        <v>252</v>
      </c>
      <c r="K383" t="b">
        <v>0</v>
      </c>
      <c r="L383" t="b">
        <v>1</v>
      </c>
      <c r="M383" t="b">
        <v>0</v>
      </c>
      <c r="N383" t="b">
        <v>0</v>
      </c>
      <c r="O383" t="b">
        <v>0</v>
      </c>
      <c r="P383" t="b">
        <v>1</v>
      </c>
      <c r="Q383" t="b">
        <v>1</v>
      </c>
      <c r="R383" t="b">
        <v>0</v>
      </c>
      <c r="S383" t="b">
        <v>0</v>
      </c>
      <c r="T383" t="b">
        <v>0</v>
      </c>
      <c r="U383" t="b">
        <v>0</v>
      </c>
      <c r="V383" t="b">
        <v>0</v>
      </c>
      <c r="W383" t="b">
        <v>0</v>
      </c>
      <c r="X383" t="b">
        <v>0</v>
      </c>
      <c r="Y383" t="b">
        <v>0</v>
      </c>
      <c r="Z383" t="b">
        <v>0</v>
      </c>
      <c r="AA383" t="b">
        <v>0</v>
      </c>
      <c r="AB383" t="b">
        <v>0</v>
      </c>
      <c r="AC383" t="s">
        <v>175</v>
      </c>
      <c r="AD383" t="s">
        <v>177</v>
      </c>
      <c r="AE383" t="s">
        <v>179</v>
      </c>
      <c r="AF383" t="s">
        <v>177</v>
      </c>
      <c r="AG383" t="s">
        <v>177</v>
      </c>
      <c r="AH383" t="s">
        <v>173</v>
      </c>
      <c r="AI383" t="s">
        <v>173</v>
      </c>
      <c r="AJ383" t="s">
        <v>177</v>
      </c>
      <c r="AK383" t="s">
        <v>175</v>
      </c>
      <c r="AL383" t="s">
        <v>173</v>
      </c>
      <c r="AM383" t="s">
        <v>177</v>
      </c>
      <c r="AN383" t="s">
        <v>175</v>
      </c>
      <c r="AO383" t="s">
        <v>177</v>
      </c>
      <c r="AP383" t="s">
        <v>177</v>
      </c>
      <c r="AQ383" t="s">
        <v>177</v>
      </c>
      <c r="AR383" t="s">
        <v>179</v>
      </c>
      <c r="AS383" t="s">
        <v>175</v>
      </c>
      <c r="AT383" t="s">
        <v>175</v>
      </c>
      <c r="AU383" t="s">
        <v>173</v>
      </c>
      <c r="AV383" t="s">
        <v>177</v>
      </c>
      <c r="AW383" t="s">
        <v>173</v>
      </c>
      <c r="AX383" t="s">
        <v>192</v>
      </c>
      <c r="AY383" t="s">
        <v>200</v>
      </c>
      <c r="AZ383" t="s">
        <v>183</v>
      </c>
      <c r="BA383" t="s">
        <v>183</v>
      </c>
      <c r="BB383" t="s">
        <v>183</v>
      </c>
      <c r="BC383" t="s">
        <v>183</v>
      </c>
      <c r="BD383" t="s">
        <v>183</v>
      </c>
    </row>
    <row r="384" spans="1:65">
      <c r="A384">
        <v>383</v>
      </c>
      <c r="B384" t="s">
        <v>296</v>
      </c>
      <c r="C384" s="10">
        <v>2022</v>
      </c>
      <c r="D384" s="10">
        <v>2012</v>
      </c>
      <c r="E384" s="10">
        <v>2018</v>
      </c>
      <c r="F384" s="10" t="s">
        <v>241</v>
      </c>
      <c r="G384" s="10" t="s">
        <v>301</v>
      </c>
      <c r="H384" s="10" t="s">
        <v>243</v>
      </c>
      <c r="I384" s="10" t="s">
        <v>282</v>
      </c>
      <c r="J384" s="10" t="s">
        <v>245</v>
      </c>
      <c r="K384" t="b">
        <v>0</v>
      </c>
      <c r="L384" t="b">
        <v>0</v>
      </c>
      <c r="M384" t="b">
        <v>0</v>
      </c>
      <c r="N384" t="b">
        <v>0</v>
      </c>
      <c r="O384" t="b">
        <v>0</v>
      </c>
      <c r="P384" t="b">
        <v>0</v>
      </c>
      <c r="Q384" t="b">
        <v>0</v>
      </c>
      <c r="R384" t="b">
        <v>0</v>
      </c>
      <c r="S384" t="b">
        <v>1</v>
      </c>
      <c r="T384" t="b">
        <v>0</v>
      </c>
      <c r="U384" t="b">
        <v>0</v>
      </c>
      <c r="V384" t="b">
        <v>0</v>
      </c>
      <c r="W384" t="b">
        <v>0</v>
      </c>
      <c r="X384" t="b">
        <v>1</v>
      </c>
      <c r="Y384" t="b">
        <v>0</v>
      </c>
      <c r="Z384" t="b">
        <v>1</v>
      </c>
      <c r="AA384" t="b">
        <v>0</v>
      </c>
      <c r="AB384" t="b">
        <v>0</v>
      </c>
      <c r="AC384" s="10" t="s">
        <v>175</v>
      </c>
      <c r="AD384" t="s">
        <v>177</v>
      </c>
      <c r="AE384" t="s">
        <v>173</v>
      </c>
      <c r="AF384" t="s">
        <v>175</v>
      </c>
      <c r="AG384" t="s">
        <v>173</v>
      </c>
      <c r="AH384" t="s">
        <v>175</v>
      </c>
      <c r="AI384" t="s">
        <v>173</v>
      </c>
      <c r="AJ384" t="s">
        <v>173</v>
      </c>
      <c r="AK384" t="s">
        <v>175</v>
      </c>
      <c r="AL384" t="s">
        <v>171</v>
      </c>
      <c r="AM384" t="s">
        <v>171</v>
      </c>
      <c r="AN384" t="s">
        <v>171</v>
      </c>
      <c r="AO384" t="s">
        <v>175</v>
      </c>
      <c r="AP384" t="s">
        <v>173</v>
      </c>
      <c r="AQ384" t="s">
        <v>175</v>
      </c>
      <c r="AR384" t="s">
        <v>173</v>
      </c>
      <c r="AS384" t="s">
        <v>171</v>
      </c>
      <c r="AT384" t="s">
        <v>173</v>
      </c>
      <c r="AU384" t="s">
        <v>173</v>
      </c>
      <c r="AV384" t="s">
        <v>173</v>
      </c>
      <c r="AW384" t="s">
        <v>175</v>
      </c>
      <c r="AX384" t="s">
        <v>193</v>
      </c>
      <c r="AY384" t="s">
        <v>196</v>
      </c>
      <c r="AZ384" t="s">
        <v>207</v>
      </c>
      <c r="BA384" t="s">
        <v>207</v>
      </c>
      <c r="BB384" t="s">
        <v>207</v>
      </c>
      <c r="BC384" t="s">
        <v>207</v>
      </c>
      <c r="BD384" t="s">
        <v>207</v>
      </c>
      <c r="BE384" t="str">
        <f>IF(AY384="","Unknown",AY384)</f>
        <v>56-60</v>
      </c>
      <c r="BF384" s="11" t="str">
        <f>IF(AZ384="","unknown",AZ384)</f>
        <v>NO</v>
      </c>
      <c r="BG384" s="11" t="str">
        <f>IF(BA384="","UNKNOWN",BA384)</f>
        <v>NO</v>
      </c>
      <c r="BH384" s="11" t="str">
        <f>IF(BB384="","unknown",BB384)</f>
        <v>NO</v>
      </c>
      <c r="BI384" s="11" t="str">
        <f>IF(BC384="","Unknon",BC384)</f>
        <v>NO</v>
      </c>
      <c r="BJ384" s="11" t="str">
        <f>IF(BD384="","Unknown",BD384)</f>
        <v>NO</v>
      </c>
      <c r="BK384" s="11">
        <f>VALUE(C384)-VALUE(D384)</f>
        <v>10</v>
      </c>
      <c r="BM384" s="11"/>
    </row>
    <row r="385" hidden="1" spans="1:56">
      <c r="A385">
        <v>384</v>
      </c>
      <c r="B385" t="s">
        <v>272</v>
      </c>
      <c r="C385">
        <v>2022</v>
      </c>
      <c r="D385">
        <v>2003</v>
      </c>
      <c r="E385">
        <v>2005</v>
      </c>
      <c r="F385" t="s">
        <v>256</v>
      </c>
      <c r="G385" t="s">
        <v>279</v>
      </c>
      <c r="H385" t="s">
        <v>274</v>
      </c>
      <c r="I385"/>
      <c r="J385" t="s">
        <v>252</v>
      </c>
      <c r="K385" t="b">
        <v>0</v>
      </c>
      <c r="L385" t="b">
        <v>0</v>
      </c>
      <c r="M385" t="b">
        <v>0</v>
      </c>
      <c r="N385" t="b">
        <v>0</v>
      </c>
      <c r="O385" t="b">
        <v>0</v>
      </c>
      <c r="P385" t="b">
        <v>0</v>
      </c>
      <c r="Q385" t="b">
        <v>0</v>
      </c>
      <c r="R385" t="b">
        <v>0</v>
      </c>
      <c r="S385" t="b">
        <v>0</v>
      </c>
      <c r="T385" t="b">
        <v>0</v>
      </c>
      <c r="U385" t="b">
        <v>0</v>
      </c>
      <c r="V385" t="b">
        <v>1</v>
      </c>
      <c r="W385" t="b">
        <v>0</v>
      </c>
      <c r="X385" t="b">
        <v>0</v>
      </c>
      <c r="Y385" t="b">
        <v>0</v>
      </c>
      <c r="Z385" t="b">
        <v>0</v>
      </c>
      <c r="AA385" t="b">
        <v>0</v>
      </c>
      <c r="AB385" t="b">
        <v>0</v>
      </c>
      <c r="AC385" t="s">
        <v>173</v>
      </c>
      <c r="AD385" t="s">
        <v>173</v>
      </c>
      <c r="AE385" t="s">
        <v>173</v>
      </c>
      <c r="AF385" t="s">
        <v>173</v>
      </c>
      <c r="AG385" t="s">
        <v>173</v>
      </c>
      <c r="AH385" t="s">
        <v>173</v>
      </c>
      <c r="AI385" t="s">
        <v>173</v>
      </c>
      <c r="AJ385" t="s">
        <v>173</v>
      </c>
      <c r="AK385" t="s">
        <v>173</v>
      </c>
      <c r="AL385" t="s">
        <v>173</v>
      </c>
      <c r="AM385" t="s">
        <v>173</v>
      </c>
      <c r="AN385" t="s">
        <v>175</v>
      </c>
      <c r="AO385" t="s">
        <v>173</v>
      </c>
      <c r="AP385" t="s">
        <v>173</v>
      </c>
      <c r="AQ385" t="s">
        <v>173</v>
      </c>
      <c r="AR385" t="s">
        <v>171</v>
      </c>
      <c r="AS385" t="s">
        <v>171</v>
      </c>
      <c r="AT385" t="s">
        <v>171</v>
      </c>
      <c r="AU385" t="s">
        <v>171</v>
      </c>
      <c r="AV385" t="s">
        <v>173</v>
      </c>
      <c r="AW385" t="s">
        <v>173</v>
      </c>
      <c r="AX385" t="s">
        <v>192</v>
      </c>
      <c r="AY385" t="s">
        <v>196</v>
      </c>
      <c r="AZ385" t="s">
        <v>183</v>
      </c>
      <c r="BA385" t="s">
        <v>183</v>
      </c>
      <c r="BB385" t="s">
        <v>183</v>
      </c>
      <c r="BC385" t="s">
        <v>183</v>
      </c>
      <c r="BD385" t="s">
        <v>183</v>
      </c>
    </row>
    <row r="386" spans="1:65">
      <c r="A386">
        <v>385</v>
      </c>
      <c r="B386" t="s">
        <v>284</v>
      </c>
      <c r="C386" s="10">
        <v>2023</v>
      </c>
      <c r="D386" s="10">
        <v>2021</v>
      </c>
      <c r="E386" s="10">
        <v>2021</v>
      </c>
      <c r="F386" s="10" t="s">
        <v>241</v>
      </c>
      <c r="G386" s="10" t="s">
        <v>249</v>
      </c>
      <c r="H386" s="10" t="s">
        <v>243</v>
      </c>
      <c r="I386" s="10" t="s">
        <v>278</v>
      </c>
      <c r="J386" s="10" t="s">
        <v>285</v>
      </c>
      <c r="K386" t="b">
        <v>0</v>
      </c>
      <c r="L386" t="b">
        <v>0</v>
      </c>
      <c r="M386" t="b">
        <v>0</v>
      </c>
      <c r="N386" t="b">
        <v>1</v>
      </c>
      <c r="O386" t="b">
        <v>0</v>
      </c>
      <c r="P386" t="b">
        <v>0</v>
      </c>
      <c r="Q386" t="b">
        <v>0</v>
      </c>
      <c r="R386" t="b">
        <v>0</v>
      </c>
      <c r="S386" t="b">
        <v>0</v>
      </c>
      <c r="T386" t="b">
        <v>0</v>
      </c>
      <c r="U386" t="b">
        <v>0</v>
      </c>
      <c r="V386" t="b">
        <v>0</v>
      </c>
      <c r="W386" t="b">
        <v>0</v>
      </c>
      <c r="X386" t="b">
        <v>0</v>
      </c>
      <c r="Y386" t="b">
        <v>0</v>
      </c>
      <c r="Z386" t="b">
        <v>0</v>
      </c>
      <c r="AA386" t="b">
        <v>1</v>
      </c>
      <c r="AB386" t="b">
        <v>0</v>
      </c>
      <c r="AC386" s="10" t="s">
        <v>175</v>
      </c>
      <c r="AD386" t="s">
        <v>177</v>
      </c>
      <c r="AE386" t="s">
        <v>177</v>
      </c>
      <c r="AF386" t="s">
        <v>173</v>
      </c>
      <c r="AG386" t="s">
        <v>173</v>
      </c>
      <c r="AH386" t="s">
        <v>173</v>
      </c>
      <c r="AJ386" t="s">
        <v>175</v>
      </c>
      <c r="AK386" t="s">
        <v>173</v>
      </c>
      <c r="AL386" t="s">
        <v>175</v>
      </c>
      <c r="AM386" t="s">
        <v>179</v>
      </c>
      <c r="AN386" t="s">
        <v>173</v>
      </c>
      <c r="AO386" t="s">
        <v>175</v>
      </c>
      <c r="AP386" t="s">
        <v>177</v>
      </c>
      <c r="AQ386" t="s">
        <v>173</v>
      </c>
      <c r="AR386" t="s">
        <v>175</v>
      </c>
      <c r="AS386" t="s">
        <v>177</v>
      </c>
      <c r="AT386" t="s">
        <v>173</v>
      </c>
      <c r="AU386" t="s">
        <v>173</v>
      </c>
      <c r="AV386" t="s">
        <v>175</v>
      </c>
      <c r="AW386" t="s">
        <v>175</v>
      </c>
      <c r="AX386" t="s">
        <v>193</v>
      </c>
      <c r="AY386" t="s">
        <v>201</v>
      </c>
      <c r="AZ386" t="s">
        <v>207</v>
      </c>
      <c r="BA386" t="s">
        <v>207</v>
      </c>
      <c r="BB386" t="s">
        <v>207</v>
      </c>
      <c r="BC386" t="s">
        <v>207</v>
      </c>
      <c r="BD386" t="s">
        <v>207</v>
      </c>
      <c r="BE386" t="str">
        <f>IF(AY386="","Unknown",AY386)</f>
        <v>36-40</v>
      </c>
      <c r="BF386" s="11" t="str">
        <f>IF(AZ386="","unknown",AZ386)</f>
        <v>NO</v>
      </c>
      <c r="BG386" s="11" t="str">
        <f>IF(BA386="","UNKNOWN",BA386)</f>
        <v>NO</v>
      </c>
      <c r="BH386" s="11" t="str">
        <f>IF(BB386="","unknown",BB386)</f>
        <v>NO</v>
      </c>
      <c r="BI386" s="11" t="str">
        <f>IF(BC386="","Unknon",BC386)</f>
        <v>NO</v>
      </c>
      <c r="BJ386" s="11" t="str">
        <f>IF(BD386="","Unknown",BD386)</f>
        <v>NO</v>
      </c>
      <c r="BK386" s="11">
        <f>VALUE(C386)-VALUE(D386)</f>
        <v>2</v>
      </c>
      <c r="BM386" s="11"/>
    </row>
    <row r="387" hidden="1" spans="1:56">
      <c r="A387">
        <v>386</v>
      </c>
      <c r="B387" t="s">
        <v>259</v>
      </c>
      <c r="C387">
        <v>2023</v>
      </c>
      <c r="D387">
        <v>1995</v>
      </c>
      <c r="E387">
        <v>2004</v>
      </c>
      <c r="F387" t="s">
        <v>256</v>
      </c>
      <c r="G387" t="s">
        <v>279</v>
      </c>
      <c r="H387" t="s">
        <v>247</v>
      </c>
      <c r="I387"/>
      <c r="J387" t="s">
        <v>252</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1</v>
      </c>
      <c r="AC387" t="s">
        <v>173</v>
      </c>
      <c r="AD387" t="s">
        <v>173</v>
      </c>
      <c r="AE387" t="s">
        <v>173</v>
      </c>
      <c r="AF387" t="s">
        <v>173</v>
      </c>
      <c r="AG387" t="s">
        <v>173</v>
      </c>
      <c r="AH387" t="s">
        <v>173</v>
      </c>
      <c r="AI387" t="s">
        <v>173</v>
      </c>
      <c r="AJ387" t="s">
        <v>171</v>
      </c>
      <c r="AK387" t="s">
        <v>171</v>
      </c>
      <c r="AL387" t="s">
        <v>173</v>
      </c>
      <c r="AM387" t="s">
        <v>173</v>
      </c>
      <c r="AN387" t="s">
        <v>173</v>
      </c>
      <c r="AO387" t="s">
        <v>173</v>
      </c>
      <c r="AP387" t="s">
        <v>171</v>
      </c>
      <c r="AQ387" t="s">
        <v>171</v>
      </c>
      <c r="AR387" t="s">
        <v>173</v>
      </c>
      <c r="AS387" t="s">
        <v>171</v>
      </c>
      <c r="AT387" t="s">
        <v>173</v>
      </c>
      <c r="AU387" t="s">
        <v>173</v>
      </c>
      <c r="AV387" t="s">
        <v>173</v>
      </c>
      <c r="AW387" t="s">
        <v>171</v>
      </c>
      <c r="AX387" t="s">
        <v>192</v>
      </c>
      <c r="AY387" t="s">
        <v>195</v>
      </c>
      <c r="AZ387" t="s">
        <v>183</v>
      </c>
      <c r="BA387" t="s">
        <v>183</v>
      </c>
      <c r="BB387" t="s">
        <v>183</v>
      </c>
      <c r="BC387" t="s">
        <v>183</v>
      </c>
      <c r="BD387" t="s">
        <v>183</v>
      </c>
    </row>
    <row r="388" hidden="1" spans="1:56">
      <c r="A388">
        <v>387</v>
      </c>
      <c r="B388" t="s">
        <v>280</v>
      </c>
      <c r="C388">
        <v>2023</v>
      </c>
      <c r="D388">
        <v>1985</v>
      </c>
      <c r="E388">
        <v>1997</v>
      </c>
      <c r="F388" t="s">
        <v>262</v>
      </c>
      <c r="G388"/>
      <c r="H388" t="s">
        <v>264</v>
      </c>
      <c r="I388"/>
      <c r="J388" t="s">
        <v>265</v>
      </c>
      <c r="K388" t="b">
        <v>0</v>
      </c>
      <c r="L388" t="b">
        <v>0</v>
      </c>
      <c r="M388" t="b">
        <v>0</v>
      </c>
      <c r="N388" t="b">
        <v>0</v>
      </c>
      <c r="O388" t="b">
        <v>0</v>
      </c>
      <c r="P388" t="b">
        <v>0</v>
      </c>
      <c r="Q388" t="b">
        <v>0</v>
      </c>
      <c r="R388" t="b">
        <v>0</v>
      </c>
      <c r="S388" t="b">
        <v>0</v>
      </c>
      <c r="T388" t="b">
        <v>0</v>
      </c>
      <c r="U388" t="b">
        <v>0</v>
      </c>
      <c r="V388" t="b">
        <v>0</v>
      </c>
      <c r="W388" t="b">
        <v>0</v>
      </c>
      <c r="X388" t="b">
        <v>1</v>
      </c>
      <c r="Y388" t="b">
        <v>0</v>
      </c>
      <c r="Z388" t="b">
        <v>0</v>
      </c>
      <c r="AA388" t="b">
        <v>0</v>
      </c>
      <c r="AB388" t="b">
        <v>0</v>
      </c>
      <c r="AC388" t="s">
        <v>171</v>
      </c>
      <c r="AD388" t="s">
        <v>171</v>
      </c>
      <c r="AE388" t="s">
        <v>171</v>
      </c>
      <c r="AF388" t="s">
        <v>171</v>
      </c>
      <c r="AG388" t="s">
        <v>171</v>
      </c>
      <c r="AH388" t="s">
        <v>171</v>
      </c>
      <c r="AI388" t="s">
        <v>171</v>
      </c>
      <c r="AJ388" t="s">
        <v>171</v>
      </c>
      <c r="AK388" t="s">
        <v>171</v>
      </c>
      <c r="AL388" t="s">
        <v>171</v>
      </c>
      <c r="AM388" t="s">
        <v>171</v>
      </c>
      <c r="AN388" t="s">
        <v>171</v>
      </c>
      <c r="AO388" t="s">
        <v>171</v>
      </c>
      <c r="AP388" t="s">
        <v>171</v>
      </c>
      <c r="AQ388" t="s">
        <v>171</v>
      </c>
      <c r="AR388" t="s">
        <v>171</v>
      </c>
      <c r="AS388" t="s">
        <v>171</v>
      </c>
      <c r="AT388" t="s">
        <v>171</v>
      </c>
      <c r="AU388" t="s">
        <v>171</v>
      </c>
      <c r="AV388" t="s">
        <v>171</v>
      </c>
      <c r="AW388" t="s">
        <v>171</v>
      </c>
      <c r="AX388" t="s">
        <v>193</v>
      </c>
      <c r="AY388" t="s">
        <v>197</v>
      </c>
      <c r="AZ388" t="s">
        <v>183</v>
      </c>
      <c r="BA388" t="s">
        <v>183</v>
      </c>
      <c r="BB388" t="s">
        <v>183</v>
      </c>
      <c r="BC388" t="s">
        <v>183</v>
      </c>
      <c r="BD388" t="s">
        <v>183</v>
      </c>
    </row>
    <row r="389" hidden="1" spans="1:56">
      <c r="A389">
        <v>388</v>
      </c>
      <c r="B389" t="s">
        <v>259</v>
      </c>
      <c r="C389">
        <v>2023</v>
      </c>
      <c r="D389">
        <v>1987</v>
      </c>
      <c r="E389">
        <v>1999</v>
      </c>
      <c r="F389" t="s">
        <v>256</v>
      </c>
      <c r="G389" t="s">
        <v>257</v>
      </c>
      <c r="H389" t="s">
        <v>247</v>
      </c>
      <c r="I389"/>
      <c r="J389" t="s">
        <v>252</v>
      </c>
      <c r="K389" t="b">
        <v>0</v>
      </c>
      <c r="L389" t="b">
        <v>0</v>
      </c>
      <c r="M389" t="b">
        <v>0</v>
      </c>
      <c r="N389" t="b">
        <v>0</v>
      </c>
      <c r="O389" t="b">
        <v>0</v>
      </c>
      <c r="P389" t="b">
        <v>0</v>
      </c>
      <c r="Q389" t="b">
        <v>0</v>
      </c>
      <c r="R389" t="b">
        <v>0</v>
      </c>
      <c r="S389" t="b">
        <v>0</v>
      </c>
      <c r="T389" t="b">
        <v>0</v>
      </c>
      <c r="U389" t="b">
        <v>0</v>
      </c>
      <c r="V389" t="b">
        <v>0</v>
      </c>
      <c r="W389" t="b">
        <v>0</v>
      </c>
      <c r="X389" t="b">
        <v>0</v>
      </c>
      <c r="Y389" t="b">
        <v>0</v>
      </c>
      <c r="Z389" t="b">
        <v>1</v>
      </c>
      <c r="AA389" t="b">
        <v>0</v>
      </c>
      <c r="AB389" t="b">
        <v>0</v>
      </c>
      <c r="AC389" t="s">
        <v>173</v>
      </c>
      <c r="AD389" t="s">
        <v>173</v>
      </c>
      <c r="AE389" t="s">
        <v>173</v>
      </c>
      <c r="AF389" t="s">
        <v>173</v>
      </c>
      <c r="AG389" t="s">
        <v>171</v>
      </c>
      <c r="AH389" t="s">
        <v>173</v>
      </c>
      <c r="AI389" t="s">
        <v>173</v>
      </c>
      <c r="AJ389" t="s">
        <v>173</v>
      </c>
      <c r="AK389" t="s">
        <v>173</v>
      </c>
      <c r="AL389" t="s">
        <v>173</v>
      </c>
      <c r="AM389" t="s">
        <v>173</v>
      </c>
      <c r="AN389" t="s">
        <v>173</v>
      </c>
      <c r="AO389" t="s">
        <v>173</v>
      </c>
      <c r="AP389" t="s">
        <v>173</v>
      </c>
      <c r="AQ389" t="s">
        <v>173</v>
      </c>
      <c r="AR389" t="s">
        <v>173</v>
      </c>
      <c r="AS389" t="s">
        <v>175</v>
      </c>
      <c r="AT389" t="s">
        <v>173</v>
      </c>
      <c r="AU389" t="s">
        <v>175</v>
      </c>
      <c r="AV389" t="s">
        <v>173</v>
      </c>
      <c r="AW389" t="s">
        <v>173</v>
      </c>
      <c r="AX389" t="s">
        <v>192</v>
      </c>
      <c r="AY389" t="s">
        <v>197</v>
      </c>
      <c r="AZ389" t="s">
        <v>183</v>
      </c>
      <c r="BA389" t="s">
        <v>183</v>
      </c>
      <c r="BB389" t="s">
        <v>183</v>
      </c>
      <c r="BC389" t="s">
        <v>183</v>
      </c>
      <c r="BD389" t="s">
        <v>183</v>
      </c>
    </row>
    <row r="390" hidden="1" spans="1:56">
      <c r="A390">
        <v>389</v>
      </c>
      <c r="B390" t="s">
        <v>272</v>
      </c>
      <c r="C390">
        <v>2023</v>
      </c>
      <c r="D390">
        <v>2016</v>
      </c>
      <c r="E390">
        <v>2016</v>
      </c>
      <c r="F390" t="s">
        <v>256</v>
      </c>
      <c r="G390" t="s">
        <v>263</v>
      </c>
      <c r="H390" t="s">
        <v>247</v>
      </c>
      <c r="I390"/>
      <c r="J390" t="s">
        <v>252</v>
      </c>
      <c r="K390" t="b">
        <v>1</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s">
        <v>173</v>
      </c>
      <c r="AD390" t="s">
        <v>171</v>
      </c>
      <c r="AE390" t="s">
        <v>171</v>
      </c>
      <c r="AF390" t="s">
        <v>171</v>
      </c>
      <c r="AG390" t="s">
        <v>171</v>
      </c>
      <c r="AH390" t="s">
        <v>171</v>
      </c>
      <c r="AI390" t="s">
        <v>171</v>
      </c>
      <c r="AJ390" t="s">
        <v>171</v>
      </c>
      <c r="AK390" t="s">
        <v>173</v>
      </c>
      <c r="AL390" t="s">
        <v>171</v>
      </c>
      <c r="AM390" t="s">
        <v>171</v>
      </c>
      <c r="AN390" t="s">
        <v>171</v>
      </c>
      <c r="AO390" t="s">
        <v>173</v>
      </c>
      <c r="AP390" t="s">
        <v>171</v>
      </c>
      <c r="AQ390" t="s">
        <v>183</v>
      </c>
      <c r="AR390" t="s">
        <v>173</v>
      </c>
      <c r="AS390" t="s">
        <v>171</v>
      </c>
      <c r="AT390" t="s">
        <v>171</v>
      </c>
      <c r="AU390" t="s">
        <v>171</v>
      </c>
      <c r="AV390" t="s">
        <v>171</v>
      </c>
      <c r="AW390" t="s">
        <v>171</v>
      </c>
      <c r="AX390" t="s">
        <v>192</v>
      </c>
      <c r="AY390" t="s">
        <v>198</v>
      </c>
      <c r="AZ390" t="s">
        <v>183</v>
      </c>
      <c r="BA390" t="s">
        <v>183</v>
      </c>
      <c r="BB390" t="s">
        <v>183</v>
      </c>
      <c r="BC390" t="s">
        <v>183</v>
      </c>
      <c r="BD390" t="s">
        <v>183</v>
      </c>
    </row>
    <row r="391" hidden="1" spans="1:56">
      <c r="A391">
        <v>390</v>
      </c>
      <c r="B391" t="s">
        <v>269</v>
      </c>
      <c r="C391">
        <v>2023</v>
      </c>
      <c r="D391">
        <v>1994</v>
      </c>
      <c r="E391">
        <v>2008</v>
      </c>
      <c r="F391" t="s">
        <v>256</v>
      </c>
      <c r="G391" t="s">
        <v>263</v>
      </c>
      <c r="H391" t="s">
        <v>258</v>
      </c>
      <c r="I391"/>
      <c r="J391" t="s">
        <v>252</v>
      </c>
      <c r="K391" t="b">
        <v>1</v>
      </c>
      <c r="L391" t="b">
        <v>0</v>
      </c>
      <c r="M391" t="b">
        <v>0</v>
      </c>
      <c r="N391" t="b">
        <v>0</v>
      </c>
      <c r="O391" t="b">
        <v>0</v>
      </c>
      <c r="P391" t="b">
        <v>0</v>
      </c>
      <c r="Q391" t="b">
        <v>0</v>
      </c>
      <c r="R391" t="b">
        <v>0</v>
      </c>
      <c r="S391" t="b">
        <v>0</v>
      </c>
      <c r="T391" t="b">
        <v>0</v>
      </c>
      <c r="U391" t="b">
        <v>0</v>
      </c>
      <c r="V391" t="b">
        <v>0</v>
      </c>
      <c r="W391" t="b">
        <v>0</v>
      </c>
      <c r="X391" t="b">
        <v>0</v>
      </c>
      <c r="Y391" t="b">
        <v>0</v>
      </c>
      <c r="Z391" t="b">
        <v>1</v>
      </c>
      <c r="AA391" t="b">
        <v>0</v>
      </c>
      <c r="AB391" t="b">
        <v>0</v>
      </c>
      <c r="AC391" t="s">
        <v>175</v>
      </c>
      <c r="AD391" t="s">
        <v>173</v>
      </c>
      <c r="AE391" t="s">
        <v>177</v>
      </c>
      <c r="AF391" t="s">
        <v>175</v>
      </c>
      <c r="AG391" t="s">
        <v>173</v>
      </c>
      <c r="AH391" t="s">
        <v>173</v>
      </c>
      <c r="AI391" t="s">
        <v>177</v>
      </c>
      <c r="AJ391" t="s">
        <v>175</v>
      </c>
      <c r="AK391" t="s">
        <v>173</v>
      </c>
      <c r="AL391" t="s">
        <v>173</v>
      </c>
      <c r="AM391" t="s">
        <v>177</v>
      </c>
      <c r="AN391" t="s">
        <v>175</v>
      </c>
      <c r="AO391" t="s">
        <v>177</v>
      </c>
      <c r="AP391" t="s">
        <v>175</v>
      </c>
      <c r="AQ391" t="s">
        <v>173</v>
      </c>
      <c r="AR391" t="s">
        <v>173</v>
      </c>
      <c r="AS391" t="s">
        <v>173</v>
      </c>
      <c r="AT391" t="s">
        <v>175</v>
      </c>
      <c r="AU391" t="s">
        <v>175</v>
      </c>
      <c r="AV391" t="s">
        <v>177</v>
      </c>
      <c r="AW391" t="s">
        <v>173</v>
      </c>
      <c r="AX391" t="s">
        <v>192</v>
      </c>
      <c r="AY391" t="s">
        <v>198</v>
      </c>
      <c r="AZ391" t="s">
        <v>183</v>
      </c>
      <c r="BA391" t="s">
        <v>183</v>
      </c>
      <c r="BB391" t="s">
        <v>183</v>
      </c>
      <c r="BC391" t="s">
        <v>183</v>
      </c>
      <c r="BD391" t="s">
        <v>183</v>
      </c>
    </row>
    <row r="392" hidden="1" spans="1:56">
      <c r="A392">
        <v>391</v>
      </c>
      <c r="B392" t="s">
        <v>269</v>
      </c>
      <c r="C392">
        <v>2023</v>
      </c>
      <c r="D392">
        <v>2009</v>
      </c>
      <c r="E392">
        <v>209</v>
      </c>
      <c r="F392" t="s">
        <v>256</v>
      </c>
      <c r="G392" t="s">
        <v>263</v>
      </c>
      <c r="H392" t="s">
        <v>258</v>
      </c>
      <c r="I392"/>
      <c r="J392" t="s">
        <v>252</v>
      </c>
      <c r="K392" t="b">
        <v>0</v>
      </c>
      <c r="L392" t="b">
        <v>1</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s">
        <v>175</v>
      </c>
      <c r="AD392" t="s">
        <v>175</v>
      </c>
      <c r="AE392" t="s">
        <v>173</v>
      </c>
      <c r="AF392" t="s">
        <v>173</v>
      </c>
      <c r="AG392" t="s">
        <v>173</v>
      </c>
      <c r="AH392" t="s">
        <v>173</v>
      </c>
      <c r="AI392" t="s">
        <v>173</v>
      </c>
      <c r="AJ392" t="s">
        <v>173</v>
      </c>
      <c r="AK392" t="s">
        <v>171</v>
      </c>
      <c r="AL392" t="s">
        <v>171</v>
      </c>
      <c r="AM392" t="s">
        <v>171</v>
      </c>
      <c r="AN392" t="s">
        <v>173</v>
      </c>
      <c r="AO392" t="s">
        <v>173</v>
      </c>
      <c r="AP392" t="s">
        <v>173</v>
      </c>
      <c r="AQ392" t="s">
        <v>175</v>
      </c>
      <c r="AR392" t="s">
        <v>175</v>
      </c>
      <c r="AS392" t="s">
        <v>173</v>
      </c>
      <c r="AT392" t="s">
        <v>175</v>
      </c>
      <c r="AU392" t="s">
        <v>175</v>
      </c>
      <c r="AV392" t="s">
        <v>175</v>
      </c>
      <c r="AW392" t="s">
        <v>175</v>
      </c>
      <c r="AX392" t="s">
        <v>192</v>
      </c>
      <c r="AY392" t="s">
        <v>198</v>
      </c>
      <c r="AZ392" t="s">
        <v>183</v>
      </c>
      <c r="BA392" t="s">
        <v>183</v>
      </c>
      <c r="BB392" t="s">
        <v>183</v>
      </c>
      <c r="BC392" t="s">
        <v>183</v>
      </c>
      <c r="BD392" t="s">
        <v>183</v>
      </c>
    </row>
    <row r="393" hidden="1" spans="1:56">
      <c r="A393">
        <v>392</v>
      </c>
      <c r="B393" t="s">
        <v>269</v>
      </c>
      <c r="C393">
        <v>2022</v>
      </c>
      <c r="D393">
        <v>2016</v>
      </c>
      <c r="E393">
        <v>2016</v>
      </c>
      <c r="F393" t="s">
        <v>256</v>
      </c>
      <c r="G393" t="s">
        <v>263</v>
      </c>
      <c r="H393" t="s">
        <v>264</v>
      </c>
      <c r="I393"/>
      <c r="J393" t="s">
        <v>252</v>
      </c>
      <c r="K393" t="b">
        <v>0</v>
      </c>
      <c r="L393" t="b">
        <v>1</v>
      </c>
      <c r="M393" t="b">
        <v>1</v>
      </c>
      <c r="N393" t="b">
        <v>1</v>
      </c>
      <c r="O393" t="b">
        <v>0</v>
      </c>
      <c r="P393" t="b">
        <v>0</v>
      </c>
      <c r="Q393" t="b">
        <v>0</v>
      </c>
      <c r="R393" t="b">
        <v>0</v>
      </c>
      <c r="S393" t="b">
        <v>0</v>
      </c>
      <c r="T393" t="b">
        <v>0</v>
      </c>
      <c r="U393" t="b">
        <v>0</v>
      </c>
      <c r="V393" t="b">
        <v>0</v>
      </c>
      <c r="W393" t="b">
        <v>0</v>
      </c>
      <c r="X393" t="b">
        <v>0</v>
      </c>
      <c r="Y393" t="b">
        <v>0</v>
      </c>
      <c r="Z393" t="b">
        <v>0</v>
      </c>
      <c r="AA393" t="b">
        <v>0</v>
      </c>
      <c r="AB393" t="b">
        <v>0</v>
      </c>
      <c r="AC393" t="s">
        <v>175</v>
      </c>
      <c r="AD393" t="s">
        <v>173</v>
      </c>
      <c r="AE393" t="s">
        <v>177</v>
      </c>
      <c r="AF393" t="s">
        <v>179</v>
      </c>
      <c r="AG393" t="s">
        <v>175</v>
      </c>
      <c r="AH393" t="s">
        <v>177</v>
      </c>
      <c r="AI393" t="s">
        <v>177</v>
      </c>
      <c r="AJ393" t="s">
        <v>179</v>
      </c>
      <c r="AK393" t="s">
        <v>175</v>
      </c>
      <c r="AL393" t="s">
        <v>179</v>
      </c>
      <c r="AM393" t="s">
        <v>177</v>
      </c>
      <c r="AN393" t="s">
        <v>175</v>
      </c>
      <c r="AO393" t="s">
        <v>175</v>
      </c>
      <c r="AP393" t="s">
        <v>177</v>
      </c>
      <c r="AQ393" t="s">
        <v>179</v>
      </c>
      <c r="AR393" t="s">
        <v>179</v>
      </c>
      <c r="AS393" t="s">
        <v>179</v>
      </c>
      <c r="AT393" t="s">
        <v>175</v>
      </c>
      <c r="AU393" t="s">
        <v>179</v>
      </c>
      <c r="AV393" t="s">
        <v>179</v>
      </c>
      <c r="AW393" t="s">
        <v>179</v>
      </c>
      <c r="AX393" t="s">
        <v>192</v>
      </c>
      <c r="AY393" t="s">
        <v>203</v>
      </c>
      <c r="AZ393" t="s">
        <v>183</v>
      </c>
      <c r="BA393" t="s">
        <v>183</v>
      </c>
      <c r="BB393" t="s">
        <v>183</v>
      </c>
      <c r="BC393" t="s">
        <v>183</v>
      </c>
      <c r="BD393" t="s">
        <v>183</v>
      </c>
    </row>
    <row r="394" hidden="1" spans="1:56">
      <c r="A394">
        <v>393</v>
      </c>
      <c r="B394" t="s">
        <v>259</v>
      </c>
      <c r="C394">
        <v>2023</v>
      </c>
      <c r="D394">
        <v>1982</v>
      </c>
      <c r="E394">
        <v>1997</v>
      </c>
      <c r="F394" t="s">
        <v>256</v>
      </c>
      <c r="G394" t="s">
        <v>257</v>
      </c>
      <c r="H394" t="s">
        <v>264</v>
      </c>
      <c r="I394"/>
      <c r="J394" t="s">
        <v>252</v>
      </c>
      <c r="K394" t="b">
        <v>0</v>
      </c>
      <c r="L394" t="b">
        <v>0</v>
      </c>
      <c r="M394" t="b">
        <v>0</v>
      </c>
      <c r="N394" t="b">
        <v>0</v>
      </c>
      <c r="O394" t="b">
        <v>0</v>
      </c>
      <c r="P394" t="b">
        <v>0</v>
      </c>
      <c r="Q394" t="b">
        <v>0</v>
      </c>
      <c r="R394" t="b">
        <v>0</v>
      </c>
      <c r="S394" t="b">
        <v>0</v>
      </c>
      <c r="T394" t="b">
        <v>0</v>
      </c>
      <c r="U394" t="b">
        <v>0</v>
      </c>
      <c r="V394" t="b">
        <v>0</v>
      </c>
      <c r="W394" t="b">
        <v>0</v>
      </c>
      <c r="X394" t="b">
        <v>0</v>
      </c>
      <c r="Y394" t="b">
        <v>0</v>
      </c>
      <c r="Z394" t="b">
        <v>1</v>
      </c>
      <c r="AA394" t="b">
        <v>0</v>
      </c>
      <c r="AB394" t="b">
        <v>0</v>
      </c>
      <c r="AC394" t="s">
        <v>173</v>
      </c>
      <c r="AD394" t="s">
        <v>173</v>
      </c>
      <c r="AE394" t="s">
        <v>175</v>
      </c>
      <c r="AF394" t="s">
        <v>175</v>
      </c>
      <c r="AG394" t="s">
        <v>175</v>
      </c>
      <c r="AH394" t="s">
        <v>173</v>
      </c>
      <c r="AI394" t="s">
        <v>173</v>
      </c>
      <c r="AJ394" t="s">
        <v>175</v>
      </c>
      <c r="AK394" t="s">
        <v>175</v>
      </c>
      <c r="AL394" t="s">
        <v>173</v>
      </c>
      <c r="AM394" t="s">
        <v>173</v>
      </c>
      <c r="AN394" t="s">
        <v>175</v>
      </c>
      <c r="AO394" t="s">
        <v>175</v>
      </c>
      <c r="AP394" t="s">
        <v>175</v>
      </c>
      <c r="AQ394" t="s">
        <v>175</v>
      </c>
      <c r="AR394" t="s">
        <v>175</v>
      </c>
      <c r="AS394" t="s">
        <v>175</v>
      </c>
      <c r="AT394" t="s">
        <v>173</v>
      </c>
      <c r="AU394" t="s">
        <v>173</v>
      </c>
      <c r="AV394" t="s">
        <v>175</v>
      </c>
      <c r="AW394" t="s">
        <v>175</v>
      </c>
      <c r="AX394" t="s">
        <v>193</v>
      </c>
      <c r="AY394" t="s">
        <v>196</v>
      </c>
      <c r="AZ394" t="s">
        <v>183</v>
      </c>
      <c r="BA394" t="s">
        <v>183</v>
      </c>
      <c r="BB394" t="s">
        <v>183</v>
      </c>
      <c r="BC394" t="s">
        <v>183</v>
      </c>
      <c r="BD394" t="s">
        <v>183</v>
      </c>
    </row>
    <row r="395" hidden="1" spans="1:56">
      <c r="A395">
        <v>394</v>
      </c>
      <c r="B395" t="s">
        <v>282</v>
      </c>
      <c r="C395">
        <v>2022</v>
      </c>
      <c r="D395">
        <v>2017</v>
      </c>
      <c r="E395">
        <v>2017</v>
      </c>
      <c r="F395" t="s">
        <v>256</v>
      </c>
      <c r="G395" t="s">
        <v>263</v>
      </c>
      <c r="H395" t="s">
        <v>268</v>
      </c>
      <c r="I395"/>
      <c r="J395" t="s">
        <v>252</v>
      </c>
      <c r="K395" t="b">
        <v>0</v>
      </c>
      <c r="L395" t="b">
        <v>0</v>
      </c>
      <c r="M395" t="b">
        <v>0</v>
      </c>
      <c r="N395" t="b">
        <v>0</v>
      </c>
      <c r="O395" t="b">
        <v>0</v>
      </c>
      <c r="P395" t="b">
        <v>0</v>
      </c>
      <c r="Q395" t="b">
        <v>0</v>
      </c>
      <c r="R395" t="b">
        <v>0</v>
      </c>
      <c r="S395" t="b">
        <v>0</v>
      </c>
      <c r="T395" t="b">
        <v>0</v>
      </c>
      <c r="U395" t="b">
        <v>0</v>
      </c>
      <c r="V395" t="b">
        <v>0</v>
      </c>
      <c r="W395" t="b">
        <v>0</v>
      </c>
      <c r="X395" t="b">
        <v>0</v>
      </c>
      <c r="Y395" t="b">
        <v>1</v>
      </c>
      <c r="Z395" t="b">
        <v>0</v>
      </c>
      <c r="AA395" t="b">
        <v>0</v>
      </c>
      <c r="AB395" t="b">
        <v>0</v>
      </c>
      <c r="AC395" t="s">
        <v>173</v>
      </c>
      <c r="AD395" t="s">
        <v>173</v>
      </c>
      <c r="AE395" t="s">
        <v>177</v>
      </c>
      <c r="AF395" t="s">
        <v>177</v>
      </c>
      <c r="AG395" t="s">
        <v>177</v>
      </c>
      <c r="AH395" t="s">
        <v>179</v>
      </c>
      <c r="AI395" t="s">
        <v>179</v>
      </c>
      <c r="AJ395" t="s">
        <v>183</v>
      </c>
      <c r="AK395" t="s">
        <v>179</v>
      </c>
      <c r="AL395" t="s">
        <v>183</v>
      </c>
      <c r="AM395" t="s">
        <v>183</v>
      </c>
      <c r="AN395" t="s">
        <v>175</v>
      </c>
      <c r="AO395" t="s">
        <v>179</v>
      </c>
      <c r="AP395" t="s">
        <v>179</v>
      </c>
      <c r="AQ395" t="s">
        <v>179</v>
      </c>
      <c r="AR395" t="s">
        <v>183</v>
      </c>
      <c r="AS395" t="s">
        <v>183</v>
      </c>
      <c r="AT395" t="s">
        <v>183</v>
      </c>
      <c r="AU395" t="s">
        <v>179</v>
      </c>
      <c r="AV395" t="s">
        <v>183</v>
      </c>
      <c r="AW395" t="s">
        <v>177</v>
      </c>
      <c r="AX395" t="s">
        <v>193</v>
      </c>
      <c r="AY395" t="s">
        <v>198</v>
      </c>
      <c r="AZ395" t="s">
        <v>183</v>
      </c>
      <c r="BA395" t="s">
        <v>183</v>
      </c>
      <c r="BB395" t="s">
        <v>183</v>
      </c>
      <c r="BC395" t="s">
        <v>183</v>
      </c>
      <c r="BD395" t="s">
        <v>183</v>
      </c>
    </row>
    <row r="396" hidden="1" spans="1:56">
      <c r="A396">
        <v>395</v>
      </c>
      <c r="B396" t="s">
        <v>259</v>
      </c>
      <c r="C396">
        <v>2023</v>
      </c>
      <c r="D396">
        <v>1989</v>
      </c>
      <c r="E396">
        <v>1989</v>
      </c>
      <c r="F396" t="s">
        <v>256</v>
      </c>
      <c r="G396" t="s">
        <v>257</v>
      </c>
      <c r="H396" t="s">
        <v>264</v>
      </c>
      <c r="I396"/>
      <c r="J396" t="s">
        <v>252</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1</v>
      </c>
      <c r="AC396" t="s">
        <v>171</v>
      </c>
      <c r="AD396" t="s">
        <v>173</v>
      </c>
      <c r="AE396" t="s">
        <v>173</v>
      </c>
      <c r="AF396" t="s">
        <v>171</v>
      </c>
      <c r="AG396" t="s">
        <v>171</v>
      </c>
      <c r="AH396" t="s">
        <v>173</v>
      </c>
      <c r="AI396" t="s">
        <v>173</v>
      </c>
      <c r="AJ396" t="s">
        <v>171</v>
      </c>
      <c r="AK396" t="s">
        <v>171</v>
      </c>
      <c r="AL396" t="s">
        <v>171</v>
      </c>
      <c r="AM396" t="s">
        <v>173</v>
      </c>
      <c r="AN396" t="s">
        <v>173</v>
      </c>
      <c r="AO396" t="s">
        <v>171</v>
      </c>
      <c r="AP396" t="s">
        <v>171</v>
      </c>
      <c r="AQ396" t="s">
        <v>173</v>
      </c>
      <c r="AR396" t="s">
        <v>171</v>
      </c>
      <c r="AS396" t="s">
        <v>171</v>
      </c>
      <c r="AT396" t="s">
        <v>173</v>
      </c>
      <c r="AU396" t="s">
        <v>173</v>
      </c>
      <c r="AV396" t="s">
        <v>173</v>
      </c>
      <c r="AW396" t="s">
        <v>173</v>
      </c>
      <c r="AX396" t="s">
        <v>193</v>
      </c>
      <c r="AY396" t="s">
        <v>196</v>
      </c>
      <c r="AZ396" t="s">
        <v>183</v>
      </c>
      <c r="BA396" t="s">
        <v>183</v>
      </c>
      <c r="BB396" t="s">
        <v>183</v>
      </c>
      <c r="BC396" t="s">
        <v>183</v>
      </c>
      <c r="BD396" t="s">
        <v>183</v>
      </c>
    </row>
    <row r="397" hidden="1" spans="1:56">
      <c r="A397">
        <v>396</v>
      </c>
      <c r="B397" t="s">
        <v>259</v>
      </c>
      <c r="C397">
        <v>2023</v>
      </c>
      <c r="D397">
        <v>1998</v>
      </c>
      <c r="E397">
        <v>1999</v>
      </c>
      <c r="F397" t="s">
        <v>256</v>
      </c>
      <c r="G397" t="s">
        <v>263</v>
      </c>
      <c r="H397" t="s">
        <v>274</v>
      </c>
      <c r="I397"/>
      <c r="J397" t="s">
        <v>265</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1</v>
      </c>
      <c r="AC397" t="s">
        <v>173</v>
      </c>
      <c r="AD397" t="s">
        <v>173</v>
      </c>
      <c r="AE397" t="s">
        <v>175</v>
      </c>
      <c r="AF397" t="s">
        <v>175</v>
      </c>
      <c r="AG397" t="s">
        <v>175</v>
      </c>
      <c r="AH397" t="s">
        <v>173</v>
      </c>
      <c r="AI397" t="s">
        <v>175</v>
      </c>
      <c r="AJ397" t="s">
        <v>173</v>
      </c>
      <c r="AK397" t="s">
        <v>171</v>
      </c>
      <c r="AL397" t="s">
        <v>173</v>
      </c>
      <c r="AM397" t="s">
        <v>175</v>
      </c>
      <c r="AN397" t="s">
        <v>175</v>
      </c>
      <c r="AO397" t="s">
        <v>175</v>
      </c>
      <c r="AP397" t="s">
        <v>175</v>
      </c>
      <c r="AQ397" t="s">
        <v>173</v>
      </c>
      <c r="AR397" t="s">
        <v>173</v>
      </c>
      <c r="AS397" t="s">
        <v>173</v>
      </c>
      <c r="AT397" t="s">
        <v>173</v>
      </c>
      <c r="AU397" t="s">
        <v>173</v>
      </c>
      <c r="AV397" t="s">
        <v>175</v>
      </c>
      <c r="AW397" t="s">
        <v>173</v>
      </c>
      <c r="AX397" t="s">
        <v>193</v>
      </c>
      <c r="AY397" t="s">
        <v>196</v>
      </c>
      <c r="AZ397" t="s">
        <v>183</v>
      </c>
      <c r="BA397" t="s">
        <v>183</v>
      </c>
      <c r="BB397" t="s">
        <v>183</v>
      </c>
      <c r="BC397" t="s">
        <v>183</v>
      </c>
      <c r="BD397" t="s">
        <v>183</v>
      </c>
    </row>
    <row r="398" hidden="1" spans="1:56">
      <c r="A398">
        <v>397</v>
      </c>
      <c r="B398" t="s">
        <v>259</v>
      </c>
      <c r="C398">
        <v>2023</v>
      </c>
      <c r="D398">
        <v>1988</v>
      </c>
      <c r="E398">
        <v>2000</v>
      </c>
      <c r="F398" t="s">
        <v>256</v>
      </c>
      <c r="G398" t="s">
        <v>263</v>
      </c>
      <c r="H398" t="s">
        <v>273</v>
      </c>
      <c r="I398"/>
      <c r="J398" t="s">
        <v>265</v>
      </c>
      <c r="K398" t="b">
        <v>0</v>
      </c>
      <c r="L398" t="b">
        <v>0</v>
      </c>
      <c r="M398" t="b">
        <v>0</v>
      </c>
      <c r="N398" t="b">
        <v>0</v>
      </c>
      <c r="O398" t="b">
        <v>0</v>
      </c>
      <c r="P398" t="b">
        <v>0</v>
      </c>
      <c r="Q398" t="b">
        <v>0</v>
      </c>
      <c r="R398" t="b">
        <v>0</v>
      </c>
      <c r="S398" t="b">
        <v>0</v>
      </c>
      <c r="T398" t="b">
        <v>0</v>
      </c>
      <c r="U398" t="b">
        <v>0</v>
      </c>
      <c r="V398" t="b">
        <v>0</v>
      </c>
      <c r="W398" t="b">
        <v>1</v>
      </c>
      <c r="X398" t="b">
        <v>0</v>
      </c>
      <c r="Y398" t="b">
        <v>0</v>
      </c>
      <c r="Z398" t="b">
        <v>1</v>
      </c>
      <c r="AA398" t="b">
        <v>0</v>
      </c>
      <c r="AB398" t="b">
        <v>0</v>
      </c>
      <c r="AC398" t="s">
        <v>175</v>
      </c>
      <c r="AD398" t="s">
        <v>173</v>
      </c>
      <c r="AE398" t="s">
        <v>173</v>
      </c>
      <c r="AF398" t="s">
        <v>173</v>
      </c>
      <c r="AG398" t="s">
        <v>173</v>
      </c>
      <c r="AH398" t="s">
        <v>171</v>
      </c>
      <c r="AI398" t="s">
        <v>173</v>
      </c>
      <c r="AJ398" t="s">
        <v>173</v>
      </c>
      <c r="AK398" t="s">
        <v>173</v>
      </c>
      <c r="AL398" t="s">
        <v>171</v>
      </c>
      <c r="AM398" t="s">
        <v>173</v>
      </c>
      <c r="AN398" t="s">
        <v>173</v>
      </c>
      <c r="AO398" t="s">
        <v>173</v>
      </c>
      <c r="AP398" t="s">
        <v>173</v>
      </c>
      <c r="AQ398" t="s">
        <v>173</v>
      </c>
      <c r="AR398" t="s">
        <v>171</v>
      </c>
      <c r="AS398" t="s">
        <v>171</v>
      </c>
      <c r="AT398" t="s">
        <v>173</v>
      </c>
      <c r="AU398" t="s">
        <v>173</v>
      </c>
      <c r="AV398" t="s">
        <v>171</v>
      </c>
      <c r="AW398" t="s">
        <v>171</v>
      </c>
      <c r="AX398" t="s">
        <v>192</v>
      </c>
      <c r="AY398" t="s">
        <v>197</v>
      </c>
      <c r="AZ398" t="s">
        <v>183</v>
      </c>
      <c r="BA398" t="s">
        <v>183</v>
      </c>
      <c r="BB398" t="s">
        <v>183</v>
      </c>
      <c r="BC398" t="s">
        <v>183</v>
      </c>
      <c r="BD398" t="s">
        <v>183</v>
      </c>
    </row>
    <row r="399" hidden="1" spans="1:56">
      <c r="A399">
        <v>398</v>
      </c>
      <c r="B399" t="s">
        <v>259</v>
      </c>
      <c r="C399">
        <v>2023</v>
      </c>
      <c r="D399">
        <v>2005</v>
      </c>
      <c r="E399">
        <v>2005</v>
      </c>
      <c r="F399" t="s">
        <v>266</v>
      </c>
      <c r="G399"/>
      <c r="H399" t="s">
        <v>247</v>
      </c>
      <c r="I399"/>
      <c r="J399" t="s">
        <v>265</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1</v>
      </c>
      <c r="AC399" t="s">
        <v>171</v>
      </c>
      <c r="AD399" t="s">
        <v>171</v>
      </c>
      <c r="AE399" t="s">
        <v>173</v>
      </c>
      <c r="AF399" t="s">
        <v>173</v>
      </c>
      <c r="AG399" t="s">
        <v>173</v>
      </c>
      <c r="AH399" t="s">
        <v>173</v>
      </c>
      <c r="AI399" t="s">
        <v>173</v>
      </c>
      <c r="AJ399" t="s">
        <v>171</v>
      </c>
      <c r="AK399" t="s">
        <v>171</v>
      </c>
      <c r="AL399" t="s">
        <v>171</v>
      </c>
      <c r="AM399" t="s">
        <v>171</v>
      </c>
      <c r="AN399" t="s">
        <v>171</v>
      </c>
      <c r="AO399" t="s">
        <v>171</v>
      </c>
      <c r="AP399" t="s">
        <v>171</v>
      </c>
      <c r="AQ399" t="s">
        <v>171</v>
      </c>
      <c r="AR399" t="s">
        <v>173</v>
      </c>
      <c r="AS399" t="s">
        <v>171</v>
      </c>
      <c r="AT399" t="s">
        <v>171</v>
      </c>
      <c r="AU399" t="s">
        <v>171</v>
      </c>
      <c r="AV399" t="s">
        <v>181</v>
      </c>
      <c r="AW399" t="s">
        <v>171</v>
      </c>
      <c r="AX399" t="s">
        <v>192</v>
      </c>
      <c r="AY399" t="s">
        <v>195</v>
      </c>
      <c r="AZ399" t="s">
        <v>183</v>
      </c>
      <c r="BA399" t="s">
        <v>183</v>
      </c>
      <c r="BB399" t="s">
        <v>183</v>
      </c>
      <c r="BC399" t="s">
        <v>183</v>
      </c>
      <c r="BD399" t="s">
        <v>183</v>
      </c>
    </row>
    <row r="400" hidden="1" spans="1:56">
      <c r="A400">
        <v>399</v>
      </c>
      <c r="B400" t="s">
        <v>255</v>
      </c>
      <c r="C400">
        <v>2022</v>
      </c>
      <c r="D400">
        <v>2002</v>
      </c>
      <c r="E400">
        <v>2020</v>
      </c>
      <c r="F400" t="s">
        <v>262</v>
      </c>
      <c r="G400"/>
      <c r="H400" t="s">
        <v>264</v>
      </c>
      <c r="I400"/>
      <c r="J400" t="s">
        <v>265</v>
      </c>
      <c r="K400" t="b">
        <v>0</v>
      </c>
      <c r="L400" t="b">
        <v>0</v>
      </c>
      <c r="M400" t="b">
        <v>0</v>
      </c>
      <c r="N400" t="b">
        <v>0</v>
      </c>
      <c r="O400" t="b">
        <v>0</v>
      </c>
      <c r="P400" t="b">
        <v>0</v>
      </c>
      <c r="Q400" t="b">
        <v>0</v>
      </c>
      <c r="R400" t="b">
        <v>0</v>
      </c>
      <c r="S400" t="b">
        <v>1</v>
      </c>
      <c r="T400" t="b">
        <v>0</v>
      </c>
      <c r="U400" t="b">
        <v>1</v>
      </c>
      <c r="V400" t="b">
        <v>1</v>
      </c>
      <c r="W400" t="b">
        <v>0</v>
      </c>
      <c r="X400" t="b">
        <v>0</v>
      </c>
      <c r="Y400" t="b">
        <v>0</v>
      </c>
      <c r="Z400" t="b">
        <v>0</v>
      </c>
      <c r="AA400" t="b">
        <v>0</v>
      </c>
      <c r="AB400" t="b">
        <v>0</v>
      </c>
      <c r="AC400" t="s">
        <v>173</v>
      </c>
      <c r="AD400" t="s">
        <v>173</v>
      </c>
      <c r="AE400" t="s">
        <v>177</v>
      </c>
      <c r="AF400" t="s">
        <v>173</v>
      </c>
      <c r="AG400" t="s">
        <v>173</v>
      </c>
      <c r="AH400" t="s">
        <v>173</v>
      </c>
      <c r="AI400" t="s">
        <v>173</v>
      </c>
      <c r="AJ400" t="s">
        <v>173</v>
      </c>
      <c r="AK400" t="s">
        <v>173</v>
      </c>
      <c r="AL400" t="s">
        <v>173</v>
      </c>
      <c r="AM400" t="s">
        <v>173</v>
      </c>
      <c r="AN400" t="s">
        <v>173</v>
      </c>
      <c r="AO400" t="s">
        <v>173</v>
      </c>
      <c r="AP400" t="s">
        <v>173</v>
      </c>
      <c r="AQ400" t="s">
        <v>173</v>
      </c>
      <c r="AR400" t="s">
        <v>173</v>
      </c>
      <c r="AS400" t="s">
        <v>173</v>
      </c>
      <c r="AT400" t="s">
        <v>173</v>
      </c>
      <c r="AU400" t="s">
        <v>173</v>
      </c>
      <c r="AV400" t="s">
        <v>175</v>
      </c>
      <c r="AW400" t="s">
        <v>173</v>
      </c>
      <c r="AX400" t="s">
        <v>192</v>
      </c>
      <c r="AY400" t="s">
        <v>199</v>
      </c>
      <c r="AZ400" t="s">
        <v>183</v>
      </c>
      <c r="BA400" t="s">
        <v>183</v>
      </c>
      <c r="BB400" t="s">
        <v>183</v>
      </c>
      <c r="BC400" t="s">
        <v>183</v>
      </c>
      <c r="BD400" t="s">
        <v>183</v>
      </c>
    </row>
    <row r="401" hidden="1" spans="1:56">
      <c r="A401">
        <v>400</v>
      </c>
      <c r="B401" t="s">
        <v>269</v>
      </c>
      <c r="C401">
        <v>2023</v>
      </c>
      <c r="D401" t="s">
        <v>247</v>
      </c>
      <c r="E401" t="s">
        <v>247</v>
      </c>
      <c r="F401" t="s">
        <v>275</v>
      </c>
      <c r="G401"/>
      <c r="H401" t="s">
        <v>247</v>
      </c>
      <c r="I401"/>
      <c r="J401"/>
      <c r="K401" t="b">
        <v>0</v>
      </c>
      <c r="L401" t="b">
        <v>0</v>
      </c>
      <c r="M401" t="b">
        <v>0</v>
      </c>
      <c r="N401" t="b">
        <v>1</v>
      </c>
      <c r="O401" t="b">
        <v>0</v>
      </c>
      <c r="P401" t="b">
        <v>0</v>
      </c>
      <c r="Q401" t="b">
        <v>0</v>
      </c>
      <c r="R401" t="b">
        <v>0</v>
      </c>
      <c r="S401" t="b">
        <v>0</v>
      </c>
      <c r="T401" t="b">
        <v>1</v>
      </c>
      <c r="U401" t="b">
        <v>0</v>
      </c>
      <c r="V401" t="b">
        <v>0</v>
      </c>
      <c r="W401" t="b">
        <v>0</v>
      </c>
      <c r="X401" t="b">
        <v>0</v>
      </c>
      <c r="Y401" t="b">
        <v>0</v>
      </c>
      <c r="Z401" t="b">
        <v>0</v>
      </c>
      <c r="AA401" t="b">
        <v>0</v>
      </c>
      <c r="AB401" t="b">
        <v>0</v>
      </c>
      <c r="AC401" t="s">
        <v>175</v>
      </c>
      <c r="AD401" t="s">
        <v>175</v>
      </c>
      <c r="AE401" t="s">
        <v>175</v>
      </c>
      <c r="AF401" t="s">
        <v>177</v>
      </c>
      <c r="AG401" t="s">
        <v>175</v>
      </c>
      <c r="AH401" t="s">
        <v>175</v>
      </c>
      <c r="AI401" t="s">
        <v>183</v>
      </c>
      <c r="AJ401" t="s">
        <v>179</v>
      </c>
      <c r="AK401" t="s">
        <v>183</v>
      </c>
      <c r="AL401" t="s">
        <v>171</v>
      </c>
      <c r="AM401" t="s">
        <v>175</v>
      </c>
      <c r="AN401" t="s">
        <v>175</v>
      </c>
      <c r="AO401" t="s">
        <v>177</v>
      </c>
      <c r="AP401" t="s">
        <v>173</v>
      </c>
      <c r="AQ401" t="s">
        <v>175</v>
      </c>
      <c r="AR401" t="s">
        <v>183</v>
      </c>
      <c r="AS401" t="s">
        <v>175</v>
      </c>
      <c r="AT401" t="s">
        <v>175</v>
      </c>
      <c r="AU401" t="s">
        <v>183</v>
      </c>
      <c r="AV401" t="s">
        <v>175</v>
      </c>
      <c r="AW401" t="s">
        <v>183</v>
      </c>
      <c r="AX401" t="s">
        <v>193</v>
      </c>
      <c r="AY401" t="s">
        <v>196</v>
      </c>
      <c r="AZ401" t="s">
        <v>183</v>
      </c>
      <c r="BA401" t="s">
        <v>183</v>
      </c>
      <c r="BB401" t="s">
        <v>183</v>
      </c>
      <c r="BC401" t="s">
        <v>183</v>
      </c>
      <c r="BD401" t="s">
        <v>183</v>
      </c>
    </row>
    <row r="402" hidden="1" spans="1:56">
      <c r="A402">
        <v>401</v>
      </c>
      <c r="B402" t="s">
        <v>259</v>
      </c>
      <c r="C402">
        <v>2023</v>
      </c>
      <c r="D402">
        <v>1980</v>
      </c>
      <c r="E402">
        <v>1983</v>
      </c>
      <c r="F402" t="s">
        <v>256</v>
      </c>
      <c r="G402" t="s">
        <v>257</v>
      </c>
      <c r="H402" t="s">
        <v>261</v>
      </c>
      <c r="I402"/>
      <c r="J402" t="s">
        <v>252</v>
      </c>
      <c r="K402" t="b">
        <v>0</v>
      </c>
      <c r="L402" t="b">
        <v>0</v>
      </c>
      <c r="M402" t="b">
        <v>0</v>
      </c>
      <c r="N402" t="b">
        <v>0</v>
      </c>
      <c r="O402" t="b">
        <v>1</v>
      </c>
      <c r="P402" t="b">
        <v>0</v>
      </c>
      <c r="Q402" t="b">
        <v>0</v>
      </c>
      <c r="R402" t="b">
        <v>0</v>
      </c>
      <c r="S402" t="b">
        <v>0</v>
      </c>
      <c r="T402" t="b">
        <v>0</v>
      </c>
      <c r="U402" t="b">
        <v>0</v>
      </c>
      <c r="V402" t="b">
        <v>0</v>
      </c>
      <c r="W402" t="b">
        <v>0</v>
      </c>
      <c r="X402" t="b">
        <v>0</v>
      </c>
      <c r="Y402" t="b">
        <v>0</v>
      </c>
      <c r="Z402" t="b">
        <v>1</v>
      </c>
      <c r="AA402" t="b">
        <v>0</v>
      </c>
      <c r="AB402" t="b">
        <v>0</v>
      </c>
      <c r="AC402" t="s">
        <v>173</v>
      </c>
      <c r="AD402" t="s">
        <v>173</v>
      </c>
      <c r="AE402" t="s">
        <v>179</v>
      </c>
      <c r="AF402" t="s">
        <v>173</v>
      </c>
      <c r="AG402" t="s">
        <v>173</v>
      </c>
      <c r="AH402" t="s">
        <v>179</v>
      </c>
      <c r="AI402" t="s">
        <v>177</v>
      </c>
      <c r="AJ402" t="s">
        <v>171</v>
      </c>
      <c r="AK402" t="s">
        <v>171</v>
      </c>
      <c r="AL402" t="s">
        <v>177</v>
      </c>
      <c r="AM402" t="s">
        <v>177</v>
      </c>
      <c r="AN402" t="s">
        <v>173</v>
      </c>
      <c r="AO402" t="s">
        <v>175</v>
      </c>
      <c r="AP402" t="s">
        <v>177</v>
      </c>
      <c r="AQ402" t="s">
        <v>173</v>
      </c>
      <c r="AR402" t="s">
        <v>173</v>
      </c>
      <c r="AS402" t="s">
        <v>177</v>
      </c>
      <c r="AT402" t="s">
        <v>173</v>
      </c>
      <c r="AU402" t="s">
        <v>177</v>
      </c>
      <c r="AV402" t="s">
        <v>179</v>
      </c>
      <c r="AW402" t="s">
        <v>173</v>
      </c>
      <c r="AX402" t="s">
        <v>192</v>
      </c>
      <c r="AY402" t="s">
        <v>196</v>
      </c>
      <c r="AZ402" t="s">
        <v>183</v>
      </c>
      <c r="BA402" t="s">
        <v>183</v>
      </c>
      <c r="BB402" t="s">
        <v>183</v>
      </c>
      <c r="BC402" t="s">
        <v>183</v>
      </c>
      <c r="BD402" t="s">
        <v>183</v>
      </c>
    </row>
    <row r="403" hidden="1" spans="1:56">
      <c r="A403">
        <v>402</v>
      </c>
      <c r="B403" t="s">
        <v>259</v>
      </c>
      <c r="C403">
        <v>2023</v>
      </c>
      <c r="D403">
        <v>2007</v>
      </c>
      <c r="E403">
        <v>2020</v>
      </c>
      <c r="F403" t="s">
        <v>256</v>
      </c>
      <c r="G403" t="s">
        <v>257</v>
      </c>
      <c r="H403" t="s">
        <v>274</v>
      </c>
      <c r="I403"/>
      <c r="J403" t="s">
        <v>265</v>
      </c>
      <c r="K403" t="b">
        <v>0</v>
      </c>
      <c r="L403" t="b">
        <v>0</v>
      </c>
      <c r="M403" t="b">
        <v>0</v>
      </c>
      <c r="N403" t="b">
        <v>1</v>
      </c>
      <c r="O403" t="b">
        <v>0</v>
      </c>
      <c r="P403" t="b">
        <v>0</v>
      </c>
      <c r="Q403" t="b">
        <v>0</v>
      </c>
      <c r="R403" t="b">
        <v>0</v>
      </c>
      <c r="S403" t="b">
        <v>0</v>
      </c>
      <c r="T403" t="b">
        <v>0</v>
      </c>
      <c r="U403" t="b">
        <v>0</v>
      </c>
      <c r="V403" t="b">
        <v>0</v>
      </c>
      <c r="W403" t="b">
        <v>0</v>
      </c>
      <c r="X403" t="b">
        <v>0</v>
      </c>
      <c r="Y403" t="b">
        <v>0</v>
      </c>
      <c r="Z403" t="b">
        <v>1</v>
      </c>
      <c r="AA403" t="b">
        <v>0</v>
      </c>
      <c r="AB403" t="b">
        <v>0</v>
      </c>
      <c r="AC403" t="s">
        <v>173</v>
      </c>
      <c r="AD403" t="s">
        <v>173</v>
      </c>
      <c r="AE403" t="s">
        <v>173</v>
      </c>
      <c r="AF403" t="s">
        <v>173</v>
      </c>
      <c r="AG403" t="s">
        <v>173</v>
      </c>
      <c r="AH403" t="s">
        <v>173</v>
      </c>
      <c r="AI403" t="s">
        <v>173</v>
      </c>
      <c r="AJ403" t="s">
        <v>173</v>
      </c>
      <c r="AK403" t="s">
        <v>173</v>
      </c>
      <c r="AL403" t="s">
        <v>173</v>
      </c>
      <c r="AM403" t="s">
        <v>173</v>
      </c>
      <c r="AN403" t="s">
        <v>175</v>
      </c>
      <c r="AO403" t="s">
        <v>179</v>
      </c>
      <c r="AP403" t="s">
        <v>179</v>
      </c>
      <c r="AQ403" t="s">
        <v>175</v>
      </c>
      <c r="AR403" t="s">
        <v>177</v>
      </c>
      <c r="AS403" t="s">
        <v>173</v>
      </c>
      <c r="AT403" t="s">
        <v>173</v>
      </c>
      <c r="AU403" t="s">
        <v>173</v>
      </c>
      <c r="AV403" t="s">
        <v>177</v>
      </c>
      <c r="AW403" t="s">
        <v>177</v>
      </c>
      <c r="AX403" t="s">
        <v>192</v>
      </c>
      <c r="AY403" t="s">
        <v>196</v>
      </c>
      <c r="AZ403" t="s">
        <v>183</v>
      </c>
      <c r="BA403" t="s">
        <v>183</v>
      </c>
      <c r="BB403" t="s">
        <v>183</v>
      </c>
      <c r="BC403" t="s">
        <v>183</v>
      </c>
      <c r="BD403" t="s">
        <v>183</v>
      </c>
    </row>
    <row r="404" hidden="1" spans="1:56">
      <c r="A404">
        <v>403</v>
      </c>
      <c r="B404" t="s">
        <v>246</v>
      </c>
      <c r="C404">
        <v>2023</v>
      </c>
      <c r="D404">
        <v>1985</v>
      </c>
      <c r="E404">
        <v>1998</v>
      </c>
      <c r="F404" t="s">
        <v>256</v>
      </c>
      <c r="G404" t="s">
        <v>257</v>
      </c>
      <c r="H404" t="s">
        <v>274</v>
      </c>
      <c r="I404"/>
      <c r="J404" t="s">
        <v>252</v>
      </c>
      <c r="K404" t="b">
        <v>0</v>
      </c>
      <c r="L404" t="b">
        <v>0</v>
      </c>
      <c r="M404" t="b">
        <v>0</v>
      </c>
      <c r="N404" t="b">
        <v>0</v>
      </c>
      <c r="O404" t="b">
        <v>0</v>
      </c>
      <c r="P404" t="b">
        <v>0</v>
      </c>
      <c r="Q404" t="b">
        <v>0</v>
      </c>
      <c r="R404" t="b">
        <v>0</v>
      </c>
      <c r="S404" t="b">
        <v>0</v>
      </c>
      <c r="T404" t="b">
        <v>0</v>
      </c>
      <c r="U404" t="b">
        <v>0</v>
      </c>
      <c r="V404" t="b">
        <v>0</v>
      </c>
      <c r="W404" t="b">
        <v>0</v>
      </c>
      <c r="X404" t="b">
        <v>0</v>
      </c>
      <c r="Y404" t="b">
        <v>0</v>
      </c>
      <c r="Z404" t="b">
        <v>1</v>
      </c>
      <c r="AA404" t="b">
        <v>0</v>
      </c>
      <c r="AB404" t="b">
        <v>0</v>
      </c>
      <c r="AC404" t="s">
        <v>173</v>
      </c>
      <c r="AD404" t="s">
        <v>175</v>
      </c>
      <c r="AE404" t="s">
        <v>173</v>
      </c>
      <c r="AF404" t="s">
        <v>173</v>
      </c>
      <c r="AG404" t="s">
        <v>175</v>
      </c>
      <c r="AH404" t="s">
        <v>177</v>
      </c>
      <c r="AI404" t="s">
        <v>175</v>
      </c>
      <c r="AJ404" t="s">
        <v>175</v>
      </c>
      <c r="AK404" t="s">
        <v>173</v>
      </c>
      <c r="AL404" t="s">
        <v>173</v>
      </c>
      <c r="AM404" t="s">
        <v>175</v>
      </c>
      <c r="AN404" t="s">
        <v>173</v>
      </c>
      <c r="AO404" t="s">
        <v>183</v>
      </c>
      <c r="AP404" t="s">
        <v>173</v>
      </c>
      <c r="AQ404" t="s">
        <v>173</v>
      </c>
      <c r="AR404" t="s">
        <v>175</v>
      </c>
      <c r="AS404" t="s">
        <v>175</v>
      </c>
      <c r="AT404" t="s">
        <v>175</v>
      </c>
      <c r="AU404" t="s">
        <v>173</v>
      </c>
      <c r="AV404" t="s">
        <v>177</v>
      </c>
      <c r="AW404" t="s">
        <v>175</v>
      </c>
      <c r="AX404" t="s">
        <v>192</v>
      </c>
      <c r="AY404" t="s">
        <v>196</v>
      </c>
      <c r="AZ404" t="s">
        <v>183</v>
      </c>
      <c r="BA404" t="s">
        <v>183</v>
      </c>
      <c r="BB404" t="s">
        <v>183</v>
      </c>
      <c r="BC404" t="s">
        <v>183</v>
      </c>
      <c r="BD404" t="s">
        <v>183</v>
      </c>
    </row>
    <row r="405" hidden="1" spans="1:56">
      <c r="A405">
        <v>404</v>
      </c>
      <c r="B405" t="s">
        <v>286</v>
      </c>
      <c r="C405">
        <v>2023</v>
      </c>
      <c r="D405">
        <v>2017</v>
      </c>
      <c r="E405">
        <v>2017</v>
      </c>
      <c r="F405" t="s">
        <v>275</v>
      </c>
      <c r="G405"/>
      <c r="H405" t="s">
        <v>267</v>
      </c>
      <c r="I405"/>
      <c r="J405" t="s">
        <v>265</v>
      </c>
      <c r="K405" t="b">
        <v>0</v>
      </c>
      <c r="L405" t="b">
        <v>0</v>
      </c>
      <c r="M405" t="b">
        <v>0</v>
      </c>
      <c r="N405" t="b">
        <v>0</v>
      </c>
      <c r="O405" t="b">
        <v>0</v>
      </c>
      <c r="P405" t="b">
        <v>0</v>
      </c>
      <c r="Q405" t="b">
        <v>0</v>
      </c>
      <c r="R405" t="b">
        <v>0</v>
      </c>
      <c r="S405" t="b">
        <v>0</v>
      </c>
      <c r="T405" t="b">
        <v>0</v>
      </c>
      <c r="U405" t="b">
        <v>1</v>
      </c>
      <c r="V405" t="b">
        <v>0</v>
      </c>
      <c r="W405" t="b">
        <v>0</v>
      </c>
      <c r="X405" t="b">
        <v>0</v>
      </c>
      <c r="Y405" t="b">
        <v>0</v>
      </c>
      <c r="Z405" t="b">
        <v>0</v>
      </c>
      <c r="AA405" t="b">
        <v>0</v>
      </c>
      <c r="AB405" t="b">
        <v>0</v>
      </c>
      <c r="AC405" t="s">
        <v>171</v>
      </c>
      <c r="AD405" t="s">
        <v>183</v>
      </c>
      <c r="AE405" t="s">
        <v>171</v>
      </c>
      <c r="AF405" t="s">
        <v>171</v>
      </c>
      <c r="AG405" t="s">
        <v>171</v>
      </c>
      <c r="AH405" t="s">
        <v>171</v>
      </c>
      <c r="AI405" t="s">
        <v>171</v>
      </c>
      <c r="AJ405" t="s">
        <v>171</v>
      </c>
      <c r="AK405" t="s">
        <v>171</v>
      </c>
      <c r="AL405" t="s">
        <v>171</v>
      </c>
      <c r="AM405" t="s">
        <v>171</v>
      </c>
      <c r="AN405" t="s">
        <v>171</v>
      </c>
      <c r="AO405" t="s">
        <v>183</v>
      </c>
      <c r="AP405" t="s">
        <v>171</v>
      </c>
      <c r="AQ405" t="s">
        <v>171</v>
      </c>
      <c r="AR405" t="s">
        <v>171</v>
      </c>
      <c r="AS405" t="s">
        <v>171</v>
      </c>
      <c r="AT405" t="s">
        <v>171</v>
      </c>
      <c r="AU405" t="s">
        <v>171</v>
      </c>
      <c r="AV405" t="s">
        <v>171</v>
      </c>
      <c r="AW405" t="s">
        <v>171</v>
      </c>
      <c r="AX405" t="s">
        <v>192</v>
      </c>
      <c r="AY405" t="s">
        <v>198</v>
      </c>
      <c r="AZ405" t="s">
        <v>183</v>
      </c>
      <c r="BA405" t="s">
        <v>183</v>
      </c>
      <c r="BB405" t="s">
        <v>183</v>
      </c>
      <c r="BC405" t="s">
        <v>183</v>
      </c>
      <c r="BD405" t="s">
        <v>183</v>
      </c>
    </row>
    <row r="406" hidden="1" spans="1:56">
      <c r="A406">
        <v>405</v>
      </c>
      <c r="B406" t="s">
        <v>259</v>
      </c>
      <c r="C406">
        <v>2023</v>
      </c>
      <c r="D406">
        <v>2008</v>
      </c>
      <c r="E406">
        <v>2008</v>
      </c>
      <c r="F406" t="s">
        <v>256</v>
      </c>
      <c r="G406" t="s">
        <v>257</v>
      </c>
      <c r="H406" t="s">
        <v>258</v>
      </c>
      <c r="I406"/>
      <c r="J406" t="s">
        <v>252</v>
      </c>
      <c r="K406" t="b">
        <v>0</v>
      </c>
      <c r="L406" t="b">
        <v>0</v>
      </c>
      <c r="M406" t="b">
        <v>0</v>
      </c>
      <c r="N406" t="b">
        <v>0</v>
      </c>
      <c r="O406" t="b">
        <v>0</v>
      </c>
      <c r="P406" t="b">
        <v>0</v>
      </c>
      <c r="Q406" t="b">
        <v>0</v>
      </c>
      <c r="R406" t="b">
        <v>0</v>
      </c>
      <c r="S406" t="b">
        <v>0</v>
      </c>
      <c r="T406" t="b">
        <v>0</v>
      </c>
      <c r="U406" t="b">
        <v>0</v>
      </c>
      <c r="V406" t="b">
        <v>0</v>
      </c>
      <c r="W406" t="b">
        <v>0</v>
      </c>
      <c r="X406" t="b">
        <v>0</v>
      </c>
      <c r="Y406" t="b">
        <v>0</v>
      </c>
      <c r="Z406" t="b">
        <v>1</v>
      </c>
      <c r="AA406" t="b">
        <v>0</v>
      </c>
      <c r="AB406" t="b">
        <v>0</v>
      </c>
      <c r="AC406" t="s">
        <v>173</v>
      </c>
      <c r="AD406" t="s">
        <v>173</v>
      </c>
      <c r="AE406" t="s">
        <v>173</v>
      </c>
      <c r="AF406" t="s">
        <v>173</v>
      </c>
      <c r="AG406" t="s">
        <v>173</v>
      </c>
      <c r="AH406" t="s">
        <v>173</v>
      </c>
      <c r="AI406" t="s">
        <v>173</v>
      </c>
      <c r="AJ406" t="s">
        <v>173</v>
      </c>
      <c r="AK406" t="s">
        <v>173</v>
      </c>
      <c r="AL406" t="s">
        <v>173</v>
      </c>
      <c r="AM406" t="s">
        <v>173</v>
      </c>
      <c r="AN406" t="s">
        <v>173</v>
      </c>
      <c r="AO406" t="s">
        <v>173</v>
      </c>
      <c r="AP406" t="s">
        <v>173</v>
      </c>
      <c r="AQ406" t="s">
        <v>173</v>
      </c>
      <c r="AR406" t="s">
        <v>173</v>
      </c>
      <c r="AS406" t="s">
        <v>171</v>
      </c>
      <c r="AT406" t="s">
        <v>171</v>
      </c>
      <c r="AU406" t="s">
        <v>171</v>
      </c>
      <c r="AV406" t="s">
        <v>173</v>
      </c>
      <c r="AW406" t="s">
        <v>173</v>
      </c>
      <c r="AX406" t="s">
        <v>192</v>
      </c>
      <c r="AY406" t="s">
        <v>197</v>
      </c>
      <c r="AZ406" t="s">
        <v>183</v>
      </c>
      <c r="BA406" t="s">
        <v>183</v>
      </c>
      <c r="BB406" t="s">
        <v>183</v>
      </c>
      <c r="BC406" t="s">
        <v>183</v>
      </c>
      <c r="BD406" t="s">
        <v>183</v>
      </c>
    </row>
    <row r="407" hidden="1" spans="1:56">
      <c r="A407">
        <v>406</v>
      </c>
      <c r="B407" t="s">
        <v>255</v>
      </c>
      <c r="C407">
        <v>2022</v>
      </c>
      <c r="D407" t="s">
        <v>247</v>
      </c>
      <c r="E407" t="s">
        <v>247</v>
      </c>
      <c r="F407" t="s">
        <v>256</v>
      </c>
      <c r="G407" t="s">
        <v>257</v>
      </c>
      <c r="H407" t="s">
        <v>247</v>
      </c>
      <c r="I407"/>
      <c r="J407"/>
      <c r="K407" t="b">
        <v>0</v>
      </c>
      <c r="L407" t="b">
        <v>0</v>
      </c>
      <c r="M407" t="b">
        <v>1</v>
      </c>
      <c r="N407" t="b">
        <v>0</v>
      </c>
      <c r="O407" t="b">
        <v>0</v>
      </c>
      <c r="P407" t="b">
        <v>0</v>
      </c>
      <c r="Q407" t="b">
        <v>0</v>
      </c>
      <c r="R407" t="b">
        <v>0</v>
      </c>
      <c r="S407" t="b">
        <v>0</v>
      </c>
      <c r="T407" t="b">
        <v>0</v>
      </c>
      <c r="U407" t="b">
        <v>1</v>
      </c>
      <c r="V407" t="b">
        <v>0</v>
      </c>
      <c r="W407" t="b">
        <v>0</v>
      </c>
      <c r="X407" t="b">
        <v>0</v>
      </c>
      <c r="Y407" t="b">
        <v>0</v>
      </c>
      <c r="Z407" t="b">
        <v>0</v>
      </c>
      <c r="AA407" t="b">
        <v>0</v>
      </c>
      <c r="AB407" t="b">
        <v>0</v>
      </c>
      <c r="AC407" t="s">
        <v>181</v>
      </c>
      <c r="AD407" t="s">
        <v>181</v>
      </c>
      <c r="AE407" t="s">
        <v>181</v>
      </c>
      <c r="AF407" t="s">
        <v>181</v>
      </c>
      <c r="AG407" t="s">
        <v>181</v>
      </c>
      <c r="AH407" t="s">
        <v>181</v>
      </c>
      <c r="AI407" t="s">
        <v>181</v>
      </c>
      <c r="AJ407" t="s">
        <v>181</v>
      </c>
      <c r="AK407" t="s">
        <v>181</v>
      </c>
      <c r="AL407" t="s">
        <v>181</v>
      </c>
      <c r="AM407" t="s">
        <v>181</v>
      </c>
      <c r="AN407" t="s">
        <v>181</v>
      </c>
      <c r="AO407" t="s">
        <v>181</v>
      </c>
      <c r="AP407" t="s">
        <v>181</v>
      </c>
      <c r="AQ407" t="s">
        <v>181</v>
      </c>
      <c r="AR407" t="s">
        <v>181</v>
      </c>
      <c r="AS407" t="s">
        <v>181</v>
      </c>
      <c r="AT407" t="s">
        <v>181</v>
      </c>
      <c r="AU407" t="s">
        <v>181</v>
      </c>
      <c r="AV407" t="s">
        <v>181</v>
      </c>
      <c r="AW407" t="s">
        <v>181</v>
      </c>
      <c r="AZ407" t="s">
        <v>183</v>
      </c>
      <c r="BA407" t="s">
        <v>183</v>
      </c>
      <c r="BB407" t="s">
        <v>183</v>
      </c>
      <c r="BC407" t="s">
        <v>183</v>
      </c>
      <c r="BD407" t="s">
        <v>183</v>
      </c>
    </row>
    <row r="408" hidden="1" spans="1:56">
      <c r="A408">
        <v>407</v>
      </c>
      <c r="B408" t="s">
        <v>255</v>
      </c>
      <c r="C408">
        <v>2023</v>
      </c>
      <c r="D408">
        <v>2000</v>
      </c>
      <c r="E408">
        <v>2001</v>
      </c>
      <c r="F408" t="s">
        <v>266</v>
      </c>
      <c r="G408"/>
      <c r="H408" t="s">
        <v>264</v>
      </c>
      <c r="I408"/>
      <c r="J408" t="s">
        <v>265</v>
      </c>
      <c r="K408" t="b">
        <v>0</v>
      </c>
      <c r="L408" t="b">
        <v>0</v>
      </c>
      <c r="M408" t="b">
        <v>0</v>
      </c>
      <c r="N408" t="b">
        <v>0</v>
      </c>
      <c r="O408" t="b">
        <v>0</v>
      </c>
      <c r="P408" t="b">
        <v>0</v>
      </c>
      <c r="Q408" t="b">
        <v>1</v>
      </c>
      <c r="R408" t="b">
        <v>0</v>
      </c>
      <c r="S408" t="b">
        <v>0</v>
      </c>
      <c r="T408" t="b">
        <v>0</v>
      </c>
      <c r="U408" t="b">
        <v>0</v>
      </c>
      <c r="V408" t="b">
        <v>0</v>
      </c>
      <c r="W408" t="b">
        <v>0</v>
      </c>
      <c r="X408" t="b">
        <v>1</v>
      </c>
      <c r="Y408" t="b">
        <v>1</v>
      </c>
      <c r="Z408" t="b">
        <v>0</v>
      </c>
      <c r="AA408" t="b">
        <v>0</v>
      </c>
      <c r="AB408" t="b">
        <v>0</v>
      </c>
      <c r="AC408" t="s">
        <v>173</v>
      </c>
      <c r="AD408" t="s">
        <v>177</v>
      </c>
      <c r="AE408" t="s">
        <v>179</v>
      </c>
      <c r="AF408" t="s">
        <v>179</v>
      </c>
      <c r="AG408" t="s">
        <v>173</v>
      </c>
      <c r="AH408" t="s">
        <v>173</v>
      </c>
      <c r="AI408" t="s">
        <v>179</v>
      </c>
      <c r="AJ408" t="s">
        <v>179</v>
      </c>
      <c r="AK408" t="s">
        <v>173</v>
      </c>
      <c r="AL408" t="s">
        <v>175</v>
      </c>
      <c r="AM408" t="s">
        <v>179</v>
      </c>
      <c r="AN408" t="s">
        <v>179</v>
      </c>
      <c r="AO408" t="s">
        <v>179</v>
      </c>
      <c r="AP408" t="s">
        <v>179</v>
      </c>
      <c r="AQ408" t="s">
        <v>175</v>
      </c>
      <c r="AR408" t="s">
        <v>179</v>
      </c>
      <c r="AS408" t="s">
        <v>175</v>
      </c>
      <c r="AT408" t="s">
        <v>177</v>
      </c>
      <c r="AU408" t="s">
        <v>179</v>
      </c>
      <c r="AV408" t="s">
        <v>179</v>
      </c>
      <c r="AW408" t="s">
        <v>175</v>
      </c>
      <c r="AX408" t="s">
        <v>192</v>
      </c>
      <c r="AY408" t="s">
        <v>196</v>
      </c>
      <c r="AZ408" t="s">
        <v>183</v>
      </c>
      <c r="BA408" t="s">
        <v>183</v>
      </c>
      <c r="BB408" t="s">
        <v>183</v>
      </c>
      <c r="BC408" t="s">
        <v>183</v>
      </c>
      <c r="BD408" t="s">
        <v>183</v>
      </c>
    </row>
    <row r="409" hidden="1" spans="1:56">
      <c r="A409">
        <v>408</v>
      </c>
      <c r="B409" t="s">
        <v>272</v>
      </c>
      <c r="C409">
        <v>2023</v>
      </c>
      <c r="D409" t="s">
        <v>247</v>
      </c>
      <c r="E409">
        <v>2020</v>
      </c>
      <c r="F409" t="s">
        <v>289</v>
      </c>
      <c r="G409"/>
      <c r="H409" t="s">
        <v>258</v>
      </c>
      <c r="I409"/>
      <c r="J409" t="s">
        <v>281</v>
      </c>
      <c r="K409" t="b">
        <v>0</v>
      </c>
      <c r="L409" t="b">
        <v>0</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s">
        <v>181</v>
      </c>
      <c r="AD409" t="s">
        <v>181</v>
      </c>
      <c r="AE409" t="s">
        <v>171</v>
      </c>
      <c r="AF409" t="s">
        <v>171</v>
      </c>
      <c r="AG409" t="s">
        <v>173</v>
      </c>
      <c r="AH409" t="s">
        <v>171</v>
      </c>
      <c r="AI409" t="s">
        <v>171</v>
      </c>
      <c r="AJ409" t="s">
        <v>171</v>
      </c>
      <c r="AK409" t="s">
        <v>171</v>
      </c>
      <c r="AL409" t="s">
        <v>171</v>
      </c>
      <c r="AM409" t="s">
        <v>171</v>
      </c>
      <c r="AN409" t="s">
        <v>171</v>
      </c>
      <c r="AO409" t="s">
        <v>175</v>
      </c>
      <c r="AP409" t="s">
        <v>173</v>
      </c>
      <c r="AQ409" t="s">
        <v>175</v>
      </c>
      <c r="AR409" t="s">
        <v>173</v>
      </c>
      <c r="AS409" t="s">
        <v>173</v>
      </c>
      <c r="AT409" t="s">
        <v>173</v>
      </c>
      <c r="AU409" t="s">
        <v>173</v>
      </c>
      <c r="AV409" t="s">
        <v>173</v>
      </c>
      <c r="AW409" t="s">
        <v>175</v>
      </c>
      <c r="AX409" t="s">
        <v>193</v>
      </c>
      <c r="AY409" t="s">
        <v>195</v>
      </c>
      <c r="AZ409" t="s">
        <v>183</v>
      </c>
      <c r="BA409" t="s">
        <v>183</v>
      </c>
      <c r="BB409" t="s">
        <v>183</v>
      </c>
      <c r="BC409" t="s">
        <v>183</v>
      </c>
      <c r="BD409" t="s">
        <v>183</v>
      </c>
    </row>
    <row r="410" hidden="1" spans="1:56">
      <c r="A410">
        <v>409</v>
      </c>
      <c r="B410" t="s">
        <v>255</v>
      </c>
      <c r="C410">
        <v>2022</v>
      </c>
      <c r="D410">
        <v>2015</v>
      </c>
      <c r="E410">
        <v>2015</v>
      </c>
      <c r="F410" t="s">
        <v>256</v>
      </c>
      <c r="G410" t="s">
        <v>257</v>
      </c>
      <c r="H410" t="s">
        <v>247</v>
      </c>
      <c r="I410"/>
      <c r="J410" t="s">
        <v>252</v>
      </c>
      <c r="K410" t="b">
        <v>0</v>
      </c>
      <c r="L410" t="b">
        <v>1</v>
      </c>
      <c r="M410" t="b">
        <v>1</v>
      </c>
      <c r="N410" t="b">
        <v>1</v>
      </c>
      <c r="O410" t="b">
        <v>1</v>
      </c>
      <c r="P410" t="b">
        <v>1</v>
      </c>
      <c r="Q410" t="b">
        <v>1</v>
      </c>
      <c r="R410" t="b">
        <v>0</v>
      </c>
      <c r="S410" t="b">
        <v>1</v>
      </c>
      <c r="T410" t="b">
        <v>1</v>
      </c>
      <c r="U410" t="b">
        <v>1</v>
      </c>
      <c r="V410" t="b">
        <v>1</v>
      </c>
      <c r="W410" t="b">
        <v>0</v>
      </c>
      <c r="X410" t="b">
        <v>0</v>
      </c>
      <c r="Y410" t="b">
        <v>0</v>
      </c>
      <c r="Z410" t="b">
        <v>1</v>
      </c>
      <c r="AA410" t="b">
        <v>0</v>
      </c>
      <c r="AB410" t="b">
        <v>0</v>
      </c>
      <c r="AC410" t="s">
        <v>173</v>
      </c>
      <c r="AD410" t="s">
        <v>177</v>
      </c>
      <c r="AE410" t="s">
        <v>177</v>
      </c>
      <c r="AF410" t="s">
        <v>183</v>
      </c>
      <c r="AG410" t="s">
        <v>177</v>
      </c>
      <c r="AH410" t="s">
        <v>179</v>
      </c>
      <c r="AI410" t="s">
        <v>177</v>
      </c>
      <c r="AJ410" t="s">
        <v>175</v>
      </c>
      <c r="AK410" t="s">
        <v>175</v>
      </c>
      <c r="AL410" t="s">
        <v>175</v>
      </c>
      <c r="AM410" t="s">
        <v>175</v>
      </c>
      <c r="AN410" t="s">
        <v>175</v>
      </c>
      <c r="AO410" t="s">
        <v>177</v>
      </c>
      <c r="AP410" t="s">
        <v>175</v>
      </c>
      <c r="AQ410" t="s">
        <v>175</v>
      </c>
      <c r="AR410" t="s">
        <v>177</v>
      </c>
      <c r="AS410" t="s">
        <v>177</v>
      </c>
      <c r="AT410" t="s">
        <v>177</v>
      </c>
      <c r="AU410" t="s">
        <v>177</v>
      </c>
      <c r="AV410" t="s">
        <v>179</v>
      </c>
      <c r="AW410" t="s">
        <v>179</v>
      </c>
      <c r="AX410" t="s">
        <v>192</v>
      </c>
      <c r="AY410" t="s">
        <v>200</v>
      </c>
      <c r="AZ410" t="s">
        <v>183</v>
      </c>
      <c r="BA410" t="s">
        <v>183</v>
      </c>
      <c r="BB410" t="s">
        <v>183</v>
      </c>
      <c r="BC410" t="s">
        <v>183</v>
      </c>
      <c r="BD410" t="s">
        <v>183</v>
      </c>
    </row>
    <row r="411" hidden="1" spans="1:56">
      <c r="A411">
        <v>410</v>
      </c>
      <c r="B411" t="s">
        <v>255</v>
      </c>
      <c r="C411">
        <v>2022</v>
      </c>
      <c r="D411" t="s">
        <v>247</v>
      </c>
      <c r="E411" t="s">
        <v>247</v>
      </c>
      <c r="F411" t="s">
        <v>266</v>
      </c>
      <c r="G411"/>
      <c r="H411" t="s">
        <v>247</v>
      </c>
      <c r="I411"/>
      <c r="J411" t="s">
        <v>265</v>
      </c>
      <c r="K411" t="b">
        <v>0</v>
      </c>
      <c r="L411" t="b">
        <v>0</v>
      </c>
      <c r="M411" t="b">
        <v>0</v>
      </c>
      <c r="N411" t="b">
        <v>0</v>
      </c>
      <c r="O411" t="b">
        <v>0</v>
      </c>
      <c r="P411" t="b">
        <v>0</v>
      </c>
      <c r="Q411" t="b">
        <v>0</v>
      </c>
      <c r="R411" t="b">
        <v>0</v>
      </c>
      <c r="S411" t="b">
        <v>0</v>
      </c>
      <c r="T411" t="b">
        <v>0</v>
      </c>
      <c r="U411" t="b">
        <v>1</v>
      </c>
      <c r="V411" t="b">
        <v>0</v>
      </c>
      <c r="W411" t="b">
        <v>0</v>
      </c>
      <c r="X411" t="b">
        <v>0</v>
      </c>
      <c r="Y411" t="b">
        <v>0</v>
      </c>
      <c r="Z411" t="b">
        <v>0</v>
      </c>
      <c r="AA411" t="b">
        <v>0</v>
      </c>
      <c r="AB411" t="b">
        <v>0</v>
      </c>
      <c r="AC411" t="s">
        <v>177</v>
      </c>
      <c r="AD411" t="s">
        <v>179</v>
      </c>
      <c r="AE411" t="s">
        <v>179</v>
      </c>
      <c r="AF411" t="s">
        <v>173</v>
      </c>
      <c r="AG411" t="s">
        <v>173</v>
      </c>
      <c r="AH411" t="s">
        <v>177</v>
      </c>
      <c r="AI411" t="s">
        <v>171</v>
      </c>
      <c r="AJ411" t="s">
        <v>179</v>
      </c>
      <c r="AK411" t="s">
        <v>179</v>
      </c>
      <c r="AL411" t="s">
        <v>175</v>
      </c>
      <c r="AM411" t="s">
        <v>177</v>
      </c>
      <c r="AN411" t="s">
        <v>175</v>
      </c>
      <c r="AO411" t="s">
        <v>177</v>
      </c>
      <c r="AP411" t="s">
        <v>177</v>
      </c>
      <c r="AQ411" t="s">
        <v>177</v>
      </c>
      <c r="AR411" t="s">
        <v>179</v>
      </c>
      <c r="AS411" t="s">
        <v>179</v>
      </c>
      <c r="AT411" t="s">
        <v>177</v>
      </c>
      <c r="AU411" t="s">
        <v>177</v>
      </c>
      <c r="AV411" t="s">
        <v>181</v>
      </c>
      <c r="AW411" t="s">
        <v>173</v>
      </c>
      <c r="AX411" t="s">
        <v>192</v>
      </c>
      <c r="AY411" t="s">
        <v>201</v>
      </c>
      <c r="AZ411" t="s">
        <v>183</v>
      </c>
      <c r="BA411" t="s">
        <v>183</v>
      </c>
      <c r="BB411" t="s">
        <v>183</v>
      </c>
      <c r="BC411" t="s">
        <v>183</v>
      </c>
      <c r="BD411" t="s">
        <v>183</v>
      </c>
    </row>
    <row r="412" hidden="1" spans="1:56">
      <c r="A412">
        <v>411</v>
      </c>
      <c r="B412" t="s">
        <v>255</v>
      </c>
      <c r="C412">
        <v>2023</v>
      </c>
      <c r="D412">
        <v>2017</v>
      </c>
      <c r="E412">
        <v>2017</v>
      </c>
      <c r="F412" t="s">
        <v>256</v>
      </c>
      <c r="G412" t="s">
        <v>257</v>
      </c>
      <c r="H412" t="s">
        <v>258</v>
      </c>
      <c r="I412"/>
      <c r="J412" t="s">
        <v>252</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1</v>
      </c>
      <c r="AC412" t="s">
        <v>173</v>
      </c>
      <c r="AD412" t="s">
        <v>175</v>
      </c>
      <c r="AE412" t="s">
        <v>173</v>
      </c>
      <c r="AF412" t="s">
        <v>173</v>
      </c>
      <c r="AG412" t="s">
        <v>173</v>
      </c>
      <c r="AH412" t="s">
        <v>173</v>
      </c>
      <c r="AI412" t="s">
        <v>173</v>
      </c>
      <c r="AJ412" t="s">
        <v>173</v>
      </c>
      <c r="AK412" t="s">
        <v>171</v>
      </c>
      <c r="AL412" t="s">
        <v>173</v>
      </c>
      <c r="AM412" t="s">
        <v>171</v>
      </c>
      <c r="AN412" t="s">
        <v>173</v>
      </c>
      <c r="AO412" t="s">
        <v>173</v>
      </c>
      <c r="AP412" t="s">
        <v>171</v>
      </c>
      <c r="AQ412" t="s">
        <v>175</v>
      </c>
      <c r="AR412" t="s">
        <v>173</v>
      </c>
      <c r="AS412" t="s">
        <v>173</v>
      </c>
      <c r="AT412" t="s">
        <v>173</v>
      </c>
      <c r="AU412" t="s">
        <v>173</v>
      </c>
      <c r="AV412" t="s">
        <v>181</v>
      </c>
      <c r="AW412" t="s">
        <v>173</v>
      </c>
      <c r="AX412" t="s">
        <v>192</v>
      </c>
      <c r="AY412" t="s">
        <v>200</v>
      </c>
      <c r="AZ412" t="s">
        <v>183</v>
      </c>
      <c r="BA412" t="s">
        <v>183</v>
      </c>
      <c r="BB412" t="s">
        <v>183</v>
      </c>
      <c r="BC412" t="s">
        <v>183</v>
      </c>
      <c r="BD412" t="s">
        <v>183</v>
      </c>
    </row>
    <row r="413" hidden="1" spans="1:56">
      <c r="A413">
        <v>412</v>
      </c>
      <c r="B413" t="s">
        <v>259</v>
      </c>
      <c r="C413">
        <v>2022</v>
      </c>
      <c r="D413" t="s">
        <v>247</v>
      </c>
      <c r="E413" t="s">
        <v>247</v>
      </c>
      <c r="F413" t="s">
        <v>276</v>
      </c>
      <c r="G413" t="s">
        <v>257</v>
      </c>
      <c r="H413" t="s">
        <v>247</v>
      </c>
      <c r="I413"/>
      <c r="J413" t="s">
        <v>265</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s">
        <v>181</v>
      </c>
      <c r="AD413" t="s">
        <v>181</v>
      </c>
      <c r="AE413" t="s">
        <v>181</v>
      </c>
      <c r="AF413" t="s">
        <v>181</v>
      </c>
      <c r="AG413" t="s">
        <v>181</v>
      </c>
      <c r="AH413" t="s">
        <v>181</v>
      </c>
      <c r="AI413" t="s">
        <v>181</v>
      </c>
      <c r="AJ413" t="s">
        <v>181</v>
      </c>
      <c r="AK413" t="s">
        <v>181</v>
      </c>
      <c r="AL413" t="s">
        <v>181</v>
      </c>
      <c r="AM413" t="s">
        <v>181</v>
      </c>
      <c r="AN413" t="s">
        <v>181</v>
      </c>
      <c r="AO413" t="s">
        <v>181</v>
      </c>
      <c r="AP413" t="s">
        <v>181</v>
      </c>
      <c r="AQ413" t="s">
        <v>181</v>
      </c>
      <c r="AR413" t="s">
        <v>181</v>
      </c>
      <c r="AS413" t="s">
        <v>181</v>
      </c>
      <c r="AT413" t="s">
        <v>181</v>
      </c>
      <c r="AU413" t="s">
        <v>181</v>
      </c>
      <c r="AV413" t="s">
        <v>181</v>
      </c>
      <c r="AW413" t="s">
        <v>181</v>
      </c>
      <c r="AX413" t="s">
        <v>192</v>
      </c>
      <c r="AY413" t="s">
        <v>195</v>
      </c>
      <c r="AZ413" t="s">
        <v>183</v>
      </c>
      <c r="BA413" t="s">
        <v>183</v>
      </c>
      <c r="BB413" t="s">
        <v>183</v>
      </c>
      <c r="BC413" t="s">
        <v>183</v>
      </c>
      <c r="BD413" t="s">
        <v>208</v>
      </c>
    </row>
    <row r="414" hidden="1" spans="1:56">
      <c r="A414">
        <v>413</v>
      </c>
      <c r="B414" t="s">
        <v>255</v>
      </c>
      <c r="C414">
        <v>2023</v>
      </c>
      <c r="D414">
        <v>2017</v>
      </c>
      <c r="E414">
        <v>2018</v>
      </c>
      <c r="F414" t="s">
        <v>275</v>
      </c>
      <c r="G414"/>
      <c r="H414" t="s">
        <v>247</v>
      </c>
      <c r="I414"/>
      <c r="J414" t="s">
        <v>252</v>
      </c>
      <c r="K414" t="b">
        <v>0</v>
      </c>
      <c r="L414" t="b">
        <v>0</v>
      </c>
      <c r="M414" t="b">
        <v>0</v>
      </c>
      <c r="N414" t="b">
        <v>0</v>
      </c>
      <c r="O414" t="b">
        <v>0</v>
      </c>
      <c r="P414" t="b">
        <v>0</v>
      </c>
      <c r="Q414" t="b">
        <v>0</v>
      </c>
      <c r="R414" t="b">
        <v>0</v>
      </c>
      <c r="S414" t="b">
        <v>0</v>
      </c>
      <c r="T414" t="b">
        <v>0</v>
      </c>
      <c r="U414" t="b">
        <v>0</v>
      </c>
      <c r="V414" t="b">
        <v>0</v>
      </c>
      <c r="W414" t="b">
        <v>0</v>
      </c>
      <c r="X414" t="b">
        <v>1</v>
      </c>
      <c r="Y414" t="b">
        <v>0</v>
      </c>
      <c r="Z414" t="b">
        <v>0</v>
      </c>
      <c r="AA414" t="b">
        <v>0</v>
      </c>
      <c r="AB414" t="b">
        <v>0</v>
      </c>
      <c r="AC414" t="s">
        <v>173</v>
      </c>
      <c r="AD414" t="s">
        <v>173</v>
      </c>
      <c r="AE414" t="s">
        <v>173</v>
      </c>
      <c r="AF414" t="s">
        <v>173</v>
      </c>
      <c r="AG414" t="s">
        <v>173</v>
      </c>
      <c r="AH414" t="s">
        <v>173</v>
      </c>
      <c r="AI414" t="s">
        <v>173</v>
      </c>
      <c r="AJ414" t="s">
        <v>173</v>
      </c>
      <c r="AK414" t="s">
        <v>173</v>
      </c>
      <c r="AL414" t="s">
        <v>173</v>
      </c>
      <c r="AM414" t="s">
        <v>173</v>
      </c>
      <c r="AN414" t="s">
        <v>173</v>
      </c>
      <c r="AO414" t="s">
        <v>183</v>
      </c>
      <c r="AP414" t="s">
        <v>173</v>
      </c>
      <c r="AQ414" t="s">
        <v>183</v>
      </c>
      <c r="AR414" t="s">
        <v>173</v>
      </c>
      <c r="AS414" t="s">
        <v>173</v>
      </c>
      <c r="AT414" t="s">
        <v>173</v>
      </c>
      <c r="AU414" t="s">
        <v>173</v>
      </c>
      <c r="AV414" t="s">
        <v>183</v>
      </c>
      <c r="AW414" t="s">
        <v>173</v>
      </c>
      <c r="AX414" t="s">
        <v>192</v>
      </c>
      <c r="AY414" t="s">
        <v>199</v>
      </c>
      <c r="AZ414" t="s">
        <v>183</v>
      </c>
      <c r="BA414" t="s">
        <v>183</v>
      </c>
      <c r="BB414" t="s">
        <v>183</v>
      </c>
      <c r="BC414" t="s">
        <v>183</v>
      </c>
      <c r="BD414" t="s">
        <v>183</v>
      </c>
    </row>
    <row r="415" hidden="1" spans="1:56">
      <c r="A415">
        <v>414</v>
      </c>
      <c r="B415" t="s">
        <v>259</v>
      </c>
      <c r="C415">
        <v>2022</v>
      </c>
      <c r="D415">
        <v>1997</v>
      </c>
      <c r="E415">
        <v>1997</v>
      </c>
      <c r="F415" t="s">
        <v>256</v>
      </c>
      <c r="G415" t="s">
        <v>257</v>
      </c>
      <c r="H415" t="s">
        <v>274</v>
      </c>
      <c r="I415"/>
      <c r="J415" t="s">
        <v>265</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1</v>
      </c>
      <c r="AC415" t="s">
        <v>173</v>
      </c>
      <c r="AD415" t="s">
        <v>173</v>
      </c>
      <c r="AE415" t="s">
        <v>175</v>
      </c>
      <c r="AF415" t="s">
        <v>175</v>
      </c>
      <c r="AG415" t="s">
        <v>173</v>
      </c>
      <c r="AH415" t="s">
        <v>173</v>
      </c>
      <c r="AI415" t="s">
        <v>175</v>
      </c>
      <c r="AJ415" t="s">
        <v>175</v>
      </c>
      <c r="AK415" t="s">
        <v>173</v>
      </c>
      <c r="AL415" t="s">
        <v>175</v>
      </c>
      <c r="AM415" t="s">
        <v>175</v>
      </c>
      <c r="AN415" t="s">
        <v>183</v>
      </c>
      <c r="AO415" t="s">
        <v>175</v>
      </c>
      <c r="AP415" t="s">
        <v>175</v>
      </c>
      <c r="AQ415" t="s">
        <v>175</v>
      </c>
      <c r="AR415" t="s">
        <v>173</v>
      </c>
      <c r="AS415" t="s">
        <v>173</v>
      </c>
      <c r="AT415" t="s">
        <v>175</v>
      </c>
      <c r="AU415" t="s">
        <v>175</v>
      </c>
      <c r="AV415" t="s">
        <v>179</v>
      </c>
      <c r="AW415" t="s">
        <v>173</v>
      </c>
      <c r="AX415" t="s">
        <v>192</v>
      </c>
      <c r="AY415" t="s">
        <v>195</v>
      </c>
      <c r="AZ415" t="s">
        <v>183</v>
      </c>
      <c r="BA415" t="s">
        <v>183</v>
      </c>
      <c r="BB415" t="s">
        <v>183</v>
      </c>
      <c r="BC415" t="s">
        <v>183</v>
      </c>
      <c r="BD415" t="s">
        <v>208</v>
      </c>
    </row>
    <row r="416" hidden="1" spans="1:56">
      <c r="A416">
        <v>415</v>
      </c>
      <c r="B416" t="s">
        <v>269</v>
      </c>
      <c r="C416">
        <v>2023</v>
      </c>
      <c r="D416">
        <v>2006</v>
      </c>
      <c r="E416">
        <v>2018</v>
      </c>
      <c r="F416" t="s">
        <v>256</v>
      </c>
      <c r="G416" t="s">
        <v>257</v>
      </c>
      <c r="H416" t="s">
        <v>264</v>
      </c>
      <c r="I416"/>
      <c r="J416" t="s">
        <v>252</v>
      </c>
      <c r="K416" t="b">
        <v>1</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s">
        <v>171</v>
      </c>
      <c r="AD416" t="s">
        <v>171</v>
      </c>
      <c r="AE416" t="s">
        <v>173</v>
      </c>
      <c r="AF416" t="s">
        <v>173</v>
      </c>
      <c r="AG416" t="s">
        <v>173</v>
      </c>
      <c r="AH416" t="s">
        <v>173</v>
      </c>
      <c r="AI416" t="s">
        <v>173</v>
      </c>
      <c r="AJ416" t="s">
        <v>173</v>
      </c>
      <c r="AK416" t="s">
        <v>173</v>
      </c>
      <c r="AL416" t="s">
        <v>173</v>
      </c>
      <c r="AM416" t="s">
        <v>173</v>
      </c>
      <c r="AN416" t="s">
        <v>173</v>
      </c>
      <c r="AO416" t="s">
        <v>175</v>
      </c>
      <c r="AP416" t="s">
        <v>175</v>
      </c>
      <c r="AQ416" t="s">
        <v>175</v>
      </c>
      <c r="AR416" t="s">
        <v>173</v>
      </c>
      <c r="AS416" t="s">
        <v>173</v>
      </c>
      <c r="AT416" t="s">
        <v>173</v>
      </c>
      <c r="AU416" t="s">
        <v>173</v>
      </c>
      <c r="AV416" t="s">
        <v>173</v>
      </c>
      <c r="AW416" t="s">
        <v>173</v>
      </c>
      <c r="AX416" t="s">
        <v>192</v>
      </c>
      <c r="AY416" t="s">
        <v>199</v>
      </c>
      <c r="AZ416" t="s">
        <v>183</v>
      </c>
      <c r="BA416" t="s">
        <v>183</v>
      </c>
      <c r="BB416" t="s">
        <v>183</v>
      </c>
      <c r="BC416" t="s">
        <v>183</v>
      </c>
      <c r="BD416" t="s">
        <v>183</v>
      </c>
    </row>
    <row r="417" hidden="1" spans="1:56">
      <c r="A417">
        <v>416</v>
      </c>
      <c r="B417" t="s">
        <v>272</v>
      </c>
      <c r="C417">
        <v>2023</v>
      </c>
      <c r="D417">
        <v>2020</v>
      </c>
      <c r="E417">
        <v>2022</v>
      </c>
      <c r="F417" t="s">
        <v>256</v>
      </c>
      <c r="G417" t="s">
        <v>257</v>
      </c>
      <c r="H417" t="s">
        <v>258</v>
      </c>
      <c r="I417"/>
      <c r="J417" t="s">
        <v>252</v>
      </c>
      <c r="K417" t="b">
        <v>1</v>
      </c>
      <c r="L417" t="b">
        <v>0</v>
      </c>
      <c r="M417" t="b">
        <v>1</v>
      </c>
      <c r="N417" t="b">
        <v>0</v>
      </c>
      <c r="O417" t="b">
        <v>0</v>
      </c>
      <c r="P417" t="b">
        <v>0</v>
      </c>
      <c r="Q417" t="b">
        <v>0</v>
      </c>
      <c r="R417" t="b">
        <v>0</v>
      </c>
      <c r="S417" t="b">
        <v>0</v>
      </c>
      <c r="T417" t="b">
        <v>0</v>
      </c>
      <c r="U417" t="b">
        <v>0</v>
      </c>
      <c r="V417" t="b">
        <v>0</v>
      </c>
      <c r="W417" t="b">
        <v>0</v>
      </c>
      <c r="X417" t="b">
        <v>0</v>
      </c>
      <c r="Y417" t="b">
        <v>0</v>
      </c>
      <c r="Z417" t="b">
        <v>0</v>
      </c>
      <c r="AA417" t="b">
        <v>0</v>
      </c>
      <c r="AB417" t="b">
        <v>0</v>
      </c>
      <c r="AC417" t="s">
        <v>171</v>
      </c>
      <c r="AD417" t="s">
        <v>171</v>
      </c>
      <c r="AE417" t="s">
        <v>173</v>
      </c>
      <c r="AF417" t="s">
        <v>171</v>
      </c>
      <c r="AG417" t="s">
        <v>171</v>
      </c>
      <c r="AH417" t="s">
        <v>173</v>
      </c>
      <c r="AI417" t="s">
        <v>173</v>
      </c>
      <c r="AJ417" t="s">
        <v>171</v>
      </c>
      <c r="AK417" t="s">
        <v>171</v>
      </c>
      <c r="AL417" t="s">
        <v>171</v>
      </c>
      <c r="AM417" t="s">
        <v>171</v>
      </c>
      <c r="AN417" t="s">
        <v>173</v>
      </c>
      <c r="AO417" t="s">
        <v>171</v>
      </c>
      <c r="AP417" t="s">
        <v>171</v>
      </c>
      <c r="AQ417" t="s">
        <v>171</v>
      </c>
      <c r="AR417" t="s">
        <v>171</v>
      </c>
      <c r="AS417" t="s">
        <v>173</v>
      </c>
      <c r="AT417" t="s">
        <v>173</v>
      </c>
      <c r="AU417" t="s">
        <v>173</v>
      </c>
      <c r="AV417" t="s">
        <v>173</v>
      </c>
      <c r="AW417" t="s">
        <v>183</v>
      </c>
      <c r="AX417" t="s">
        <v>193</v>
      </c>
      <c r="AY417" t="s">
        <v>200</v>
      </c>
      <c r="AZ417" t="s">
        <v>183</v>
      </c>
      <c r="BA417" t="s">
        <v>183</v>
      </c>
      <c r="BB417" t="s">
        <v>183</v>
      </c>
      <c r="BC417" t="s">
        <v>183</v>
      </c>
      <c r="BD417" t="s">
        <v>183</v>
      </c>
    </row>
    <row r="418" hidden="1" spans="1:56">
      <c r="A418">
        <v>417</v>
      </c>
      <c r="B418" t="s">
        <v>255</v>
      </c>
      <c r="C418">
        <v>2022</v>
      </c>
      <c r="D418">
        <v>1972</v>
      </c>
      <c r="E418">
        <v>1998</v>
      </c>
      <c r="F418" t="s">
        <v>256</v>
      </c>
      <c r="G418" t="s">
        <v>279</v>
      </c>
      <c r="H418" t="s">
        <v>274</v>
      </c>
      <c r="I418"/>
      <c r="J418" t="s">
        <v>252</v>
      </c>
      <c r="K418" t="b">
        <v>0</v>
      </c>
      <c r="L418" t="b">
        <v>0</v>
      </c>
      <c r="M418" t="b">
        <v>0</v>
      </c>
      <c r="N418" t="b">
        <v>0</v>
      </c>
      <c r="O418" t="b">
        <v>0</v>
      </c>
      <c r="P418" t="b">
        <v>0</v>
      </c>
      <c r="Q418" t="b">
        <v>0</v>
      </c>
      <c r="R418" t="b">
        <v>0</v>
      </c>
      <c r="S418" t="b">
        <v>0</v>
      </c>
      <c r="T418" t="b">
        <v>0</v>
      </c>
      <c r="U418" t="b">
        <v>0</v>
      </c>
      <c r="V418" t="b">
        <v>0</v>
      </c>
      <c r="W418" t="b">
        <v>0</v>
      </c>
      <c r="X418" t="b">
        <v>1</v>
      </c>
      <c r="Y418" t="b">
        <v>1</v>
      </c>
      <c r="Z418" t="b">
        <v>0</v>
      </c>
      <c r="AA418" t="b">
        <v>0</v>
      </c>
      <c r="AB418" t="b">
        <v>0</v>
      </c>
      <c r="AC418" t="s">
        <v>173</v>
      </c>
      <c r="AD418" t="s">
        <v>173</v>
      </c>
      <c r="AE418" t="s">
        <v>173</v>
      </c>
      <c r="AF418" t="s">
        <v>173</v>
      </c>
      <c r="AG418" t="s">
        <v>173</v>
      </c>
      <c r="AH418" t="s">
        <v>173</v>
      </c>
      <c r="AI418" t="s">
        <v>173</v>
      </c>
      <c r="AJ418" t="s">
        <v>173</v>
      </c>
      <c r="AK418" t="s">
        <v>173</v>
      </c>
      <c r="AL418" t="s">
        <v>173</v>
      </c>
      <c r="AM418" t="s">
        <v>173</v>
      </c>
      <c r="AN418" t="s">
        <v>173</v>
      </c>
      <c r="AO418" t="s">
        <v>173</v>
      </c>
      <c r="AP418" t="s">
        <v>173</v>
      </c>
      <c r="AQ418" t="s">
        <v>173</v>
      </c>
      <c r="AR418" t="s">
        <v>173</v>
      </c>
      <c r="AS418" t="s">
        <v>173</v>
      </c>
      <c r="AT418" t="s">
        <v>173</v>
      </c>
      <c r="AU418" t="s">
        <v>173</v>
      </c>
      <c r="AV418" t="s">
        <v>173</v>
      </c>
      <c r="AW418" t="s">
        <v>173</v>
      </c>
      <c r="AX418" t="s">
        <v>192</v>
      </c>
      <c r="AY418" t="s">
        <v>195</v>
      </c>
      <c r="AZ418" t="s">
        <v>183</v>
      </c>
      <c r="BA418" t="s">
        <v>183</v>
      </c>
      <c r="BB418" t="s">
        <v>183</v>
      </c>
      <c r="BC418" t="s">
        <v>183</v>
      </c>
      <c r="BD418" t="s">
        <v>183</v>
      </c>
    </row>
    <row r="419" hidden="1" spans="1:56">
      <c r="A419">
        <v>418</v>
      </c>
      <c r="B419" t="s">
        <v>255</v>
      </c>
      <c r="C419">
        <v>2023</v>
      </c>
      <c r="D419">
        <v>2017</v>
      </c>
      <c r="E419">
        <v>2020</v>
      </c>
      <c r="F419" t="s">
        <v>266</v>
      </c>
      <c r="G419" t="s">
        <v>257</v>
      </c>
      <c r="H419" t="s">
        <v>261</v>
      </c>
      <c r="I419"/>
      <c r="J419" t="s">
        <v>265</v>
      </c>
      <c r="K419" t="b">
        <v>0</v>
      </c>
      <c r="L419" t="b">
        <v>1</v>
      </c>
      <c r="M419" t="b">
        <v>0</v>
      </c>
      <c r="N419" t="b">
        <v>0</v>
      </c>
      <c r="O419" t="b">
        <v>0</v>
      </c>
      <c r="P419" t="b">
        <v>0</v>
      </c>
      <c r="Q419" t="b">
        <v>0</v>
      </c>
      <c r="R419" t="b">
        <v>0</v>
      </c>
      <c r="S419" t="b">
        <v>0</v>
      </c>
      <c r="T419" t="b">
        <v>0</v>
      </c>
      <c r="U419" t="b">
        <v>0</v>
      </c>
      <c r="V419" t="b">
        <v>0</v>
      </c>
      <c r="W419" t="b">
        <v>0</v>
      </c>
      <c r="X419" t="b">
        <v>0</v>
      </c>
      <c r="Y419" t="b">
        <v>0</v>
      </c>
      <c r="Z419" t="b">
        <v>1</v>
      </c>
      <c r="AA419" t="b">
        <v>1</v>
      </c>
      <c r="AB419" t="b">
        <v>0</v>
      </c>
      <c r="AC419" t="s">
        <v>171</v>
      </c>
      <c r="AD419" t="s">
        <v>175</v>
      </c>
      <c r="AE419" t="s">
        <v>173</v>
      </c>
      <c r="AF419" t="s">
        <v>175</v>
      </c>
      <c r="AG419" t="s">
        <v>173</v>
      </c>
      <c r="AH419" t="s">
        <v>175</v>
      </c>
      <c r="AI419" t="s">
        <v>175</v>
      </c>
      <c r="AJ419" t="s">
        <v>171</v>
      </c>
      <c r="AK419" t="s">
        <v>171</v>
      </c>
      <c r="AL419" t="s">
        <v>171</v>
      </c>
      <c r="AM419" t="s">
        <v>171</v>
      </c>
      <c r="AN419" t="s">
        <v>171</v>
      </c>
      <c r="AO419" t="s">
        <v>175</v>
      </c>
      <c r="AP419" t="s">
        <v>175</v>
      </c>
      <c r="AQ419" t="s">
        <v>173</v>
      </c>
      <c r="AR419" t="s">
        <v>173</v>
      </c>
      <c r="AS419" t="s">
        <v>173</v>
      </c>
      <c r="AT419" t="s">
        <v>173</v>
      </c>
      <c r="AU419" t="s">
        <v>175</v>
      </c>
      <c r="AV419" t="s">
        <v>175</v>
      </c>
      <c r="AW419" t="s">
        <v>171</v>
      </c>
      <c r="AX419" t="s">
        <v>192</v>
      </c>
      <c r="AY419" t="s">
        <v>199</v>
      </c>
      <c r="AZ419" t="s">
        <v>183</v>
      </c>
      <c r="BA419" t="s">
        <v>183</v>
      </c>
      <c r="BB419" t="s">
        <v>183</v>
      </c>
      <c r="BC419" t="s">
        <v>183</v>
      </c>
      <c r="BD419" t="s">
        <v>183</v>
      </c>
    </row>
    <row r="420" hidden="1" spans="1:56">
      <c r="A420">
        <v>419</v>
      </c>
      <c r="B420" t="s">
        <v>259</v>
      </c>
      <c r="C420">
        <v>2023</v>
      </c>
      <c r="D420" t="s">
        <v>247</v>
      </c>
      <c r="E420" t="s">
        <v>247</v>
      </c>
      <c r="F420" t="s">
        <v>260</v>
      </c>
      <c r="G420"/>
      <c r="H420" t="s">
        <v>267</v>
      </c>
      <c r="I420"/>
      <c r="J420" t="s">
        <v>252</v>
      </c>
      <c r="K420" t="b">
        <v>0</v>
      </c>
      <c r="L420" t="b">
        <v>0</v>
      </c>
      <c r="M420" t="b">
        <v>0</v>
      </c>
      <c r="N420" t="b">
        <v>0</v>
      </c>
      <c r="O420" t="b">
        <v>0</v>
      </c>
      <c r="P420" t="b">
        <v>0</v>
      </c>
      <c r="Q420" t="b">
        <v>0</v>
      </c>
      <c r="R420" t="b">
        <v>0</v>
      </c>
      <c r="S420" t="b">
        <v>0</v>
      </c>
      <c r="T420" t="b">
        <v>0</v>
      </c>
      <c r="U420" t="b">
        <v>1</v>
      </c>
      <c r="V420" t="b">
        <v>0</v>
      </c>
      <c r="W420" t="b">
        <v>0</v>
      </c>
      <c r="X420" t="b">
        <v>0</v>
      </c>
      <c r="Y420" t="b">
        <v>0</v>
      </c>
      <c r="Z420" t="b">
        <v>1</v>
      </c>
      <c r="AA420" t="b">
        <v>1</v>
      </c>
      <c r="AB420" t="b">
        <v>0</v>
      </c>
      <c r="AC420" t="s">
        <v>173</v>
      </c>
      <c r="AD420" t="s">
        <v>173</v>
      </c>
      <c r="AE420" t="s">
        <v>177</v>
      </c>
      <c r="AF420" t="s">
        <v>173</v>
      </c>
      <c r="AG420" t="s">
        <v>173</v>
      </c>
      <c r="AH420" t="s">
        <v>179</v>
      </c>
      <c r="AI420" t="s">
        <v>171</v>
      </c>
      <c r="AJ420" t="s">
        <v>175</v>
      </c>
      <c r="AK420" t="s">
        <v>173</v>
      </c>
      <c r="AL420" t="s">
        <v>173</v>
      </c>
      <c r="AM420" t="s">
        <v>173</v>
      </c>
      <c r="AN420" t="s">
        <v>173</v>
      </c>
      <c r="AO420" t="s">
        <v>175</v>
      </c>
      <c r="AP420" t="s">
        <v>173</v>
      </c>
      <c r="AQ420" t="s">
        <v>175</v>
      </c>
      <c r="AR420" t="s">
        <v>177</v>
      </c>
      <c r="AS420" t="s">
        <v>177</v>
      </c>
      <c r="AT420" t="s">
        <v>175</v>
      </c>
      <c r="AU420" t="s">
        <v>177</v>
      </c>
      <c r="AV420" t="s">
        <v>173</v>
      </c>
      <c r="AW420" t="s">
        <v>173</v>
      </c>
      <c r="AX420" t="s">
        <v>193</v>
      </c>
      <c r="AY420" t="s">
        <v>196</v>
      </c>
      <c r="AZ420" t="s">
        <v>183</v>
      </c>
      <c r="BA420" t="s">
        <v>183</v>
      </c>
      <c r="BB420" t="s">
        <v>183</v>
      </c>
      <c r="BC420" t="s">
        <v>183</v>
      </c>
      <c r="BD420" t="s">
        <v>183</v>
      </c>
    </row>
    <row r="421" hidden="1" spans="1:56">
      <c r="A421">
        <v>420</v>
      </c>
      <c r="B421" t="s">
        <v>255</v>
      </c>
      <c r="C421">
        <v>2023</v>
      </c>
      <c r="D421">
        <v>2021</v>
      </c>
      <c r="E421">
        <v>2021</v>
      </c>
      <c r="F421" t="s">
        <v>266</v>
      </c>
      <c r="G421"/>
      <c r="H421" t="s">
        <v>268</v>
      </c>
      <c r="I421"/>
      <c r="J421" t="s">
        <v>281</v>
      </c>
      <c r="K421" t="b">
        <v>0</v>
      </c>
      <c r="L421" t="b">
        <v>0</v>
      </c>
      <c r="M421" t="b">
        <v>0</v>
      </c>
      <c r="N421" t="b">
        <v>0</v>
      </c>
      <c r="O421" t="b">
        <v>0</v>
      </c>
      <c r="P421" t="b">
        <v>0</v>
      </c>
      <c r="Q421" t="b">
        <v>0</v>
      </c>
      <c r="R421" t="b">
        <v>0</v>
      </c>
      <c r="S421" t="b">
        <v>1</v>
      </c>
      <c r="T421" t="b">
        <v>0</v>
      </c>
      <c r="U421" t="b">
        <v>0</v>
      </c>
      <c r="V421" t="b">
        <v>0</v>
      </c>
      <c r="W421" t="b">
        <v>0</v>
      </c>
      <c r="X421" t="b">
        <v>0</v>
      </c>
      <c r="Y421" t="b">
        <v>0</v>
      </c>
      <c r="Z421" t="b">
        <v>0</v>
      </c>
      <c r="AA421" t="b">
        <v>0</v>
      </c>
      <c r="AB421" t="b">
        <v>0</v>
      </c>
      <c r="AC421" t="s">
        <v>171</v>
      </c>
      <c r="AD421" t="s">
        <v>175</v>
      </c>
      <c r="AE421" t="s">
        <v>171</v>
      </c>
      <c r="AF421" t="s">
        <v>171</v>
      </c>
      <c r="AG421" t="s">
        <v>173</v>
      </c>
      <c r="AH421" t="s">
        <v>173</v>
      </c>
      <c r="AI421" t="s">
        <v>173</v>
      </c>
      <c r="AJ421" t="s">
        <v>171</v>
      </c>
      <c r="AK421" t="s">
        <v>171</v>
      </c>
      <c r="AL421" t="s">
        <v>173</v>
      </c>
      <c r="AM421" t="s">
        <v>171</v>
      </c>
      <c r="AN421" t="s">
        <v>171</v>
      </c>
      <c r="AO421" t="s">
        <v>171</v>
      </c>
      <c r="AP421" t="s">
        <v>173</v>
      </c>
      <c r="AQ421" t="s">
        <v>171</v>
      </c>
      <c r="AR421" t="s">
        <v>171</v>
      </c>
      <c r="AS421" t="s">
        <v>173</v>
      </c>
      <c r="AT421" t="s">
        <v>171</v>
      </c>
      <c r="AU421" t="s">
        <v>171</v>
      </c>
      <c r="AV421" t="s">
        <v>173</v>
      </c>
      <c r="AW421" t="s">
        <v>173</v>
      </c>
      <c r="AX421" t="s">
        <v>192</v>
      </c>
      <c r="AY421" t="s">
        <v>199</v>
      </c>
      <c r="AZ421" t="s">
        <v>183</v>
      </c>
      <c r="BA421" t="s">
        <v>183</v>
      </c>
      <c r="BB421" t="s">
        <v>183</v>
      </c>
      <c r="BC421" t="s">
        <v>208</v>
      </c>
      <c r="BD421" t="s">
        <v>183</v>
      </c>
    </row>
    <row r="422" hidden="1" spans="1:56">
      <c r="A422">
        <v>421</v>
      </c>
      <c r="B422" t="s">
        <v>259</v>
      </c>
      <c r="C422">
        <v>2023</v>
      </c>
      <c r="D422">
        <v>1979</v>
      </c>
      <c r="E422">
        <v>1979</v>
      </c>
      <c r="F422" t="s">
        <v>256</v>
      </c>
      <c r="G422" t="s">
        <v>257</v>
      </c>
      <c r="H422" t="s">
        <v>274</v>
      </c>
      <c r="I422"/>
      <c r="J422" t="s">
        <v>252</v>
      </c>
      <c r="K422" t="b">
        <v>0</v>
      </c>
      <c r="L422" t="b">
        <v>0</v>
      </c>
      <c r="M422" t="b">
        <v>0</v>
      </c>
      <c r="N422" t="b">
        <v>0</v>
      </c>
      <c r="O422" t="b">
        <v>0</v>
      </c>
      <c r="P422" t="b">
        <v>0</v>
      </c>
      <c r="Q422" t="b">
        <v>0</v>
      </c>
      <c r="R422" t="b">
        <v>0</v>
      </c>
      <c r="S422" t="b">
        <v>0</v>
      </c>
      <c r="T422" t="b">
        <v>0</v>
      </c>
      <c r="U422" t="b">
        <v>1</v>
      </c>
      <c r="V422" t="b">
        <v>0</v>
      </c>
      <c r="W422" t="b">
        <v>0</v>
      </c>
      <c r="X422" t="b">
        <v>0</v>
      </c>
      <c r="Y422" t="b">
        <v>0</v>
      </c>
      <c r="Z422" t="b">
        <v>1</v>
      </c>
      <c r="AA422" t="b">
        <v>0</v>
      </c>
      <c r="AB422" t="b">
        <v>0</v>
      </c>
      <c r="AC422" t="s">
        <v>171</v>
      </c>
      <c r="AD422" t="s">
        <v>171</v>
      </c>
      <c r="AE422" t="s">
        <v>171</v>
      </c>
      <c r="AF422" t="s">
        <v>171</v>
      </c>
      <c r="AG422" t="s">
        <v>171</v>
      </c>
      <c r="AH422" t="s">
        <v>171</v>
      </c>
      <c r="AI422" t="s">
        <v>173</v>
      </c>
      <c r="AJ422" t="s">
        <v>171</v>
      </c>
      <c r="AK422" t="s">
        <v>171</v>
      </c>
      <c r="AL422" t="s">
        <v>171</v>
      </c>
      <c r="AM422" t="s">
        <v>171</v>
      </c>
      <c r="AN422" t="s">
        <v>171</v>
      </c>
      <c r="AO422" t="s">
        <v>173</v>
      </c>
      <c r="AP422" t="s">
        <v>173</v>
      </c>
      <c r="AQ422" t="s">
        <v>171</v>
      </c>
      <c r="AR422" t="s">
        <v>171</v>
      </c>
      <c r="AS422" t="s">
        <v>171</v>
      </c>
      <c r="AT422" t="s">
        <v>171</v>
      </c>
      <c r="AU422" t="s">
        <v>171</v>
      </c>
      <c r="AV422" t="s">
        <v>181</v>
      </c>
      <c r="AW422" t="s">
        <v>173</v>
      </c>
      <c r="AX422" t="s">
        <v>192</v>
      </c>
      <c r="AY422" t="s">
        <v>195</v>
      </c>
      <c r="AZ422" t="s">
        <v>183</v>
      </c>
      <c r="BA422" t="s">
        <v>183</v>
      </c>
      <c r="BB422" t="s">
        <v>183</v>
      </c>
      <c r="BC422" t="s">
        <v>183</v>
      </c>
      <c r="BD422" t="s">
        <v>183</v>
      </c>
    </row>
    <row r="423" hidden="1" spans="1:56">
      <c r="A423">
        <v>422</v>
      </c>
      <c r="B423" t="s">
        <v>259</v>
      </c>
      <c r="C423">
        <v>2023</v>
      </c>
      <c r="D423">
        <v>1981</v>
      </c>
      <c r="E423">
        <v>1993</v>
      </c>
      <c r="F423" t="s">
        <v>256</v>
      </c>
      <c r="G423" t="s">
        <v>263</v>
      </c>
      <c r="H423" t="s">
        <v>261</v>
      </c>
      <c r="I423"/>
      <c r="J423" t="s">
        <v>252</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1</v>
      </c>
      <c r="AC423" t="s">
        <v>171</v>
      </c>
      <c r="AD423" t="s">
        <v>171</v>
      </c>
      <c r="AE423" t="s">
        <v>171</v>
      </c>
      <c r="AF423" t="s">
        <v>171</v>
      </c>
      <c r="AG423" t="s">
        <v>171</v>
      </c>
      <c r="AH423" t="s">
        <v>171</v>
      </c>
      <c r="AI423" t="s">
        <v>171</v>
      </c>
      <c r="AJ423" t="s">
        <v>171</v>
      </c>
      <c r="AK423" t="s">
        <v>171</v>
      </c>
      <c r="AL423" t="s">
        <v>171</v>
      </c>
      <c r="AM423" t="s">
        <v>171</v>
      </c>
      <c r="AN423" t="s">
        <v>171</v>
      </c>
      <c r="AO423" t="s">
        <v>171</v>
      </c>
      <c r="AP423" t="s">
        <v>171</v>
      </c>
      <c r="AQ423" t="s">
        <v>171</v>
      </c>
      <c r="AR423" t="s">
        <v>171</v>
      </c>
      <c r="AS423" t="s">
        <v>171</v>
      </c>
      <c r="AT423" t="s">
        <v>171</v>
      </c>
      <c r="AU423" t="s">
        <v>171</v>
      </c>
      <c r="AV423" t="s">
        <v>171</v>
      </c>
      <c r="AW423" t="s">
        <v>171</v>
      </c>
      <c r="AX423" t="s">
        <v>193</v>
      </c>
      <c r="AY423" t="s">
        <v>195</v>
      </c>
      <c r="AZ423" t="s">
        <v>183</v>
      </c>
      <c r="BA423" t="s">
        <v>183</v>
      </c>
      <c r="BB423" t="s">
        <v>183</v>
      </c>
      <c r="BC423" t="s">
        <v>183</v>
      </c>
      <c r="BD423" t="s">
        <v>183</v>
      </c>
    </row>
    <row r="424" hidden="1" spans="1:56">
      <c r="A424">
        <v>423</v>
      </c>
      <c r="B424" t="s">
        <v>259</v>
      </c>
      <c r="C424">
        <v>2023</v>
      </c>
      <c r="D424">
        <v>2014</v>
      </c>
      <c r="E424">
        <v>2015</v>
      </c>
      <c r="F424" t="s">
        <v>275</v>
      </c>
      <c r="G424"/>
      <c r="H424" t="s">
        <v>267</v>
      </c>
      <c r="I424"/>
      <c r="J424" t="s">
        <v>265</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1</v>
      </c>
      <c r="AC424" t="s">
        <v>171</v>
      </c>
      <c r="AD424" t="s">
        <v>183</v>
      </c>
      <c r="AE424" t="s">
        <v>171</v>
      </c>
      <c r="AF424" t="s">
        <v>171</v>
      </c>
      <c r="AG424" t="s">
        <v>171</v>
      </c>
      <c r="AH424" t="s">
        <v>171</v>
      </c>
      <c r="AI424" t="s">
        <v>175</v>
      </c>
      <c r="AJ424" t="s">
        <v>171</v>
      </c>
      <c r="AK424" t="s">
        <v>171</v>
      </c>
      <c r="AL424" t="s">
        <v>171</v>
      </c>
      <c r="AM424" t="s">
        <v>177</v>
      </c>
      <c r="AN424" t="s">
        <v>173</v>
      </c>
      <c r="AO424" t="s">
        <v>173</v>
      </c>
      <c r="AP424" t="s">
        <v>171</v>
      </c>
      <c r="AQ424" t="s">
        <v>177</v>
      </c>
      <c r="AR424" t="s">
        <v>173</v>
      </c>
      <c r="AS424" t="s">
        <v>171</v>
      </c>
      <c r="AT424" t="s">
        <v>171</v>
      </c>
      <c r="AU424" t="s">
        <v>171</v>
      </c>
      <c r="AV424" t="s">
        <v>179</v>
      </c>
      <c r="AW424" t="s">
        <v>171</v>
      </c>
      <c r="AX424" t="s">
        <v>193</v>
      </c>
      <c r="AY424" t="s">
        <v>195</v>
      </c>
      <c r="AZ424" t="s">
        <v>183</v>
      </c>
      <c r="BA424" t="s">
        <v>183</v>
      </c>
      <c r="BB424" t="s">
        <v>183</v>
      </c>
      <c r="BC424" t="s">
        <v>183</v>
      </c>
      <c r="BD424" t="s">
        <v>183</v>
      </c>
    </row>
    <row r="425" hidden="1" spans="1:56">
      <c r="A425">
        <v>424</v>
      </c>
      <c r="B425" t="s">
        <v>269</v>
      </c>
      <c r="C425">
        <v>2023</v>
      </c>
      <c r="D425">
        <v>2017</v>
      </c>
      <c r="E425">
        <v>2021</v>
      </c>
      <c r="F425" t="s">
        <v>260</v>
      </c>
      <c r="G425"/>
      <c r="H425" t="s">
        <v>268</v>
      </c>
      <c r="I425"/>
      <c r="J425" t="s">
        <v>252</v>
      </c>
      <c r="K425" t="b">
        <v>0</v>
      </c>
      <c r="L425" t="b">
        <v>0</v>
      </c>
      <c r="M425" t="b">
        <v>0</v>
      </c>
      <c r="N425" t="b">
        <v>0</v>
      </c>
      <c r="O425" t="b">
        <v>0</v>
      </c>
      <c r="P425" t="b">
        <v>0</v>
      </c>
      <c r="Q425" t="b">
        <v>0</v>
      </c>
      <c r="R425" t="b">
        <v>0</v>
      </c>
      <c r="S425" t="b">
        <v>0</v>
      </c>
      <c r="T425" t="b">
        <v>0</v>
      </c>
      <c r="U425" t="b">
        <v>0</v>
      </c>
      <c r="V425" t="b">
        <v>1</v>
      </c>
      <c r="W425" t="b">
        <v>0</v>
      </c>
      <c r="X425" t="b">
        <v>0</v>
      </c>
      <c r="Y425" t="b">
        <v>0</v>
      </c>
      <c r="Z425" t="b">
        <v>0</v>
      </c>
      <c r="AA425" t="b">
        <v>0</v>
      </c>
      <c r="AB425" t="b">
        <v>0</v>
      </c>
      <c r="AC425" t="s">
        <v>171</v>
      </c>
      <c r="AD425" t="s">
        <v>173</v>
      </c>
      <c r="AE425" t="s">
        <v>171</v>
      </c>
      <c r="AF425" t="s">
        <v>171</v>
      </c>
      <c r="AG425" t="s">
        <v>173</v>
      </c>
      <c r="AH425" t="s">
        <v>175</v>
      </c>
      <c r="AI425" t="s">
        <v>175</v>
      </c>
      <c r="AJ425" t="s">
        <v>173</v>
      </c>
      <c r="AK425" t="s">
        <v>173</v>
      </c>
      <c r="AL425" t="s">
        <v>171</v>
      </c>
      <c r="AM425" t="s">
        <v>171</v>
      </c>
      <c r="AN425" t="s">
        <v>171</v>
      </c>
      <c r="AO425" t="s">
        <v>175</v>
      </c>
      <c r="AP425" t="s">
        <v>175</v>
      </c>
      <c r="AQ425" t="s">
        <v>173</v>
      </c>
      <c r="AR425" t="s">
        <v>173</v>
      </c>
      <c r="AS425" t="s">
        <v>173</v>
      </c>
      <c r="AT425" t="s">
        <v>173</v>
      </c>
      <c r="AU425" t="s">
        <v>173</v>
      </c>
      <c r="AV425" t="s">
        <v>173</v>
      </c>
      <c r="AW425" t="s">
        <v>173</v>
      </c>
      <c r="AX425" t="s">
        <v>193</v>
      </c>
      <c r="AY425" t="s">
        <v>203</v>
      </c>
      <c r="AZ425" t="s">
        <v>183</v>
      </c>
      <c r="BA425" t="s">
        <v>183</v>
      </c>
      <c r="BB425" t="s">
        <v>183</v>
      </c>
      <c r="BC425" t="s">
        <v>183</v>
      </c>
      <c r="BD425" t="s">
        <v>183</v>
      </c>
    </row>
    <row r="426" hidden="1" spans="1:56">
      <c r="A426">
        <v>425</v>
      </c>
      <c r="B426" t="s">
        <v>282</v>
      </c>
      <c r="C426">
        <v>2023</v>
      </c>
      <c r="D426">
        <v>2009</v>
      </c>
      <c r="E426">
        <v>2015</v>
      </c>
      <c r="F426" t="s">
        <v>266</v>
      </c>
      <c r="G426"/>
      <c r="H426" t="s">
        <v>247</v>
      </c>
      <c r="I426"/>
      <c r="J426" t="s">
        <v>265</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1</v>
      </c>
      <c r="AC426" t="s">
        <v>173</v>
      </c>
      <c r="AD426" t="s">
        <v>175</v>
      </c>
      <c r="AE426" t="s">
        <v>179</v>
      </c>
      <c r="AF426" t="s">
        <v>179</v>
      </c>
      <c r="AG426" t="s">
        <v>179</v>
      </c>
      <c r="AH426" t="s">
        <v>175</v>
      </c>
      <c r="AI426" t="s">
        <v>179</v>
      </c>
      <c r="AJ426" t="s">
        <v>175</v>
      </c>
      <c r="AK426" t="s">
        <v>173</v>
      </c>
      <c r="AL426" t="s">
        <v>175</v>
      </c>
      <c r="AM426" t="s">
        <v>175</v>
      </c>
      <c r="AN426" t="s">
        <v>181</v>
      </c>
      <c r="AO426" t="s">
        <v>175</v>
      </c>
      <c r="AP426" t="s">
        <v>173</v>
      </c>
      <c r="AQ426" t="s">
        <v>175</v>
      </c>
      <c r="AR426" t="s">
        <v>177</v>
      </c>
      <c r="AS426" t="s">
        <v>177</v>
      </c>
      <c r="AT426" t="s">
        <v>177</v>
      </c>
      <c r="AU426" t="s">
        <v>175</v>
      </c>
      <c r="AV426" t="s">
        <v>175</v>
      </c>
      <c r="AW426" t="s">
        <v>175</v>
      </c>
      <c r="AX426" t="s">
        <v>192</v>
      </c>
      <c r="AY426" t="s">
        <v>197</v>
      </c>
      <c r="AZ426" t="s">
        <v>183</v>
      </c>
      <c r="BA426" t="s">
        <v>183</v>
      </c>
      <c r="BB426" t="s">
        <v>183</v>
      </c>
      <c r="BC426" t="s">
        <v>183</v>
      </c>
      <c r="BD426" t="s">
        <v>183</v>
      </c>
    </row>
    <row r="427" hidden="1" spans="1:56">
      <c r="A427">
        <v>426</v>
      </c>
      <c r="B427" t="s">
        <v>282</v>
      </c>
      <c r="C427">
        <v>2023</v>
      </c>
      <c r="D427">
        <v>2018</v>
      </c>
      <c r="E427">
        <v>2018</v>
      </c>
      <c r="F427" t="s">
        <v>266</v>
      </c>
      <c r="G427"/>
      <c r="H427" t="s">
        <v>247</v>
      </c>
      <c r="I427"/>
      <c r="J427"/>
      <c r="K427" t="b">
        <v>0</v>
      </c>
      <c r="L427" t="b">
        <v>0</v>
      </c>
      <c r="M427" t="b">
        <v>0</v>
      </c>
      <c r="N427" t="b">
        <v>0</v>
      </c>
      <c r="O427" t="b">
        <v>0</v>
      </c>
      <c r="P427" t="b">
        <v>0</v>
      </c>
      <c r="Q427" t="b">
        <v>0</v>
      </c>
      <c r="R427" t="b">
        <v>0</v>
      </c>
      <c r="S427" t="b">
        <v>0</v>
      </c>
      <c r="T427" t="b">
        <v>0</v>
      </c>
      <c r="U427" t="b">
        <v>0</v>
      </c>
      <c r="V427" t="b">
        <v>0</v>
      </c>
      <c r="W427" t="b">
        <v>0</v>
      </c>
      <c r="X427" t="b">
        <v>0</v>
      </c>
      <c r="Y427" t="b">
        <v>0</v>
      </c>
      <c r="Z427" t="b">
        <v>1</v>
      </c>
      <c r="AA427" t="b">
        <v>0</v>
      </c>
      <c r="AB427" t="b">
        <v>0</v>
      </c>
      <c r="AC427" t="s">
        <v>173</v>
      </c>
      <c r="AD427" t="s">
        <v>173</v>
      </c>
      <c r="AE427" t="s">
        <v>175</v>
      </c>
      <c r="AF427" t="s">
        <v>175</v>
      </c>
      <c r="AG427" t="s">
        <v>173</v>
      </c>
      <c r="AH427" t="s">
        <v>173</v>
      </c>
      <c r="AI427" t="s">
        <v>181</v>
      </c>
      <c r="AJ427" t="s">
        <v>175</v>
      </c>
      <c r="AK427" t="s">
        <v>173</v>
      </c>
      <c r="AL427" t="s">
        <v>173</v>
      </c>
      <c r="AM427" t="s">
        <v>175</v>
      </c>
      <c r="AN427" t="s">
        <v>173</v>
      </c>
      <c r="AO427" t="s">
        <v>173</v>
      </c>
      <c r="AP427" t="s">
        <v>173</v>
      </c>
      <c r="AQ427" t="s">
        <v>171</v>
      </c>
      <c r="AR427" t="s">
        <v>175</v>
      </c>
      <c r="AS427" t="s">
        <v>171</v>
      </c>
      <c r="AT427" t="s">
        <v>173</v>
      </c>
      <c r="AU427" t="s">
        <v>175</v>
      </c>
      <c r="AV427" t="s">
        <v>175</v>
      </c>
      <c r="AW427" t="s">
        <v>173</v>
      </c>
      <c r="AX427" t="s">
        <v>193</v>
      </c>
      <c r="AY427" t="s">
        <v>200</v>
      </c>
      <c r="AZ427" t="s">
        <v>183</v>
      </c>
      <c r="BA427" t="s">
        <v>183</v>
      </c>
      <c r="BB427" t="s">
        <v>183</v>
      </c>
      <c r="BC427" t="s">
        <v>183</v>
      </c>
      <c r="BD427" t="s">
        <v>183</v>
      </c>
    </row>
    <row r="428" hidden="1" spans="1:56">
      <c r="A428">
        <v>427</v>
      </c>
      <c r="B428" t="s">
        <v>282</v>
      </c>
      <c r="C428">
        <v>2023</v>
      </c>
      <c r="D428">
        <v>2019</v>
      </c>
      <c r="E428">
        <v>2021</v>
      </c>
      <c r="F428" t="s">
        <v>266</v>
      </c>
      <c r="G428"/>
      <c r="H428" t="s">
        <v>264</v>
      </c>
      <c r="I428"/>
      <c r="J428" t="s">
        <v>252</v>
      </c>
      <c r="K428" t="b">
        <v>0</v>
      </c>
      <c r="L428" t="b">
        <v>0</v>
      </c>
      <c r="M428" t="b">
        <v>0</v>
      </c>
      <c r="N428" t="b">
        <v>0</v>
      </c>
      <c r="O428" t="b">
        <v>0</v>
      </c>
      <c r="P428" t="b">
        <v>0</v>
      </c>
      <c r="Q428" t="b">
        <v>0</v>
      </c>
      <c r="R428" t="b">
        <v>0</v>
      </c>
      <c r="S428" t="b">
        <v>0</v>
      </c>
      <c r="T428" t="b">
        <v>0</v>
      </c>
      <c r="U428" t="b">
        <v>0</v>
      </c>
      <c r="V428" t="b">
        <v>1</v>
      </c>
      <c r="W428" t="b">
        <v>0</v>
      </c>
      <c r="X428" t="b">
        <v>0</v>
      </c>
      <c r="Y428" t="b">
        <v>0</v>
      </c>
      <c r="Z428" t="b">
        <v>0</v>
      </c>
      <c r="AA428" t="b">
        <v>0</v>
      </c>
      <c r="AB428" t="b">
        <v>0</v>
      </c>
      <c r="AC428" t="s">
        <v>173</v>
      </c>
      <c r="AD428" t="s">
        <v>173</v>
      </c>
      <c r="AE428" t="s">
        <v>173</v>
      </c>
      <c r="AF428" t="s">
        <v>173</v>
      </c>
      <c r="AG428" t="s">
        <v>173</v>
      </c>
      <c r="AH428" t="s">
        <v>173</v>
      </c>
      <c r="AI428" t="s">
        <v>171</v>
      </c>
      <c r="AJ428" t="s">
        <v>173</v>
      </c>
      <c r="AK428" t="s">
        <v>171</v>
      </c>
      <c r="AL428" t="s">
        <v>173</v>
      </c>
      <c r="AM428" t="s">
        <v>173</v>
      </c>
      <c r="AN428" t="s">
        <v>173</v>
      </c>
      <c r="AO428" t="s">
        <v>171</v>
      </c>
      <c r="AP428" t="s">
        <v>171</v>
      </c>
      <c r="AQ428" t="s">
        <v>171</v>
      </c>
      <c r="AR428" t="s">
        <v>173</v>
      </c>
      <c r="AS428" t="s">
        <v>173</v>
      </c>
      <c r="AT428" t="s">
        <v>171</v>
      </c>
      <c r="AU428" t="s">
        <v>171</v>
      </c>
      <c r="AV428" t="s">
        <v>173</v>
      </c>
      <c r="AW428" t="s">
        <v>173</v>
      </c>
      <c r="AX428" t="s">
        <v>192</v>
      </c>
      <c r="AY428" t="s">
        <v>198</v>
      </c>
      <c r="AZ428" t="s">
        <v>183</v>
      </c>
      <c r="BA428" t="s">
        <v>183</v>
      </c>
      <c r="BB428" t="s">
        <v>183</v>
      </c>
      <c r="BC428" t="s">
        <v>183</v>
      </c>
      <c r="BD428" t="s">
        <v>183</v>
      </c>
    </row>
    <row r="429" hidden="1" spans="1:56">
      <c r="A429">
        <v>428</v>
      </c>
      <c r="B429" t="s">
        <v>259</v>
      </c>
      <c r="C429">
        <v>2023</v>
      </c>
      <c r="D429">
        <v>2002</v>
      </c>
      <c r="E429">
        <v>2012</v>
      </c>
      <c r="F429" t="s">
        <v>266</v>
      </c>
      <c r="G429"/>
      <c r="H429" t="s">
        <v>258</v>
      </c>
      <c r="I429"/>
      <c r="J429" t="s">
        <v>265</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1</v>
      </c>
      <c r="AC429" t="s">
        <v>173</v>
      </c>
      <c r="AD429" t="s">
        <v>175</v>
      </c>
      <c r="AE429" t="s">
        <v>177</v>
      </c>
      <c r="AF429" t="s">
        <v>175</v>
      </c>
      <c r="AG429" t="s">
        <v>175</v>
      </c>
      <c r="AH429" t="s">
        <v>173</v>
      </c>
      <c r="AI429" t="s">
        <v>175</v>
      </c>
      <c r="AJ429" t="s">
        <v>173</v>
      </c>
      <c r="AK429" t="s">
        <v>173</v>
      </c>
      <c r="AL429" t="s">
        <v>175</v>
      </c>
      <c r="AM429" t="s">
        <v>181</v>
      </c>
      <c r="AN429" t="s">
        <v>175</v>
      </c>
      <c r="AO429" t="s">
        <v>175</v>
      </c>
      <c r="AP429" t="s">
        <v>175</v>
      </c>
      <c r="AQ429" t="s">
        <v>175</v>
      </c>
      <c r="AR429" t="s">
        <v>175</v>
      </c>
      <c r="AS429" t="s">
        <v>175</v>
      </c>
      <c r="AT429" t="s">
        <v>173</v>
      </c>
      <c r="AU429" t="s">
        <v>173</v>
      </c>
      <c r="AV429" t="s">
        <v>175</v>
      </c>
      <c r="AW429" t="s">
        <v>175</v>
      </c>
      <c r="AX429" t="s">
        <v>192</v>
      </c>
      <c r="AY429" t="s">
        <v>195</v>
      </c>
      <c r="AZ429" t="s">
        <v>183</v>
      </c>
      <c r="BA429" t="s">
        <v>183</v>
      </c>
      <c r="BB429" t="s">
        <v>183</v>
      </c>
      <c r="BC429" t="s">
        <v>183</v>
      </c>
      <c r="BD429" t="s">
        <v>183</v>
      </c>
    </row>
    <row r="430" hidden="1" spans="1:56">
      <c r="A430">
        <v>429</v>
      </c>
      <c r="B430" t="s">
        <v>280</v>
      </c>
      <c r="C430">
        <v>2023</v>
      </c>
      <c r="D430">
        <v>1993</v>
      </c>
      <c r="E430">
        <v>1993</v>
      </c>
      <c r="F430" t="s">
        <v>275</v>
      </c>
      <c r="G430"/>
      <c r="H430" t="s">
        <v>274</v>
      </c>
      <c r="I430"/>
      <c r="J430" t="s">
        <v>252</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1</v>
      </c>
      <c r="AB430" t="b">
        <v>0</v>
      </c>
      <c r="AC430" t="s">
        <v>173</v>
      </c>
      <c r="AD430" t="s">
        <v>183</v>
      </c>
      <c r="AE430" t="s">
        <v>179</v>
      </c>
      <c r="AF430" t="s">
        <v>175</v>
      </c>
      <c r="AG430" t="s">
        <v>177</v>
      </c>
      <c r="AH430" t="s">
        <v>183</v>
      </c>
      <c r="AI430" t="s">
        <v>179</v>
      </c>
      <c r="AJ430" t="s">
        <v>177</v>
      </c>
      <c r="AK430" t="s">
        <v>173</v>
      </c>
      <c r="AL430" t="s">
        <v>179</v>
      </c>
      <c r="AM430" t="s">
        <v>173</v>
      </c>
      <c r="AN430" t="s">
        <v>175</v>
      </c>
      <c r="AO430" t="s">
        <v>179</v>
      </c>
      <c r="AP430" t="s">
        <v>177</v>
      </c>
      <c r="AQ430" t="s">
        <v>183</v>
      </c>
      <c r="AR430" t="s">
        <v>179</v>
      </c>
      <c r="AS430" t="s">
        <v>175</v>
      </c>
      <c r="AT430" t="s">
        <v>177</v>
      </c>
      <c r="AU430" t="s">
        <v>177</v>
      </c>
      <c r="AV430" t="s">
        <v>179</v>
      </c>
      <c r="AW430" t="s">
        <v>175</v>
      </c>
      <c r="AX430" t="s">
        <v>192</v>
      </c>
      <c r="AY430" t="s">
        <v>195</v>
      </c>
      <c r="AZ430" t="s">
        <v>183</v>
      </c>
      <c r="BA430" t="s">
        <v>183</v>
      </c>
      <c r="BB430" t="s">
        <v>183</v>
      </c>
      <c r="BC430" t="s">
        <v>183</v>
      </c>
      <c r="BD430" t="s">
        <v>208</v>
      </c>
    </row>
    <row r="431" hidden="1" spans="1:56">
      <c r="A431">
        <v>430</v>
      </c>
      <c r="B431" t="s">
        <v>280</v>
      </c>
      <c r="C431">
        <v>2023</v>
      </c>
      <c r="D431">
        <v>1985</v>
      </c>
      <c r="E431">
        <v>1985</v>
      </c>
      <c r="F431" t="s">
        <v>266</v>
      </c>
      <c r="G431"/>
      <c r="H431" t="s">
        <v>264</v>
      </c>
      <c r="I431"/>
      <c r="J431" t="s">
        <v>265</v>
      </c>
      <c r="K431" t="b">
        <v>0</v>
      </c>
      <c r="L431" t="b">
        <v>0</v>
      </c>
      <c r="M431" t="b">
        <v>0</v>
      </c>
      <c r="N431" t="b">
        <v>0</v>
      </c>
      <c r="O431" t="b">
        <v>0</v>
      </c>
      <c r="P431" t="b">
        <v>0</v>
      </c>
      <c r="Q431" t="b">
        <v>0</v>
      </c>
      <c r="R431" t="b">
        <v>0</v>
      </c>
      <c r="S431" t="b">
        <v>0</v>
      </c>
      <c r="T431" t="b">
        <v>0</v>
      </c>
      <c r="U431" t="b">
        <v>0</v>
      </c>
      <c r="V431" t="b">
        <v>0</v>
      </c>
      <c r="W431" t="b">
        <v>0</v>
      </c>
      <c r="X431" t="b">
        <v>1</v>
      </c>
      <c r="Y431" t="b">
        <v>0</v>
      </c>
      <c r="Z431" t="b">
        <v>0</v>
      </c>
      <c r="AA431" t="b">
        <v>0</v>
      </c>
      <c r="AB431" t="b">
        <v>0</v>
      </c>
      <c r="AC431" t="s">
        <v>173</v>
      </c>
      <c r="AD431" t="s">
        <v>181</v>
      </c>
      <c r="AE431" t="s">
        <v>173</v>
      </c>
      <c r="AF431" t="s">
        <v>173</v>
      </c>
      <c r="AG431" t="s">
        <v>171</v>
      </c>
      <c r="AH431" t="s">
        <v>171</v>
      </c>
      <c r="AI431" t="s">
        <v>173</v>
      </c>
      <c r="AJ431" t="s">
        <v>173</v>
      </c>
      <c r="AK431" t="s">
        <v>173</v>
      </c>
      <c r="AL431" t="s">
        <v>173</v>
      </c>
      <c r="AM431" t="s">
        <v>175</v>
      </c>
      <c r="AN431" t="s">
        <v>175</v>
      </c>
      <c r="AO431" t="s">
        <v>175</v>
      </c>
      <c r="AP431" t="s">
        <v>175</v>
      </c>
      <c r="AQ431" t="s">
        <v>173</v>
      </c>
      <c r="AR431" t="s">
        <v>173</v>
      </c>
      <c r="AS431" t="s">
        <v>175</v>
      </c>
      <c r="AT431" t="s">
        <v>173</v>
      </c>
      <c r="AU431" t="s">
        <v>175</v>
      </c>
      <c r="AV431" t="s">
        <v>181</v>
      </c>
      <c r="AW431" t="s">
        <v>181</v>
      </c>
      <c r="AX431" t="s">
        <v>192</v>
      </c>
      <c r="AY431" t="s">
        <v>195</v>
      </c>
      <c r="AZ431" t="s">
        <v>183</v>
      </c>
      <c r="BA431" t="s">
        <v>183</v>
      </c>
      <c r="BB431" t="s">
        <v>183</v>
      </c>
      <c r="BC431" t="s">
        <v>183</v>
      </c>
      <c r="BD431" t="s">
        <v>183</v>
      </c>
    </row>
    <row r="432" hidden="1" spans="1:51">
      <c r="A432">
        <v>431</v>
      </c>
      <c r="B432" t="s">
        <v>282</v>
      </c>
      <c r="C432">
        <v>2022</v>
      </c>
      <c r="D432">
        <v>2012</v>
      </c>
      <c r="E432">
        <v>2013</v>
      </c>
      <c r="F432" t="s">
        <v>266</v>
      </c>
      <c r="G432"/>
      <c r="H432" t="s">
        <v>274</v>
      </c>
      <c r="I432"/>
      <c r="J432" t="s">
        <v>265</v>
      </c>
      <c r="K432" t="b">
        <v>0</v>
      </c>
      <c r="L432" t="b">
        <v>0</v>
      </c>
      <c r="M432" t="b">
        <v>0</v>
      </c>
      <c r="N432" t="b">
        <v>0</v>
      </c>
      <c r="O432" t="b">
        <v>0</v>
      </c>
      <c r="P432" t="b">
        <v>0</v>
      </c>
      <c r="Q432" t="b">
        <v>0</v>
      </c>
      <c r="R432" t="b">
        <v>0</v>
      </c>
      <c r="S432" t="b">
        <v>0</v>
      </c>
      <c r="T432" t="b">
        <v>1</v>
      </c>
      <c r="U432" t="b">
        <v>0</v>
      </c>
      <c r="V432" t="b">
        <v>0</v>
      </c>
      <c r="W432" t="b">
        <v>0</v>
      </c>
      <c r="X432" t="b">
        <v>0</v>
      </c>
      <c r="Y432" t="b">
        <v>0</v>
      </c>
      <c r="Z432" t="b">
        <v>0</v>
      </c>
      <c r="AA432" t="b">
        <v>0</v>
      </c>
      <c r="AB432" t="b">
        <v>0</v>
      </c>
      <c r="AC432" t="s">
        <v>179</v>
      </c>
      <c r="AD432" t="s">
        <v>175</v>
      </c>
      <c r="AE432" t="s">
        <v>177</v>
      </c>
      <c r="AF432" t="s">
        <v>179</v>
      </c>
      <c r="AG432" t="s">
        <v>173</v>
      </c>
      <c r="AH432" t="s">
        <v>177</v>
      </c>
      <c r="AI432" t="s">
        <v>177</v>
      </c>
      <c r="AJ432" t="s">
        <v>179</v>
      </c>
      <c r="AK432" t="s">
        <v>177</v>
      </c>
      <c r="AL432" t="s">
        <v>173</v>
      </c>
      <c r="AM432" t="s">
        <v>179</v>
      </c>
      <c r="AN432" t="s">
        <v>173</v>
      </c>
      <c r="AO432" t="s">
        <v>177</v>
      </c>
      <c r="AP432" t="s">
        <v>179</v>
      </c>
      <c r="AQ432" t="s">
        <v>177</v>
      </c>
      <c r="AR432" t="s">
        <v>179</v>
      </c>
      <c r="AS432" t="s">
        <v>179</v>
      </c>
      <c r="AT432" t="s">
        <v>177</v>
      </c>
      <c r="AU432" t="s">
        <v>179</v>
      </c>
      <c r="AV432" t="s">
        <v>179</v>
      </c>
      <c r="AW432" t="s">
        <v>177</v>
      </c>
      <c r="AX432" t="s">
        <v>192</v>
      </c>
      <c r="AY432" t="s">
        <v>199</v>
      </c>
    </row>
    <row r="433" hidden="1" spans="1:56">
      <c r="A433">
        <v>432</v>
      </c>
      <c r="B433" t="s">
        <v>259</v>
      </c>
      <c r="C433">
        <v>2023</v>
      </c>
      <c r="D433">
        <v>2011</v>
      </c>
      <c r="E433">
        <v>2011</v>
      </c>
      <c r="F433" t="s">
        <v>275</v>
      </c>
      <c r="G433"/>
      <c r="H433" t="s">
        <v>268</v>
      </c>
      <c r="I433"/>
      <c r="J433" t="s">
        <v>265</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1</v>
      </c>
      <c r="AC433" t="s">
        <v>171</v>
      </c>
      <c r="AD433" t="s">
        <v>171</v>
      </c>
      <c r="AE433" t="s">
        <v>171</v>
      </c>
      <c r="AF433" t="s">
        <v>171</v>
      </c>
      <c r="AG433" t="s">
        <v>171</v>
      </c>
      <c r="AH433" t="s">
        <v>171</v>
      </c>
      <c r="AI433" t="s">
        <v>171</v>
      </c>
      <c r="AJ433" t="s">
        <v>171</v>
      </c>
      <c r="AK433" t="s">
        <v>171</v>
      </c>
      <c r="AL433" t="s">
        <v>171</v>
      </c>
      <c r="AM433" t="s">
        <v>171</v>
      </c>
      <c r="AN433" t="s">
        <v>171</v>
      </c>
      <c r="AO433" t="s">
        <v>171</v>
      </c>
      <c r="AP433" t="s">
        <v>171</v>
      </c>
      <c r="AQ433" t="s">
        <v>171</v>
      </c>
      <c r="AR433" t="s">
        <v>171</v>
      </c>
      <c r="AS433" t="s">
        <v>171</v>
      </c>
      <c r="AT433" t="s">
        <v>171</v>
      </c>
      <c r="AU433" t="s">
        <v>171</v>
      </c>
      <c r="AV433" t="s">
        <v>171</v>
      </c>
      <c r="AW433" t="s">
        <v>171</v>
      </c>
      <c r="AX433" t="s">
        <v>193</v>
      </c>
      <c r="AY433" t="s">
        <v>195</v>
      </c>
      <c r="AZ433" t="s">
        <v>183</v>
      </c>
      <c r="BA433" t="s">
        <v>183</v>
      </c>
      <c r="BB433" t="s">
        <v>183</v>
      </c>
      <c r="BC433" t="s">
        <v>183</v>
      </c>
      <c r="BD433" t="s">
        <v>183</v>
      </c>
    </row>
    <row r="434" hidden="1" spans="1:56">
      <c r="A434">
        <v>433</v>
      </c>
      <c r="B434" t="s">
        <v>272</v>
      </c>
      <c r="C434">
        <v>2023</v>
      </c>
      <c r="D434">
        <v>2017</v>
      </c>
      <c r="E434">
        <v>2019</v>
      </c>
      <c r="F434" t="s">
        <v>289</v>
      </c>
      <c r="G434"/>
      <c r="H434" t="s">
        <v>250</v>
      </c>
      <c r="I434"/>
      <c r="J434" t="s">
        <v>252</v>
      </c>
      <c r="K434" t="b">
        <v>0</v>
      </c>
      <c r="L434" t="b">
        <v>0</v>
      </c>
      <c r="M434" t="b">
        <v>0</v>
      </c>
      <c r="N434" t="b">
        <v>1</v>
      </c>
      <c r="O434" t="b">
        <v>1</v>
      </c>
      <c r="P434" t="b">
        <v>0</v>
      </c>
      <c r="Q434" t="b">
        <v>1</v>
      </c>
      <c r="R434" t="b">
        <v>1</v>
      </c>
      <c r="S434" t="b">
        <v>0</v>
      </c>
      <c r="T434" t="b">
        <v>1</v>
      </c>
      <c r="U434" t="b">
        <v>0</v>
      </c>
      <c r="V434" t="b">
        <v>0</v>
      </c>
      <c r="W434" t="b">
        <v>0</v>
      </c>
      <c r="X434" t="b">
        <v>0</v>
      </c>
      <c r="Y434" t="b">
        <v>0</v>
      </c>
      <c r="Z434" t="b">
        <v>0</v>
      </c>
      <c r="AA434" t="b">
        <v>1</v>
      </c>
      <c r="AB434" t="b">
        <v>0</v>
      </c>
      <c r="AC434" t="s">
        <v>177</v>
      </c>
      <c r="AD434" t="s">
        <v>175</v>
      </c>
      <c r="AE434" t="s">
        <v>177</v>
      </c>
      <c r="AF434" t="s">
        <v>177</v>
      </c>
      <c r="AG434" t="s">
        <v>173</v>
      </c>
      <c r="AH434" t="s">
        <v>173</v>
      </c>
      <c r="AI434" t="s">
        <v>173</v>
      </c>
      <c r="AJ434" t="s">
        <v>175</v>
      </c>
      <c r="AK434" t="s">
        <v>173</v>
      </c>
      <c r="AL434" t="s">
        <v>173</v>
      </c>
      <c r="AM434" t="s">
        <v>175</v>
      </c>
      <c r="AN434" t="s">
        <v>173</v>
      </c>
      <c r="AO434" t="s">
        <v>175</v>
      </c>
      <c r="AP434" t="s">
        <v>175</v>
      </c>
      <c r="AQ434" t="s">
        <v>175</v>
      </c>
      <c r="AR434" t="s">
        <v>175</v>
      </c>
      <c r="AS434" t="s">
        <v>175</v>
      </c>
      <c r="AT434" t="s">
        <v>177</v>
      </c>
      <c r="AU434" t="s">
        <v>177</v>
      </c>
      <c r="AV434" t="s">
        <v>175</v>
      </c>
      <c r="AW434" t="s">
        <v>175</v>
      </c>
      <c r="AX434" t="s">
        <v>192</v>
      </c>
      <c r="AY434" t="s">
        <v>200</v>
      </c>
      <c r="AZ434" t="s">
        <v>183</v>
      </c>
      <c r="BA434" t="s">
        <v>183</v>
      </c>
      <c r="BB434" t="s">
        <v>183</v>
      </c>
      <c r="BC434" t="s">
        <v>183</v>
      </c>
      <c r="BD434" t="s">
        <v>183</v>
      </c>
    </row>
    <row r="435" hidden="1" spans="1:56">
      <c r="A435">
        <v>434</v>
      </c>
      <c r="B435" t="s">
        <v>255</v>
      </c>
      <c r="C435">
        <v>2023</v>
      </c>
      <c r="D435">
        <v>2002</v>
      </c>
      <c r="E435">
        <v>2011</v>
      </c>
      <c r="F435" t="s">
        <v>256</v>
      </c>
      <c r="G435" t="s">
        <v>257</v>
      </c>
      <c r="H435" t="s">
        <v>268</v>
      </c>
      <c r="I435"/>
      <c r="J435" t="s">
        <v>265</v>
      </c>
      <c r="K435" t="b">
        <v>0</v>
      </c>
      <c r="L435" t="b">
        <v>0</v>
      </c>
      <c r="M435" t="b">
        <v>0</v>
      </c>
      <c r="N435" t="b">
        <v>0</v>
      </c>
      <c r="O435" t="b">
        <v>1</v>
      </c>
      <c r="P435" t="b">
        <v>0</v>
      </c>
      <c r="Q435" t="b">
        <v>0</v>
      </c>
      <c r="R435" t="b">
        <v>0</v>
      </c>
      <c r="S435" t="b">
        <v>0</v>
      </c>
      <c r="T435" t="b">
        <v>1</v>
      </c>
      <c r="U435" t="b">
        <v>0</v>
      </c>
      <c r="V435" t="b">
        <v>0</v>
      </c>
      <c r="W435" t="b">
        <v>0</v>
      </c>
      <c r="X435" t="b">
        <v>0</v>
      </c>
      <c r="Y435" t="b">
        <v>0</v>
      </c>
      <c r="Z435" t="b">
        <v>0</v>
      </c>
      <c r="AA435" t="b">
        <v>1</v>
      </c>
      <c r="AB435" t="b">
        <v>0</v>
      </c>
      <c r="AC435" t="s">
        <v>177</v>
      </c>
      <c r="AD435" t="s">
        <v>179</v>
      </c>
      <c r="AE435" t="s">
        <v>179</v>
      </c>
      <c r="AF435" t="s">
        <v>173</v>
      </c>
      <c r="AG435" t="s">
        <v>177</v>
      </c>
      <c r="AH435" t="s">
        <v>173</v>
      </c>
      <c r="AI435" t="s">
        <v>179</v>
      </c>
      <c r="AJ435" t="s">
        <v>177</v>
      </c>
      <c r="AK435" t="s">
        <v>175</v>
      </c>
      <c r="AL435" t="s">
        <v>173</v>
      </c>
      <c r="AM435" t="s">
        <v>171</v>
      </c>
      <c r="AN435" t="s">
        <v>175</v>
      </c>
      <c r="AO435" t="s">
        <v>179</v>
      </c>
      <c r="AP435" t="s">
        <v>177</v>
      </c>
      <c r="AQ435" t="s">
        <v>179</v>
      </c>
      <c r="AR435" t="s">
        <v>173</v>
      </c>
      <c r="AS435" t="s">
        <v>173</v>
      </c>
      <c r="AT435" t="s">
        <v>173</v>
      </c>
      <c r="AU435" t="s">
        <v>179</v>
      </c>
      <c r="AV435" t="s">
        <v>175</v>
      </c>
      <c r="AW435" t="s">
        <v>175</v>
      </c>
      <c r="AX435" t="s">
        <v>192</v>
      </c>
      <c r="AY435" t="s">
        <v>198</v>
      </c>
      <c r="AZ435" t="s">
        <v>183</v>
      </c>
      <c r="BA435" t="s">
        <v>183</v>
      </c>
      <c r="BB435" t="s">
        <v>183</v>
      </c>
      <c r="BC435" t="s">
        <v>183</v>
      </c>
      <c r="BD435" t="s">
        <v>183</v>
      </c>
    </row>
    <row r="436" hidden="1" spans="1:56">
      <c r="A436">
        <v>435</v>
      </c>
      <c r="B436" t="s">
        <v>255</v>
      </c>
      <c r="C436">
        <v>2023</v>
      </c>
      <c r="D436">
        <v>2015</v>
      </c>
      <c r="E436">
        <v>2019</v>
      </c>
      <c r="F436" t="s">
        <v>260</v>
      </c>
      <c r="G436"/>
      <c r="H436" t="s">
        <v>258</v>
      </c>
      <c r="I436"/>
      <c r="J436" t="s">
        <v>252</v>
      </c>
      <c r="K436" t="b">
        <v>0</v>
      </c>
      <c r="L436" t="b">
        <v>1</v>
      </c>
      <c r="M436" t="b">
        <v>0</v>
      </c>
      <c r="N436" t="b">
        <v>0</v>
      </c>
      <c r="O436" t="b">
        <v>0</v>
      </c>
      <c r="P436" t="b">
        <v>0</v>
      </c>
      <c r="Q436" t="b">
        <v>0</v>
      </c>
      <c r="R436" t="b">
        <v>0</v>
      </c>
      <c r="S436" t="b">
        <v>0</v>
      </c>
      <c r="T436" t="b">
        <v>0</v>
      </c>
      <c r="U436" t="b">
        <v>0</v>
      </c>
      <c r="V436" t="b">
        <v>1</v>
      </c>
      <c r="W436" t="b">
        <v>0</v>
      </c>
      <c r="X436" t="b">
        <v>0</v>
      </c>
      <c r="Y436" t="b">
        <v>0</v>
      </c>
      <c r="Z436" t="b">
        <v>0</v>
      </c>
      <c r="AA436" t="b">
        <v>1</v>
      </c>
      <c r="AB436" t="b">
        <v>0</v>
      </c>
      <c r="AC436" t="s">
        <v>173</v>
      </c>
      <c r="AD436" t="s">
        <v>173</v>
      </c>
      <c r="AE436" t="s">
        <v>175</v>
      </c>
      <c r="AF436" t="s">
        <v>173</v>
      </c>
      <c r="AG436" t="s">
        <v>177</v>
      </c>
      <c r="AH436" t="s">
        <v>179</v>
      </c>
      <c r="AI436" t="s">
        <v>177</v>
      </c>
      <c r="AJ436" t="s">
        <v>173</v>
      </c>
      <c r="AK436" t="s">
        <v>173</v>
      </c>
      <c r="AL436" t="s">
        <v>173</v>
      </c>
      <c r="AM436" t="s">
        <v>171</v>
      </c>
      <c r="AN436" t="s">
        <v>173</v>
      </c>
      <c r="AO436" t="s">
        <v>173</v>
      </c>
      <c r="AP436" t="s">
        <v>173</v>
      </c>
      <c r="AQ436" t="s">
        <v>173</v>
      </c>
      <c r="AR436" t="s">
        <v>171</v>
      </c>
      <c r="AS436" t="s">
        <v>175</v>
      </c>
      <c r="AT436" t="s">
        <v>175</v>
      </c>
      <c r="AU436" t="s">
        <v>177</v>
      </c>
      <c r="AV436" t="s">
        <v>179</v>
      </c>
      <c r="AW436" t="s">
        <v>177</v>
      </c>
      <c r="AX436" t="s">
        <v>192</v>
      </c>
      <c r="AY436" t="s">
        <v>200</v>
      </c>
      <c r="AZ436" t="s">
        <v>183</v>
      </c>
      <c r="BA436" t="s">
        <v>183</v>
      </c>
      <c r="BB436" t="s">
        <v>183</v>
      </c>
      <c r="BC436" t="s">
        <v>183</v>
      </c>
      <c r="BD436" t="s">
        <v>183</v>
      </c>
    </row>
    <row r="437" hidden="1" spans="1:56">
      <c r="A437">
        <v>436</v>
      </c>
      <c r="B437" t="s">
        <v>259</v>
      </c>
      <c r="C437">
        <v>2023</v>
      </c>
      <c r="D437">
        <v>2012</v>
      </c>
      <c r="E437">
        <v>2012</v>
      </c>
      <c r="F437" t="s">
        <v>275</v>
      </c>
      <c r="G437"/>
      <c r="H437" t="s">
        <v>261</v>
      </c>
      <c r="I437"/>
      <c r="J437" t="s">
        <v>265</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1</v>
      </c>
      <c r="AC437" t="s">
        <v>173</v>
      </c>
      <c r="AD437" t="s">
        <v>175</v>
      </c>
      <c r="AE437" t="s">
        <v>173</v>
      </c>
      <c r="AF437" t="s">
        <v>173</v>
      </c>
      <c r="AG437" t="s">
        <v>173</v>
      </c>
      <c r="AH437" t="s">
        <v>173</v>
      </c>
      <c r="AI437" t="s">
        <v>173</v>
      </c>
      <c r="AJ437" t="s">
        <v>173</v>
      </c>
      <c r="AK437" t="s">
        <v>173</v>
      </c>
      <c r="AL437" t="s">
        <v>173</v>
      </c>
      <c r="AM437" t="s">
        <v>173</v>
      </c>
      <c r="AN437" t="s">
        <v>173</v>
      </c>
      <c r="AO437" t="s">
        <v>175</v>
      </c>
      <c r="AP437" t="s">
        <v>173</v>
      </c>
      <c r="AQ437" t="s">
        <v>175</v>
      </c>
      <c r="AR437" t="s">
        <v>173</v>
      </c>
      <c r="AS437" t="s">
        <v>173</v>
      </c>
      <c r="AT437" t="s">
        <v>173</v>
      </c>
      <c r="AU437" t="s">
        <v>173</v>
      </c>
      <c r="AV437" t="s">
        <v>173</v>
      </c>
      <c r="AW437" t="s">
        <v>181</v>
      </c>
      <c r="AX437" t="s">
        <v>192</v>
      </c>
      <c r="AY437" t="s">
        <v>197</v>
      </c>
      <c r="AZ437" t="s">
        <v>183</v>
      </c>
      <c r="BA437" t="s">
        <v>183</v>
      </c>
      <c r="BB437" t="s">
        <v>183</v>
      </c>
      <c r="BC437" t="s">
        <v>183</v>
      </c>
      <c r="BD437" t="s">
        <v>183</v>
      </c>
    </row>
    <row r="438" hidden="1" spans="1:56">
      <c r="A438">
        <v>437</v>
      </c>
      <c r="B438" t="s">
        <v>280</v>
      </c>
      <c r="C438">
        <v>2023</v>
      </c>
      <c r="D438">
        <v>1995</v>
      </c>
      <c r="E438">
        <v>2009</v>
      </c>
      <c r="F438" t="s">
        <v>256</v>
      </c>
      <c r="G438" t="s">
        <v>263</v>
      </c>
      <c r="H438" t="s">
        <v>274</v>
      </c>
      <c r="I438"/>
      <c r="J438" t="s">
        <v>265</v>
      </c>
      <c r="K438" t="b">
        <v>0</v>
      </c>
      <c r="L438" t="b">
        <v>0</v>
      </c>
      <c r="M438" t="b">
        <v>0</v>
      </c>
      <c r="N438" t="b">
        <v>0</v>
      </c>
      <c r="O438" t="b">
        <v>0</v>
      </c>
      <c r="P438" t="b">
        <v>0</v>
      </c>
      <c r="Q438" t="b">
        <v>0</v>
      </c>
      <c r="R438" t="b">
        <v>0</v>
      </c>
      <c r="S438" t="b">
        <v>0</v>
      </c>
      <c r="T438" t="b">
        <v>0</v>
      </c>
      <c r="U438" t="b">
        <v>0</v>
      </c>
      <c r="V438" t="b">
        <v>0</v>
      </c>
      <c r="W438" t="b">
        <v>0</v>
      </c>
      <c r="X438" t="b">
        <v>1</v>
      </c>
      <c r="Y438" t="b">
        <v>0</v>
      </c>
      <c r="Z438" t="b">
        <v>0</v>
      </c>
      <c r="AA438" t="b">
        <v>0</v>
      </c>
      <c r="AB438" t="b">
        <v>0</v>
      </c>
      <c r="AC438" t="s">
        <v>171</v>
      </c>
      <c r="AD438" t="s">
        <v>171</v>
      </c>
      <c r="AE438" t="s">
        <v>171</v>
      </c>
      <c r="AF438" t="s">
        <v>171</v>
      </c>
      <c r="AG438" t="s">
        <v>173</v>
      </c>
      <c r="AH438" t="s">
        <v>179</v>
      </c>
      <c r="AI438" t="s">
        <v>179</v>
      </c>
      <c r="AJ438" t="s">
        <v>171</v>
      </c>
      <c r="AK438" t="s">
        <v>171</v>
      </c>
      <c r="AL438" t="s">
        <v>171</v>
      </c>
      <c r="AM438" t="s">
        <v>171</v>
      </c>
      <c r="AN438" t="s">
        <v>171</v>
      </c>
      <c r="AO438" t="s">
        <v>173</v>
      </c>
      <c r="AP438" t="s">
        <v>173</v>
      </c>
      <c r="AQ438" t="s">
        <v>173</v>
      </c>
      <c r="AR438" t="s">
        <v>171</v>
      </c>
      <c r="AS438" t="s">
        <v>171</v>
      </c>
      <c r="AT438" t="s">
        <v>171</v>
      </c>
      <c r="AU438" t="s">
        <v>171</v>
      </c>
      <c r="AV438" t="s">
        <v>179</v>
      </c>
      <c r="AW438" t="s">
        <v>171</v>
      </c>
      <c r="AX438" t="s">
        <v>192</v>
      </c>
      <c r="AY438" t="s">
        <v>198</v>
      </c>
      <c r="AZ438" t="s">
        <v>183</v>
      </c>
      <c r="BA438" t="s">
        <v>183</v>
      </c>
      <c r="BB438" t="s">
        <v>183</v>
      </c>
      <c r="BC438" t="s">
        <v>208</v>
      </c>
      <c r="BD438" t="s">
        <v>183</v>
      </c>
    </row>
    <row r="439" hidden="1" spans="1:56">
      <c r="A439">
        <v>438</v>
      </c>
      <c r="B439" t="s">
        <v>255</v>
      </c>
      <c r="C439">
        <v>2023</v>
      </c>
      <c r="D439">
        <v>2011</v>
      </c>
      <c r="E439">
        <v>2011</v>
      </c>
      <c r="F439" t="s">
        <v>256</v>
      </c>
      <c r="G439" t="s">
        <v>279</v>
      </c>
      <c r="H439" t="s">
        <v>264</v>
      </c>
      <c r="I439"/>
      <c r="J439" t="s">
        <v>252</v>
      </c>
      <c r="K439" t="b">
        <v>0</v>
      </c>
      <c r="L439" t="b">
        <v>0</v>
      </c>
      <c r="M439" t="b">
        <v>0</v>
      </c>
      <c r="N439" t="b">
        <v>1</v>
      </c>
      <c r="O439" t="b">
        <v>0</v>
      </c>
      <c r="P439" t="b">
        <v>0</v>
      </c>
      <c r="Q439" t="b">
        <v>0</v>
      </c>
      <c r="R439" t="b">
        <v>0</v>
      </c>
      <c r="S439" t="b">
        <v>0</v>
      </c>
      <c r="T439" t="b">
        <v>0</v>
      </c>
      <c r="U439" t="b">
        <v>0</v>
      </c>
      <c r="V439" t="b">
        <v>0</v>
      </c>
      <c r="W439" t="b">
        <v>1</v>
      </c>
      <c r="X439" t="b">
        <v>1</v>
      </c>
      <c r="Y439" t="b">
        <v>0</v>
      </c>
      <c r="Z439" t="b">
        <v>0</v>
      </c>
      <c r="AA439" t="b">
        <v>0</v>
      </c>
      <c r="AB439" t="b">
        <v>0</v>
      </c>
      <c r="AC439" t="s">
        <v>171</v>
      </c>
      <c r="AD439" t="s">
        <v>175</v>
      </c>
      <c r="AE439" t="s">
        <v>173</v>
      </c>
      <c r="AF439" t="s">
        <v>173</v>
      </c>
      <c r="AG439" t="s">
        <v>173</v>
      </c>
      <c r="AH439" t="s">
        <v>173</v>
      </c>
      <c r="AI439" t="s">
        <v>173</v>
      </c>
      <c r="AJ439" t="s">
        <v>173</v>
      </c>
      <c r="AK439" t="s">
        <v>173</v>
      </c>
      <c r="AL439" t="s">
        <v>173</v>
      </c>
      <c r="AM439" t="s">
        <v>173</v>
      </c>
      <c r="AN439" t="s">
        <v>173</v>
      </c>
      <c r="AO439" t="s">
        <v>177</v>
      </c>
      <c r="AP439" t="s">
        <v>177</v>
      </c>
      <c r="AQ439" t="s">
        <v>171</v>
      </c>
      <c r="AR439" t="s">
        <v>173</v>
      </c>
      <c r="AS439" t="s">
        <v>173</v>
      </c>
      <c r="AT439" t="s">
        <v>173</v>
      </c>
      <c r="AU439" t="s">
        <v>173</v>
      </c>
      <c r="AV439" t="s">
        <v>175</v>
      </c>
      <c r="AW439" t="s">
        <v>173</v>
      </c>
      <c r="AX439" t="s">
        <v>192</v>
      </c>
      <c r="AY439" t="s">
        <v>203</v>
      </c>
      <c r="AZ439" t="s">
        <v>183</v>
      </c>
      <c r="BA439" t="s">
        <v>183</v>
      </c>
      <c r="BB439" t="s">
        <v>183</v>
      </c>
      <c r="BC439" t="s">
        <v>208</v>
      </c>
      <c r="BD439" t="s">
        <v>183</v>
      </c>
    </row>
    <row r="440" hidden="1" spans="1:56">
      <c r="A440">
        <v>439</v>
      </c>
      <c r="B440" t="s">
        <v>269</v>
      </c>
      <c r="C440">
        <v>2023</v>
      </c>
      <c r="D440" t="s">
        <v>247</v>
      </c>
      <c r="E440" t="s">
        <v>247</v>
      </c>
      <c r="F440" t="s">
        <v>256</v>
      </c>
      <c r="G440" t="s">
        <v>263</v>
      </c>
      <c r="H440" t="s">
        <v>268</v>
      </c>
      <c r="I440"/>
      <c r="J440" t="s">
        <v>252</v>
      </c>
      <c r="K440" t="b">
        <v>1</v>
      </c>
      <c r="L440" t="b">
        <v>0</v>
      </c>
      <c r="M440" t="b">
        <v>0</v>
      </c>
      <c r="N440" t="b">
        <v>0</v>
      </c>
      <c r="O440" t="b">
        <v>0</v>
      </c>
      <c r="P440" t="b">
        <v>0</v>
      </c>
      <c r="Q440" t="b">
        <v>0</v>
      </c>
      <c r="R440" t="b">
        <v>0</v>
      </c>
      <c r="S440" t="b">
        <v>0</v>
      </c>
      <c r="T440" t="b">
        <v>0</v>
      </c>
      <c r="U440" t="b">
        <v>0</v>
      </c>
      <c r="V440" t="b">
        <v>1</v>
      </c>
      <c r="W440" t="b">
        <v>0</v>
      </c>
      <c r="X440" t="b">
        <v>0</v>
      </c>
      <c r="Y440" t="b">
        <v>0</v>
      </c>
      <c r="Z440" t="b">
        <v>0</v>
      </c>
      <c r="AA440" t="b">
        <v>0</v>
      </c>
      <c r="AB440" t="b">
        <v>0</v>
      </c>
      <c r="AC440" t="s">
        <v>173</v>
      </c>
      <c r="AD440" t="s">
        <v>173</v>
      </c>
      <c r="AE440" t="s">
        <v>175</v>
      </c>
      <c r="AF440" t="s">
        <v>177</v>
      </c>
      <c r="AG440" t="s">
        <v>175</v>
      </c>
      <c r="AH440" t="s">
        <v>175</v>
      </c>
      <c r="AI440" t="s">
        <v>177</v>
      </c>
      <c r="AJ440" t="s">
        <v>175</v>
      </c>
      <c r="AK440" t="s">
        <v>175</v>
      </c>
      <c r="AL440" t="s">
        <v>173</v>
      </c>
      <c r="AM440" t="s">
        <v>175</v>
      </c>
      <c r="AN440" t="s">
        <v>173</v>
      </c>
      <c r="AO440" t="s">
        <v>175</v>
      </c>
      <c r="AP440" t="s">
        <v>175</v>
      </c>
      <c r="AQ440" t="s">
        <v>175</v>
      </c>
      <c r="AR440" t="s">
        <v>175</v>
      </c>
      <c r="AS440" t="s">
        <v>175</v>
      </c>
      <c r="AT440" t="s">
        <v>175</v>
      </c>
      <c r="AU440" t="s">
        <v>175</v>
      </c>
      <c r="AV440" t="s">
        <v>177</v>
      </c>
      <c r="AW440" t="s">
        <v>177</v>
      </c>
      <c r="AX440" t="s">
        <v>192</v>
      </c>
      <c r="AY440" t="s">
        <v>202</v>
      </c>
      <c r="AZ440" t="s">
        <v>183</v>
      </c>
      <c r="BA440" t="s">
        <v>183</v>
      </c>
      <c r="BB440" t="s">
        <v>183</v>
      </c>
      <c r="BC440" t="s">
        <v>183</v>
      </c>
      <c r="BD440" t="s">
        <v>183</v>
      </c>
    </row>
    <row r="441" hidden="1" spans="1:56">
      <c r="A441">
        <v>440</v>
      </c>
      <c r="B441" t="s">
        <v>255</v>
      </c>
      <c r="C441">
        <v>2022</v>
      </c>
      <c r="D441">
        <v>2001</v>
      </c>
      <c r="E441">
        <v>2018</v>
      </c>
      <c r="F441" t="s">
        <v>266</v>
      </c>
      <c r="G441"/>
      <c r="H441" t="s">
        <v>261</v>
      </c>
      <c r="I441"/>
      <c r="J441" t="s">
        <v>252</v>
      </c>
      <c r="K441" t="b">
        <v>0</v>
      </c>
      <c r="L441" t="b">
        <v>0</v>
      </c>
      <c r="M441" t="b">
        <v>0</v>
      </c>
      <c r="N441" t="b">
        <v>0</v>
      </c>
      <c r="O441" t="b">
        <v>1</v>
      </c>
      <c r="P441" t="b">
        <v>0</v>
      </c>
      <c r="Q441" t="b">
        <v>1</v>
      </c>
      <c r="R441" t="b">
        <v>0</v>
      </c>
      <c r="S441" t="b">
        <v>0</v>
      </c>
      <c r="T441" t="b">
        <v>0</v>
      </c>
      <c r="U441" t="b">
        <v>0</v>
      </c>
      <c r="V441" t="b">
        <v>0</v>
      </c>
      <c r="W441" t="b">
        <v>0</v>
      </c>
      <c r="X441" t="b">
        <v>0</v>
      </c>
      <c r="Y441" t="b">
        <v>1</v>
      </c>
      <c r="Z441" t="b">
        <v>0</v>
      </c>
      <c r="AA441" t="b">
        <v>0</v>
      </c>
      <c r="AB441" t="b">
        <v>0</v>
      </c>
      <c r="AC441" t="s">
        <v>173</v>
      </c>
      <c r="AD441" t="s">
        <v>173</v>
      </c>
      <c r="AE441" t="s">
        <v>177</v>
      </c>
      <c r="AF441" t="s">
        <v>179</v>
      </c>
      <c r="AG441" t="s">
        <v>173</v>
      </c>
      <c r="AH441" t="s">
        <v>175</v>
      </c>
      <c r="AI441" t="s">
        <v>175</v>
      </c>
      <c r="AJ441" t="s">
        <v>177</v>
      </c>
      <c r="AK441" t="s">
        <v>173</v>
      </c>
      <c r="AL441" t="s">
        <v>173</v>
      </c>
      <c r="AM441" t="s">
        <v>177</v>
      </c>
      <c r="AN441" t="s">
        <v>175</v>
      </c>
      <c r="AO441" t="s">
        <v>177</v>
      </c>
      <c r="AP441" t="s">
        <v>179</v>
      </c>
      <c r="AQ441" t="s">
        <v>175</v>
      </c>
      <c r="AR441" t="s">
        <v>177</v>
      </c>
      <c r="AS441" t="s">
        <v>175</v>
      </c>
      <c r="AT441" t="s">
        <v>175</v>
      </c>
      <c r="AU441" t="s">
        <v>175</v>
      </c>
      <c r="AV441" t="s">
        <v>173</v>
      </c>
      <c r="AW441" t="s">
        <v>173</v>
      </c>
      <c r="AX441" t="s">
        <v>192</v>
      </c>
      <c r="AY441" t="s">
        <v>196</v>
      </c>
      <c r="AZ441" t="s">
        <v>183</v>
      </c>
      <c r="BA441" t="s">
        <v>183</v>
      </c>
      <c r="BB441" t="s">
        <v>183</v>
      </c>
      <c r="BC441" t="s">
        <v>183</v>
      </c>
      <c r="BD441" t="s">
        <v>183</v>
      </c>
    </row>
    <row r="442" hidden="1" spans="1:56">
      <c r="A442">
        <v>441</v>
      </c>
      <c r="B442" t="s">
        <v>259</v>
      </c>
      <c r="C442">
        <v>2022</v>
      </c>
      <c r="D442">
        <v>2002</v>
      </c>
      <c r="E442">
        <v>2002</v>
      </c>
      <c r="F442" t="s">
        <v>262</v>
      </c>
      <c r="G442"/>
      <c r="H442" t="s">
        <v>261</v>
      </c>
      <c r="I442"/>
      <c r="J442" t="s">
        <v>265</v>
      </c>
      <c r="K442" t="b">
        <v>0</v>
      </c>
      <c r="L442" t="b">
        <v>0</v>
      </c>
      <c r="M442" t="b">
        <v>0</v>
      </c>
      <c r="N442" t="b">
        <v>0</v>
      </c>
      <c r="O442" t="b">
        <v>0</v>
      </c>
      <c r="P442" t="b">
        <v>0</v>
      </c>
      <c r="Q442" t="b">
        <v>0</v>
      </c>
      <c r="R442" t="b">
        <v>0</v>
      </c>
      <c r="S442" t="b">
        <v>0</v>
      </c>
      <c r="T442" t="b">
        <v>0</v>
      </c>
      <c r="U442" t="b">
        <v>0</v>
      </c>
      <c r="V442" t="b">
        <v>0</v>
      </c>
      <c r="W442" t="b">
        <v>0</v>
      </c>
      <c r="X442" t="b">
        <v>0</v>
      </c>
      <c r="Y442" t="b">
        <v>0</v>
      </c>
      <c r="Z442" t="b">
        <v>1</v>
      </c>
      <c r="AA442" t="b">
        <v>0</v>
      </c>
      <c r="AB442" t="b">
        <v>0</v>
      </c>
      <c r="AC442" t="s">
        <v>173</v>
      </c>
      <c r="AD442" t="s">
        <v>175</v>
      </c>
      <c r="AE442" t="s">
        <v>173</v>
      </c>
      <c r="AF442" t="s">
        <v>173</v>
      </c>
      <c r="AG442" t="s">
        <v>173</v>
      </c>
      <c r="AH442" t="s">
        <v>175</v>
      </c>
      <c r="AI442" t="s">
        <v>173</v>
      </c>
      <c r="AJ442" t="s">
        <v>173</v>
      </c>
      <c r="AK442" t="s">
        <v>173</v>
      </c>
      <c r="AL442" t="s">
        <v>173</v>
      </c>
      <c r="AM442" t="s">
        <v>173</v>
      </c>
      <c r="AN442" t="s">
        <v>175</v>
      </c>
      <c r="AO442" t="s">
        <v>173</v>
      </c>
      <c r="AP442" t="s">
        <v>173</v>
      </c>
      <c r="AQ442" t="s">
        <v>177</v>
      </c>
      <c r="AR442" t="s">
        <v>173</v>
      </c>
      <c r="AS442" t="s">
        <v>173</v>
      </c>
      <c r="AT442" t="s">
        <v>173</v>
      </c>
      <c r="AU442" t="s">
        <v>175</v>
      </c>
      <c r="AV442" t="s">
        <v>177</v>
      </c>
      <c r="AW442" t="s">
        <v>177</v>
      </c>
      <c r="AX442" t="s">
        <v>192</v>
      </c>
      <c r="AY442" t="s">
        <v>195</v>
      </c>
      <c r="AZ442" t="s">
        <v>183</v>
      </c>
      <c r="BA442" t="s">
        <v>183</v>
      </c>
      <c r="BB442" t="s">
        <v>183</v>
      </c>
      <c r="BC442" t="s">
        <v>183</v>
      </c>
      <c r="BD442" t="s">
        <v>208</v>
      </c>
    </row>
    <row r="443" hidden="1" spans="1:56">
      <c r="A443">
        <v>442</v>
      </c>
      <c r="B443" t="s">
        <v>255</v>
      </c>
      <c r="C443">
        <v>2023</v>
      </c>
      <c r="D443">
        <v>2019</v>
      </c>
      <c r="E443">
        <v>2019</v>
      </c>
      <c r="F443" t="s">
        <v>266</v>
      </c>
      <c r="G443"/>
      <c r="H443" t="s">
        <v>268</v>
      </c>
      <c r="I443"/>
      <c r="J443" t="s">
        <v>265</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1</v>
      </c>
      <c r="AC443" t="s">
        <v>173</v>
      </c>
      <c r="AD443" t="s">
        <v>175</v>
      </c>
      <c r="AE443" t="s">
        <v>175</v>
      </c>
      <c r="AF443" t="s">
        <v>171</v>
      </c>
      <c r="AG443" t="s">
        <v>171</v>
      </c>
      <c r="AH443" t="s">
        <v>171</v>
      </c>
      <c r="AI443" t="s">
        <v>171</v>
      </c>
      <c r="AJ443" t="s">
        <v>171</v>
      </c>
      <c r="AK443" t="s">
        <v>173</v>
      </c>
      <c r="AL443" t="s">
        <v>171</v>
      </c>
      <c r="AM443" t="s">
        <v>173</v>
      </c>
      <c r="AN443" t="s">
        <v>175</v>
      </c>
      <c r="AO443" t="s">
        <v>175</v>
      </c>
      <c r="AP443" t="s">
        <v>175</v>
      </c>
      <c r="AQ443" t="s">
        <v>177</v>
      </c>
      <c r="AR443" t="s">
        <v>175</v>
      </c>
      <c r="AS443" t="s">
        <v>175</v>
      </c>
      <c r="AT443" t="s">
        <v>173</v>
      </c>
      <c r="AU443" t="s">
        <v>175</v>
      </c>
      <c r="AV443" t="s">
        <v>173</v>
      </c>
      <c r="AW443" t="s">
        <v>173</v>
      </c>
      <c r="AX443" t="s">
        <v>192</v>
      </c>
      <c r="AY443" t="s">
        <v>203</v>
      </c>
      <c r="AZ443" t="s">
        <v>183</v>
      </c>
      <c r="BA443" t="s">
        <v>183</v>
      </c>
      <c r="BB443" t="s">
        <v>183</v>
      </c>
      <c r="BC443" t="s">
        <v>183</v>
      </c>
      <c r="BD443" t="s">
        <v>183</v>
      </c>
    </row>
    <row r="444" hidden="1" spans="1:56">
      <c r="A444">
        <v>443</v>
      </c>
      <c r="B444" t="s">
        <v>280</v>
      </c>
      <c r="C444">
        <v>2023</v>
      </c>
      <c r="D444" t="s">
        <v>247</v>
      </c>
      <c r="E444" t="s">
        <v>247</v>
      </c>
      <c r="F444" t="s">
        <v>253</v>
      </c>
      <c r="G444"/>
      <c r="H444" t="s">
        <v>261</v>
      </c>
      <c r="I444"/>
      <c r="J444" t="s">
        <v>252</v>
      </c>
      <c r="K444" t="b">
        <v>0</v>
      </c>
      <c r="L444" t="b">
        <v>0</v>
      </c>
      <c r="M444" t="b">
        <v>0</v>
      </c>
      <c r="N444" t="b">
        <v>0</v>
      </c>
      <c r="O444" t="b">
        <v>0</v>
      </c>
      <c r="P444" t="b">
        <v>0</v>
      </c>
      <c r="Q444" t="b">
        <v>0</v>
      </c>
      <c r="R444" t="b">
        <v>0</v>
      </c>
      <c r="S444" t="b">
        <v>0</v>
      </c>
      <c r="T444" t="b">
        <v>0</v>
      </c>
      <c r="U444" t="b">
        <v>0</v>
      </c>
      <c r="V444" t="b">
        <v>0</v>
      </c>
      <c r="W444" t="b">
        <v>0</v>
      </c>
      <c r="X444" t="b">
        <v>1</v>
      </c>
      <c r="Y444" t="b">
        <v>0</v>
      </c>
      <c r="Z444" t="b">
        <v>0</v>
      </c>
      <c r="AA444" t="b">
        <v>0</v>
      </c>
      <c r="AB444" t="b">
        <v>0</v>
      </c>
      <c r="AC444" t="s">
        <v>171</v>
      </c>
      <c r="AD444" t="s">
        <v>173</v>
      </c>
      <c r="AE444" t="s">
        <v>171</v>
      </c>
      <c r="AF444" t="s">
        <v>171</v>
      </c>
      <c r="AG444" t="s">
        <v>175</v>
      </c>
      <c r="AH444" t="s">
        <v>171</v>
      </c>
      <c r="AI444" t="s">
        <v>171</v>
      </c>
      <c r="AJ444" t="s">
        <v>171</v>
      </c>
      <c r="AK444" t="s">
        <v>171</v>
      </c>
      <c r="AL444" t="s">
        <v>171</v>
      </c>
      <c r="AM444" t="s">
        <v>171</v>
      </c>
      <c r="AN444" t="s">
        <v>173</v>
      </c>
      <c r="AO444" t="s">
        <v>171</v>
      </c>
      <c r="AP444" t="s">
        <v>171</v>
      </c>
      <c r="AQ444" t="s">
        <v>171</v>
      </c>
      <c r="AR444" t="s">
        <v>171</v>
      </c>
      <c r="AS444" t="s">
        <v>171</v>
      </c>
      <c r="AT444" t="s">
        <v>171</v>
      </c>
      <c r="AU444" t="s">
        <v>171</v>
      </c>
      <c r="AV444" t="s">
        <v>171</v>
      </c>
      <c r="AW444" t="s">
        <v>171</v>
      </c>
      <c r="AX444" t="s">
        <v>193</v>
      </c>
      <c r="AY444" t="s">
        <v>196</v>
      </c>
      <c r="AZ444" t="s">
        <v>183</v>
      </c>
      <c r="BA444" t="s">
        <v>183</v>
      </c>
      <c r="BB444" t="s">
        <v>183</v>
      </c>
      <c r="BC444" t="s">
        <v>183</v>
      </c>
      <c r="BD444" t="s">
        <v>183</v>
      </c>
    </row>
    <row r="445" hidden="1" spans="1:56">
      <c r="A445">
        <v>444</v>
      </c>
      <c r="B445" t="s">
        <v>259</v>
      </c>
      <c r="C445">
        <v>2023</v>
      </c>
      <c r="D445">
        <v>1986</v>
      </c>
      <c r="E445">
        <v>2008</v>
      </c>
      <c r="F445" t="s">
        <v>291</v>
      </c>
      <c r="G445"/>
      <c r="H445" t="s">
        <v>258</v>
      </c>
      <c r="I445"/>
      <c r="J445" t="s">
        <v>252</v>
      </c>
      <c r="K445" t="b">
        <v>0</v>
      </c>
      <c r="L445" t="b">
        <v>0</v>
      </c>
      <c r="M445" t="b">
        <v>0</v>
      </c>
      <c r="N445" t="b">
        <v>0</v>
      </c>
      <c r="O445" t="b">
        <v>0</v>
      </c>
      <c r="P445" t="b">
        <v>0</v>
      </c>
      <c r="Q445" t="b">
        <v>0</v>
      </c>
      <c r="R445" t="b">
        <v>0</v>
      </c>
      <c r="S445" t="b">
        <v>0</v>
      </c>
      <c r="T445" t="b">
        <v>0</v>
      </c>
      <c r="U445" t="b">
        <v>0</v>
      </c>
      <c r="V445" t="b">
        <v>0</v>
      </c>
      <c r="W445" t="b">
        <v>0</v>
      </c>
      <c r="X445" t="b">
        <v>0</v>
      </c>
      <c r="Y445" t="b">
        <v>0</v>
      </c>
      <c r="Z445" t="b">
        <v>1</v>
      </c>
      <c r="AA445" t="b">
        <v>0</v>
      </c>
      <c r="AB445" t="b">
        <v>0</v>
      </c>
      <c r="AC445" t="s">
        <v>173</v>
      </c>
      <c r="AD445" t="s">
        <v>173</v>
      </c>
      <c r="AE445" t="s">
        <v>173</v>
      </c>
      <c r="AF445" t="s">
        <v>173</v>
      </c>
      <c r="AG445" t="s">
        <v>173</v>
      </c>
      <c r="AH445" t="s">
        <v>177</v>
      </c>
      <c r="AI445" t="s">
        <v>175</v>
      </c>
      <c r="AJ445" t="s">
        <v>171</v>
      </c>
      <c r="AK445" t="s">
        <v>173</v>
      </c>
      <c r="AL445" t="s">
        <v>171</v>
      </c>
      <c r="AM445" t="s">
        <v>171</v>
      </c>
      <c r="AN445" t="s">
        <v>171</v>
      </c>
      <c r="AO445" t="s">
        <v>171</v>
      </c>
      <c r="AP445" t="s">
        <v>171</v>
      </c>
      <c r="AQ445" t="s">
        <v>173</v>
      </c>
      <c r="AR445" t="s">
        <v>173</v>
      </c>
      <c r="AS445" t="s">
        <v>171</v>
      </c>
      <c r="AT445" t="s">
        <v>171</v>
      </c>
      <c r="AU445" t="s">
        <v>171</v>
      </c>
      <c r="AV445" t="s">
        <v>175</v>
      </c>
      <c r="AW445" t="s">
        <v>173</v>
      </c>
      <c r="AX445" t="s">
        <v>192</v>
      </c>
      <c r="AY445" t="s">
        <v>196</v>
      </c>
      <c r="AZ445" t="s">
        <v>183</v>
      </c>
      <c r="BA445" t="s">
        <v>183</v>
      </c>
      <c r="BB445" t="s">
        <v>183</v>
      </c>
      <c r="BC445" t="s">
        <v>183</v>
      </c>
      <c r="BD445" t="s">
        <v>183</v>
      </c>
    </row>
    <row r="446" hidden="1" spans="1:56">
      <c r="A446">
        <v>445</v>
      </c>
      <c r="B446" t="s">
        <v>259</v>
      </c>
      <c r="C446">
        <v>2023</v>
      </c>
      <c r="D446">
        <v>1995</v>
      </c>
      <c r="E446">
        <v>2015</v>
      </c>
      <c r="F446" t="s">
        <v>256</v>
      </c>
      <c r="G446" t="s">
        <v>263</v>
      </c>
      <c r="H446" t="s">
        <v>274</v>
      </c>
      <c r="I446"/>
      <c r="J446" t="s">
        <v>252</v>
      </c>
      <c r="K446" t="b">
        <v>0</v>
      </c>
      <c r="L446" t="b">
        <v>0</v>
      </c>
      <c r="M446" t="b">
        <v>0</v>
      </c>
      <c r="N446" t="b">
        <v>1</v>
      </c>
      <c r="O446" t="b">
        <v>0</v>
      </c>
      <c r="P446" t="b">
        <v>0</v>
      </c>
      <c r="Q446" t="b">
        <v>0</v>
      </c>
      <c r="R446" t="b">
        <v>0</v>
      </c>
      <c r="S446" t="b">
        <v>0</v>
      </c>
      <c r="T446" t="b">
        <v>0</v>
      </c>
      <c r="U446" t="b">
        <v>0</v>
      </c>
      <c r="V446" t="b">
        <v>0</v>
      </c>
      <c r="W446" t="b">
        <v>0</v>
      </c>
      <c r="X446" t="b">
        <v>0</v>
      </c>
      <c r="Y446" t="b">
        <v>0</v>
      </c>
      <c r="Z446" t="b">
        <v>0</v>
      </c>
      <c r="AA446" t="b">
        <v>0</v>
      </c>
      <c r="AB446" t="b">
        <v>0</v>
      </c>
      <c r="AC446" t="s">
        <v>171</v>
      </c>
      <c r="AD446" t="s">
        <v>175</v>
      </c>
      <c r="AE446" t="s">
        <v>177</v>
      </c>
      <c r="AF446" t="s">
        <v>175</v>
      </c>
      <c r="AG446" t="s">
        <v>177</v>
      </c>
      <c r="AH446" t="s">
        <v>175</v>
      </c>
      <c r="AI446" t="s">
        <v>173</v>
      </c>
      <c r="AJ446" t="s">
        <v>175</v>
      </c>
      <c r="AK446" t="s">
        <v>173</v>
      </c>
      <c r="AL446" t="s">
        <v>173</v>
      </c>
      <c r="AM446" t="s">
        <v>177</v>
      </c>
      <c r="AN446" t="s">
        <v>175</v>
      </c>
      <c r="AO446" t="s">
        <v>175</v>
      </c>
      <c r="AP446" t="s">
        <v>173</v>
      </c>
      <c r="AQ446" t="s">
        <v>173</v>
      </c>
      <c r="AR446" t="s">
        <v>173</v>
      </c>
      <c r="AS446" t="s">
        <v>175</v>
      </c>
      <c r="AT446" t="s">
        <v>175</v>
      </c>
      <c r="AU446" t="s">
        <v>173</v>
      </c>
      <c r="AV446" t="s">
        <v>175</v>
      </c>
      <c r="AW446" t="s">
        <v>173</v>
      </c>
      <c r="AX446" t="s">
        <v>192</v>
      </c>
      <c r="AY446" t="s">
        <v>195</v>
      </c>
      <c r="AZ446" t="s">
        <v>183</v>
      </c>
      <c r="BA446" t="s">
        <v>183</v>
      </c>
      <c r="BB446" t="s">
        <v>183</v>
      </c>
      <c r="BC446" t="s">
        <v>183</v>
      </c>
      <c r="BD446" t="s">
        <v>183</v>
      </c>
    </row>
    <row r="447" hidden="1" spans="1:56">
      <c r="A447">
        <v>446</v>
      </c>
      <c r="B447" t="s">
        <v>280</v>
      </c>
      <c r="C447">
        <v>2022</v>
      </c>
      <c r="D447">
        <v>2008</v>
      </c>
      <c r="E447">
        <v>2018</v>
      </c>
      <c r="F447" t="s">
        <v>266</v>
      </c>
      <c r="G447"/>
      <c r="H447" t="s">
        <v>267</v>
      </c>
      <c r="I447"/>
      <c r="J447" t="s">
        <v>265</v>
      </c>
      <c r="K447" t="b">
        <v>0</v>
      </c>
      <c r="L447" t="b">
        <v>0</v>
      </c>
      <c r="M447" t="b">
        <v>1</v>
      </c>
      <c r="N447" t="b">
        <v>0</v>
      </c>
      <c r="O447" t="b">
        <v>1</v>
      </c>
      <c r="P447" t="b">
        <v>0</v>
      </c>
      <c r="Q447" t="b">
        <v>1</v>
      </c>
      <c r="R447" t="b">
        <v>0</v>
      </c>
      <c r="S447" t="b">
        <v>0</v>
      </c>
      <c r="T447" t="b">
        <v>0</v>
      </c>
      <c r="U447" t="b">
        <v>0</v>
      </c>
      <c r="V447" t="b">
        <v>0</v>
      </c>
      <c r="W447" t="b">
        <v>0</v>
      </c>
      <c r="X447" t="b">
        <v>0</v>
      </c>
      <c r="Y447" t="b">
        <v>1</v>
      </c>
      <c r="Z447" t="b">
        <v>1</v>
      </c>
      <c r="AA447" t="b">
        <v>0</v>
      </c>
      <c r="AB447" t="b">
        <v>0</v>
      </c>
      <c r="AC447" t="s">
        <v>175</v>
      </c>
      <c r="AD447" t="s">
        <v>175</v>
      </c>
      <c r="AE447" t="s">
        <v>179</v>
      </c>
      <c r="AF447" t="s">
        <v>173</v>
      </c>
      <c r="AG447" t="s">
        <v>171</v>
      </c>
      <c r="AH447" t="s">
        <v>173</v>
      </c>
      <c r="AI447" t="s">
        <v>179</v>
      </c>
      <c r="AJ447" t="s">
        <v>179</v>
      </c>
      <c r="AK447" t="s">
        <v>171</v>
      </c>
      <c r="AL447" t="s">
        <v>171</v>
      </c>
      <c r="AM447" t="s">
        <v>171</v>
      </c>
      <c r="AN447" t="s">
        <v>175</v>
      </c>
      <c r="AO447" t="s">
        <v>175</v>
      </c>
      <c r="AP447" t="s">
        <v>173</v>
      </c>
      <c r="AQ447" t="s">
        <v>175</v>
      </c>
      <c r="AR447" t="s">
        <v>171</v>
      </c>
      <c r="AS447" t="s">
        <v>179</v>
      </c>
      <c r="AT447" t="s">
        <v>179</v>
      </c>
      <c r="AU447" t="s">
        <v>179</v>
      </c>
      <c r="AV447" t="s">
        <v>175</v>
      </c>
      <c r="AW447" t="s">
        <v>175</v>
      </c>
      <c r="AX447" t="s">
        <v>193</v>
      </c>
      <c r="AY447" t="s">
        <v>195</v>
      </c>
      <c r="AZ447" t="s">
        <v>183</v>
      </c>
      <c r="BA447" t="s">
        <v>183</v>
      </c>
      <c r="BB447" t="s">
        <v>183</v>
      </c>
      <c r="BC447" t="s">
        <v>208</v>
      </c>
      <c r="BD447" t="s">
        <v>183</v>
      </c>
    </row>
    <row r="448" hidden="1" spans="1:56">
      <c r="A448">
        <v>447</v>
      </c>
      <c r="B448" t="s">
        <v>259</v>
      </c>
      <c r="C448">
        <v>2023</v>
      </c>
      <c r="D448">
        <v>1996</v>
      </c>
      <c r="E448">
        <v>2009</v>
      </c>
      <c r="F448" t="s">
        <v>256</v>
      </c>
      <c r="G448" t="s">
        <v>257</v>
      </c>
      <c r="H448" t="s">
        <v>274</v>
      </c>
      <c r="I448"/>
      <c r="J448" t="s">
        <v>252</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1</v>
      </c>
      <c r="AC448" t="s">
        <v>171</v>
      </c>
      <c r="AD448" t="s">
        <v>171</v>
      </c>
      <c r="AE448" t="s">
        <v>171</v>
      </c>
      <c r="AF448" t="s">
        <v>171</v>
      </c>
      <c r="AG448" t="s">
        <v>171</v>
      </c>
      <c r="AH448" t="s">
        <v>173</v>
      </c>
      <c r="AI448" t="s">
        <v>171</v>
      </c>
      <c r="AJ448" t="s">
        <v>171</v>
      </c>
      <c r="AK448" t="s">
        <v>171</v>
      </c>
      <c r="AL448" t="s">
        <v>171</v>
      </c>
      <c r="AM448" t="s">
        <v>171</v>
      </c>
      <c r="AN448" t="s">
        <v>171</v>
      </c>
      <c r="AO448" t="s">
        <v>173</v>
      </c>
      <c r="AP448" t="s">
        <v>171</v>
      </c>
      <c r="AQ448" t="s">
        <v>171</v>
      </c>
      <c r="AR448" t="s">
        <v>171</v>
      </c>
      <c r="AS448" t="s">
        <v>171</v>
      </c>
      <c r="AT448" t="s">
        <v>171</v>
      </c>
      <c r="AU448" t="s">
        <v>171</v>
      </c>
      <c r="AV448" t="s">
        <v>173</v>
      </c>
      <c r="AW448" t="s">
        <v>171</v>
      </c>
      <c r="AX448" t="s">
        <v>192</v>
      </c>
      <c r="AY448" t="s">
        <v>195</v>
      </c>
      <c r="AZ448" t="s">
        <v>183</v>
      </c>
      <c r="BA448" t="s">
        <v>183</v>
      </c>
      <c r="BB448" t="s">
        <v>183</v>
      </c>
      <c r="BC448" t="s">
        <v>183</v>
      </c>
      <c r="BD448" t="s">
        <v>183</v>
      </c>
    </row>
    <row r="449" spans="1:65">
      <c r="A449">
        <v>448</v>
      </c>
      <c r="B449" t="s">
        <v>286</v>
      </c>
      <c r="C449" s="10">
        <v>2022</v>
      </c>
      <c r="D449" s="10">
        <v>2019</v>
      </c>
      <c r="E449" s="10">
        <v>2019</v>
      </c>
      <c r="F449" s="10" t="s">
        <v>241</v>
      </c>
      <c r="G449" s="10" t="s">
        <v>301</v>
      </c>
      <c r="H449" s="10" t="s">
        <v>243</v>
      </c>
      <c r="I449" s="10" t="s">
        <v>278</v>
      </c>
      <c r="J449" s="10" t="s">
        <v>285</v>
      </c>
      <c r="K449" t="b">
        <v>0</v>
      </c>
      <c r="L449" t="b">
        <v>1</v>
      </c>
      <c r="M449" t="b">
        <v>0</v>
      </c>
      <c r="N449" t="b">
        <v>0</v>
      </c>
      <c r="O449" t="b">
        <v>1</v>
      </c>
      <c r="P449" t="b">
        <v>0</v>
      </c>
      <c r="Q449" t="b">
        <v>0</v>
      </c>
      <c r="R449" t="b">
        <v>0</v>
      </c>
      <c r="S449" t="b">
        <v>0</v>
      </c>
      <c r="T449" t="b">
        <v>0</v>
      </c>
      <c r="U449" t="b">
        <v>0</v>
      </c>
      <c r="V449" t="b">
        <v>0</v>
      </c>
      <c r="W449" t="b">
        <v>0</v>
      </c>
      <c r="X449" t="b">
        <v>0</v>
      </c>
      <c r="Y449" t="b">
        <v>0</v>
      </c>
      <c r="Z449" t="b">
        <v>0</v>
      </c>
      <c r="AA449" t="b">
        <v>0</v>
      </c>
      <c r="AB449" t="b">
        <v>0</v>
      </c>
      <c r="AC449" s="10" t="s">
        <v>177</v>
      </c>
      <c r="AD449" t="s">
        <v>175</v>
      </c>
      <c r="AE449" t="s">
        <v>177</v>
      </c>
      <c r="AF449" t="s">
        <v>173</v>
      </c>
      <c r="AG449" t="s">
        <v>173</v>
      </c>
      <c r="AH449" t="s">
        <v>173</v>
      </c>
      <c r="AI449" t="s">
        <v>173</v>
      </c>
      <c r="AJ449" t="s">
        <v>173</v>
      </c>
      <c r="AK449" t="s">
        <v>171</v>
      </c>
      <c r="AL449" t="s">
        <v>173</v>
      </c>
      <c r="AM449" t="s">
        <v>171</v>
      </c>
      <c r="AN449" t="s">
        <v>171</v>
      </c>
      <c r="AO449" t="s">
        <v>173</v>
      </c>
      <c r="AP449" t="s">
        <v>171</v>
      </c>
      <c r="AQ449" t="s">
        <v>171</v>
      </c>
      <c r="AR449" t="s">
        <v>173</v>
      </c>
      <c r="AS449" t="s">
        <v>173</v>
      </c>
      <c r="AT449" t="s">
        <v>175</v>
      </c>
      <c r="AU449" t="s">
        <v>175</v>
      </c>
      <c r="AV449" t="s">
        <v>175</v>
      </c>
      <c r="AW449" t="s">
        <v>173</v>
      </c>
      <c r="AX449" t="s">
        <v>193</v>
      </c>
      <c r="AY449" t="s">
        <v>203</v>
      </c>
      <c r="AZ449" t="s">
        <v>208</v>
      </c>
      <c r="BA449" t="s">
        <v>207</v>
      </c>
      <c r="BB449" t="s">
        <v>207</v>
      </c>
      <c r="BC449" t="s">
        <v>207</v>
      </c>
      <c r="BD449" t="s">
        <v>207</v>
      </c>
      <c r="BE449" t="str">
        <f>IF(AY449="","Unknown",AY449)</f>
        <v>31-35</v>
      </c>
      <c r="BF449" s="11" t="str">
        <f>IF(AZ449="","unknown",AZ449)</f>
        <v>Yes</v>
      </c>
      <c r="BG449" s="11" t="str">
        <f>IF(BA449="","UNKNOWN",BA449)</f>
        <v>NO</v>
      </c>
      <c r="BH449" s="11" t="str">
        <f>IF(BB449="","unknown",BB449)</f>
        <v>NO</v>
      </c>
      <c r="BI449" s="11" t="str">
        <f>IF(BC449="","Unknon",BC449)</f>
        <v>NO</v>
      </c>
      <c r="BJ449" s="11" t="str">
        <f>IF(BD449="","Unknown",BD449)</f>
        <v>NO</v>
      </c>
      <c r="BK449" s="11">
        <f>VALUE(C449)-VALUE(D449)</f>
        <v>3</v>
      </c>
      <c r="BM449" s="11"/>
    </row>
    <row r="450" hidden="1" spans="1:56">
      <c r="A450">
        <v>449</v>
      </c>
      <c r="B450" t="s">
        <v>280</v>
      </c>
      <c r="C450">
        <v>2023</v>
      </c>
      <c r="D450">
        <v>2012</v>
      </c>
      <c r="E450">
        <v>2012</v>
      </c>
      <c r="F450" t="s">
        <v>275</v>
      </c>
      <c r="G450"/>
      <c r="H450" t="s">
        <v>274</v>
      </c>
      <c r="I450"/>
      <c r="J450" t="s">
        <v>265</v>
      </c>
      <c r="K450" t="b">
        <v>0</v>
      </c>
      <c r="L450" t="b">
        <v>0</v>
      </c>
      <c r="M450" t="b">
        <v>0</v>
      </c>
      <c r="N450" t="b">
        <v>0</v>
      </c>
      <c r="O450" t="b">
        <v>0</v>
      </c>
      <c r="P450" t="b">
        <v>0</v>
      </c>
      <c r="Q450" t="b">
        <v>0</v>
      </c>
      <c r="R450" t="b">
        <v>0</v>
      </c>
      <c r="S450" t="b">
        <v>0</v>
      </c>
      <c r="T450" t="b">
        <v>0</v>
      </c>
      <c r="U450" t="b">
        <v>0</v>
      </c>
      <c r="V450" t="b">
        <v>0</v>
      </c>
      <c r="W450" t="b">
        <v>0</v>
      </c>
      <c r="X450" t="b">
        <v>1</v>
      </c>
      <c r="Y450" t="b">
        <v>0</v>
      </c>
      <c r="Z450" t="b">
        <v>0</v>
      </c>
      <c r="AA450" t="b">
        <v>0</v>
      </c>
      <c r="AB450" t="b">
        <v>0</v>
      </c>
      <c r="AC450" t="s">
        <v>175</v>
      </c>
      <c r="AD450" t="s">
        <v>175</v>
      </c>
      <c r="AE450" t="s">
        <v>173</v>
      </c>
      <c r="AF450" t="s">
        <v>173</v>
      </c>
      <c r="AG450" t="s">
        <v>173</v>
      </c>
      <c r="AH450" t="s">
        <v>173</v>
      </c>
      <c r="AI450" t="s">
        <v>173</v>
      </c>
      <c r="AJ450" t="s">
        <v>173</v>
      </c>
      <c r="AK450" t="s">
        <v>173</v>
      </c>
      <c r="AL450" t="s">
        <v>173</v>
      </c>
      <c r="AM450" t="s">
        <v>173</v>
      </c>
      <c r="AN450" t="s">
        <v>175</v>
      </c>
      <c r="AO450" t="s">
        <v>173</v>
      </c>
      <c r="AP450" t="s">
        <v>175</v>
      </c>
      <c r="AQ450" t="s">
        <v>175</v>
      </c>
      <c r="AR450" t="s">
        <v>173</v>
      </c>
      <c r="AS450" t="s">
        <v>173</v>
      </c>
      <c r="AT450" t="s">
        <v>173</v>
      </c>
      <c r="AU450" t="s">
        <v>175</v>
      </c>
      <c r="AV450" t="s">
        <v>175</v>
      </c>
      <c r="AW450" t="s">
        <v>173</v>
      </c>
      <c r="AX450" t="s">
        <v>192</v>
      </c>
      <c r="AY450" t="s">
        <v>195</v>
      </c>
      <c r="AZ450" t="s">
        <v>183</v>
      </c>
      <c r="BA450" t="s">
        <v>183</v>
      </c>
      <c r="BB450" t="s">
        <v>183</v>
      </c>
      <c r="BC450" t="s">
        <v>183</v>
      </c>
      <c r="BD450" t="s">
        <v>183</v>
      </c>
    </row>
    <row r="451" hidden="1" spans="1:56">
      <c r="A451">
        <v>450</v>
      </c>
      <c r="B451" t="s">
        <v>269</v>
      </c>
      <c r="C451">
        <v>2022</v>
      </c>
      <c r="D451" t="s">
        <v>247</v>
      </c>
      <c r="E451" t="s">
        <v>247</v>
      </c>
      <c r="F451" t="s">
        <v>256</v>
      </c>
      <c r="G451" t="s">
        <v>257</v>
      </c>
      <c r="H451" t="s">
        <v>261</v>
      </c>
      <c r="I451"/>
      <c r="J451" t="s">
        <v>252</v>
      </c>
      <c r="K451" t="b">
        <v>0</v>
      </c>
      <c r="L451" t="b">
        <v>0</v>
      </c>
      <c r="M451" t="b">
        <v>0</v>
      </c>
      <c r="N451" t="b">
        <v>0</v>
      </c>
      <c r="O451" t="b">
        <v>1</v>
      </c>
      <c r="P451" t="b">
        <v>0</v>
      </c>
      <c r="Q451" t="b">
        <v>0</v>
      </c>
      <c r="R451" t="b">
        <v>0</v>
      </c>
      <c r="S451" t="b">
        <v>0</v>
      </c>
      <c r="T451" t="b">
        <v>1</v>
      </c>
      <c r="U451" t="b">
        <v>0</v>
      </c>
      <c r="V451" t="b">
        <v>0</v>
      </c>
      <c r="W451" t="b">
        <v>0</v>
      </c>
      <c r="X451" t="b">
        <v>0</v>
      </c>
      <c r="Y451" t="b">
        <v>0</v>
      </c>
      <c r="Z451" t="b">
        <v>0</v>
      </c>
      <c r="AA451" t="b">
        <v>0</v>
      </c>
      <c r="AB451" t="b">
        <v>0</v>
      </c>
      <c r="AC451" t="s">
        <v>173</v>
      </c>
      <c r="AD451" t="s">
        <v>171</v>
      </c>
      <c r="AE451" t="s">
        <v>177</v>
      </c>
      <c r="AF451" t="s">
        <v>173</v>
      </c>
      <c r="AG451" t="s">
        <v>175</v>
      </c>
      <c r="AH451" t="s">
        <v>171</v>
      </c>
      <c r="AI451" t="s">
        <v>171</v>
      </c>
      <c r="AJ451" t="s">
        <v>171</v>
      </c>
      <c r="AK451" t="s">
        <v>171</v>
      </c>
      <c r="AL451" t="s">
        <v>173</v>
      </c>
      <c r="AM451" t="s">
        <v>173</v>
      </c>
      <c r="AN451" t="s">
        <v>171</v>
      </c>
      <c r="AO451" t="s">
        <v>171</v>
      </c>
      <c r="AP451" t="s">
        <v>171</v>
      </c>
      <c r="AQ451" t="s">
        <v>171</v>
      </c>
      <c r="AR451" t="s">
        <v>171</v>
      </c>
      <c r="AS451" t="s">
        <v>171</v>
      </c>
      <c r="AT451" t="s">
        <v>171</v>
      </c>
      <c r="AU451" t="s">
        <v>171</v>
      </c>
      <c r="AV451" t="s">
        <v>177</v>
      </c>
      <c r="AW451" t="s">
        <v>175</v>
      </c>
      <c r="AX451" t="s">
        <v>193</v>
      </c>
      <c r="AY451" t="s">
        <v>201</v>
      </c>
      <c r="AZ451" t="s">
        <v>183</v>
      </c>
      <c r="BA451" t="s">
        <v>183</v>
      </c>
      <c r="BB451" t="s">
        <v>183</v>
      </c>
      <c r="BC451" t="s">
        <v>183</v>
      </c>
      <c r="BD451" t="s">
        <v>183</v>
      </c>
    </row>
    <row r="452" hidden="1" spans="1:56">
      <c r="A452">
        <v>451</v>
      </c>
      <c r="B452" t="s">
        <v>259</v>
      </c>
      <c r="C452">
        <v>2023</v>
      </c>
      <c r="D452">
        <v>1979</v>
      </c>
      <c r="E452">
        <v>2001</v>
      </c>
      <c r="F452" t="s">
        <v>256</v>
      </c>
      <c r="G452" t="s">
        <v>257</v>
      </c>
      <c r="H452" t="s">
        <v>267</v>
      </c>
      <c r="I452"/>
      <c r="J452" t="s">
        <v>252</v>
      </c>
      <c r="K452" t="b">
        <v>0</v>
      </c>
      <c r="L452" t="b">
        <v>0</v>
      </c>
      <c r="M452" t="b">
        <v>0</v>
      </c>
      <c r="N452" t="b">
        <v>0</v>
      </c>
      <c r="O452" t="b">
        <v>0</v>
      </c>
      <c r="P452" t="b">
        <v>0</v>
      </c>
      <c r="Q452" t="b">
        <v>0</v>
      </c>
      <c r="R452" t="b">
        <v>0</v>
      </c>
      <c r="S452" t="b">
        <v>0</v>
      </c>
      <c r="T452" t="b">
        <v>0</v>
      </c>
      <c r="U452" t="b">
        <v>0</v>
      </c>
      <c r="V452" t="b">
        <v>0</v>
      </c>
      <c r="W452" t="b">
        <v>0</v>
      </c>
      <c r="X452" t="b">
        <v>0</v>
      </c>
      <c r="Y452" t="b">
        <v>0</v>
      </c>
      <c r="Z452" t="b">
        <v>1</v>
      </c>
      <c r="AA452" t="b">
        <v>1</v>
      </c>
      <c r="AB452" t="b">
        <v>0</v>
      </c>
      <c r="AC452" t="s">
        <v>173</v>
      </c>
      <c r="AD452" t="s">
        <v>173</v>
      </c>
      <c r="AE452" t="s">
        <v>175</v>
      </c>
      <c r="AF452" t="s">
        <v>173</v>
      </c>
      <c r="AG452" t="s">
        <v>177</v>
      </c>
      <c r="AH452" t="s">
        <v>177</v>
      </c>
      <c r="AI452" t="s">
        <v>175</v>
      </c>
      <c r="AJ452" t="s">
        <v>173</v>
      </c>
      <c r="AK452" t="s">
        <v>173</v>
      </c>
      <c r="AL452" t="s">
        <v>173</v>
      </c>
      <c r="AM452" t="s">
        <v>173</v>
      </c>
      <c r="AN452" t="s">
        <v>173</v>
      </c>
      <c r="AO452" t="s">
        <v>173</v>
      </c>
      <c r="AP452" t="s">
        <v>173</v>
      </c>
      <c r="AQ452" t="s">
        <v>173</v>
      </c>
      <c r="AR452" t="s">
        <v>173</v>
      </c>
      <c r="AS452" t="s">
        <v>173</v>
      </c>
      <c r="AT452" t="s">
        <v>173</v>
      </c>
      <c r="AU452" t="s">
        <v>173</v>
      </c>
      <c r="AV452" t="s">
        <v>177</v>
      </c>
      <c r="AW452" t="s">
        <v>173</v>
      </c>
      <c r="AX452" t="s">
        <v>192</v>
      </c>
      <c r="AY452" t="s">
        <v>195</v>
      </c>
      <c r="AZ452" t="s">
        <v>183</v>
      </c>
      <c r="BA452" t="s">
        <v>183</v>
      </c>
      <c r="BB452" t="s">
        <v>183</v>
      </c>
      <c r="BC452" t="s">
        <v>183</v>
      </c>
      <c r="BD452" t="s">
        <v>183</v>
      </c>
    </row>
    <row r="453" hidden="1" spans="1:56">
      <c r="A453">
        <v>452</v>
      </c>
      <c r="B453" t="s">
        <v>255</v>
      </c>
      <c r="C453">
        <v>2023</v>
      </c>
      <c r="D453">
        <v>2018</v>
      </c>
      <c r="E453">
        <v>2021</v>
      </c>
      <c r="F453" t="s">
        <v>266</v>
      </c>
      <c r="G453"/>
      <c r="H453" t="s">
        <v>274</v>
      </c>
      <c r="I453"/>
      <c r="J453" t="s">
        <v>265</v>
      </c>
      <c r="K453" t="b">
        <v>0</v>
      </c>
      <c r="L453" t="b">
        <v>0</v>
      </c>
      <c r="M453" t="b">
        <v>0</v>
      </c>
      <c r="N453" t="b">
        <v>0</v>
      </c>
      <c r="O453" t="b">
        <v>0</v>
      </c>
      <c r="P453" t="b">
        <v>0</v>
      </c>
      <c r="Q453" t="b">
        <v>0</v>
      </c>
      <c r="R453" t="b">
        <v>0</v>
      </c>
      <c r="S453" t="b">
        <v>0</v>
      </c>
      <c r="T453" t="b">
        <v>0</v>
      </c>
      <c r="U453" t="b">
        <v>0</v>
      </c>
      <c r="V453" t="b">
        <v>1</v>
      </c>
      <c r="W453" t="b">
        <v>0</v>
      </c>
      <c r="X453" t="b">
        <v>0</v>
      </c>
      <c r="Y453" t="b">
        <v>0</v>
      </c>
      <c r="Z453" t="b">
        <v>0</v>
      </c>
      <c r="AA453" t="b">
        <v>0</v>
      </c>
      <c r="AB453" t="b">
        <v>0</v>
      </c>
      <c r="AC453" t="s">
        <v>171</v>
      </c>
      <c r="AD453" t="s">
        <v>171</v>
      </c>
      <c r="AE453" t="s">
        <v>171</v>
      </c>
      <c r="AF453" t="s">
        <v>171</v>
      </c>
      <c r="AG453" t="s">
        <v>171</v>
      </c>
      <c r="AH453" t="s">
        <v>171</v>
      </c>
      <c r="AI453" t="s">
        <v>171</v>
      </c>
      <c r="AJ453" t="s">
        <v>171</v>
      </c>
      <c r="AK453" t="s">
        <v>171</v>
      </c>
      <c r="AL453" t="s">
        <v>171</v>
      </c>
      <c r="AM453" t="s">
        <v>171</v>
      </c>
      <c r="AN453" t="s">
        <v>171</v>
      </c>
      <c r="AO453" t="s">
        <v>171</v>
      </c>
      <c r="AP453" t="s">
        <v>171</v>
      </c>
      <c r="AQ453" t="s">
        <v>171</v>
      </c>
      <c r="AR453" t="s">
        <v>171</v>
      </c>
      <c r="AS453" t="s">
        <v>171</v>
      </c>
      <c r="AT453" t="s">
        <v>171</v>
      </c>
      <c r="AU453" t="s">
        <v>171</v>
      </c>
      <c r="AV453" t="s">
        <v>171</v>
      </c>
      <c r="AW453" t="s">
        <v>171</v>
      </c>
      <c r="AX453" t="s">
        <v>192</v>
      </c>
      <c r="AY453" t="s">
        <v>202</v>
      </c>
      <c r="AZ453" t="s">
        <v>183</v>
      </c>
      <c r="BA453" t="s">
        <v>183</v>
      </c>
      <c r="BB453" t="s">
        <v>183</v>
      </c>
      <c r="BC453" t="s">
        <v>183</v>
      </c>
      <c r="BD453" t="s">
        <v>183</v>
      </c>
    </row>
    <row r="454" hidden="1" spans="1:56">
      <c r="A454">
        <v>453</v>
      </c>
      <c r="B454" t="s">
        <v>272</v>
      </c>
      <c r="C454">
        <v>2023</v>
      </c>
      <c r="D454">
        <v>2000</v>
      </c>
      <c r="E454">
        <v>2016</v>
      </c>
      <c r="F454" t="s">
        <v>260</v>
      </c>
      <c r="G454"/>
      <c r="H454" t="s">
        <v>247</v>
      </c>
      <c r="I454"/>
      <c r="J454" t="s">
        <v>252</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1</v>
      </c>
      <c r="AC454" t="s">
        <v>175</v>
      </c>
      <c r="AD454" t="s">
        <v>173</v>
      </c>
      <c r="AE454" t="s">
        <v>173</v>
      </c>
      <c r="AF454" t="s">
        <v>173</v>
      </c>
      <c r="AG454" t="s">
        <v>173</v>
      </c>
      <c r="AH454" t="s">
        <v>177</v>
      </c>
      <c r="AI454" t="s">
        <v>173</v>
      </c>
      <c r="AJ454" t="s">
        <v>171</v>
      </c>
      <c r="AK454" t="s">
        <v>173</v>
      </c>
      <c r="AL454" t="s">
        <v>173</v>
      </c>
      <c r="AM454" t="s">
        <v>173</v>
      </c>
      <c r="AN454" t="s">
        <v>173</v>
      </c>
      <c r="AO454" t="s">
        <v>173</v>
      </c>
      <c r="AP454" t="s">
        <v>173</v>
      </c>
      <c r="AQ454" t="s">
        <v>175</v>
      </c>
      <c r="AR454" t="s">
        <v>173</v>
      </c>
      <c r="AS454" t="s">
        <v>173</v>
      </c>
      <c r="AT454" t="s">
        <v>173</v>
      </c>
      <c r="AU454" t="s">
        <v>173</v>
      </c>
      <c r="AV454" t="s">
        <v>177</v>
      </c>
      <c r="AW454" t="s">
        <v>175</v>
      </c>
      <c r="AX454" t="s">
        <v>192</v>
      </c>
      <c r="AY454" t="s">
        <v>199</v>
      </c>
      <c r="AZ454" t="s">
        <v>183</v>
      </c>
      <c r="BA454" t="s">
        <v>183</v>
      </c>
      <c r="BB454" t="s">
        <v>183</v>
      </c>
      <c r="BC454" t="s">
        <v>183</v>
      </c>
      <c r="BD454" t="s">
        <v>183</v>
      </c>
    </row>
    <row r="455" hidden="1" spans="1:56">
      <c r="A455">
        <v>454</v>
      </c>
      <c r="B455" t="s">
        <v>259</v>
      </c>
      <c r="C455">
        <v>2023</v>
      </c>
      <c r="D455" t="s">
        <v>247</v>
      </c>
      <c r="E455" t="s">
        <v>247</v>
      </c>
      <c r="F455" t="s">
        <v>275</v>
      </c>
      <c r="G455"/>
      <c r="H455" t="s">
        <v>264</v>
      </c>
      <c r="I455"/>
      <c r="J455" t="s">
        <v>252</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1</v>
      </c>
      <c r="AC455" t="s">
        <v>173</v>
      </c>
      <c r="AD455" t="s">
        <v>183</v>
      </c>
      <c r="AE455" t="s">
        <v>173</v>
      </c>
      <c r="AF455" t="s">
        <v>173</v>
      </c>
      <c r="AG455" t="s">
        <v>173</v>
      </c>
      <c r="AH455" t="s">
        <v>173</v>
      </c>
      <c r="AI455" t="s">
        <v>173</v>
      </c>
      <c r="AJ455" t="s">
        <v>173</v>
      </c>
      <c r="AK455" t="s">
        <v>173</v>
      </c>
      <c r="AL455" t="s">
        <v>173</v>
      </c>
      <c r="AM455" t="s">
        <v>173</v>
      </c>
      <c r="AN455" t="s">
        <v>173</v>
      </c>
      <c r="AO455" t="s">
        <v>183</v>
      </c>
      <c r="AP455" t="s">
        <v>173</v>
      </c>
      <c r="AQ455" t="s">
        <v>173</v>
      </c>
      <c r="AR455" t="s">
        <v>173</v>
      </c>
      <c r="AS455" t="s">
        <v>173</v>
      </c>
      <c r="AT455" t="s">
        <v>173</v>
      </c>
      <c r="AU455" t="s">
        <v>173</v>
      </c>
      <c r="AV455" t="s">
        <v>175</v>
      </c>
      <c r="AW455" t="s">
        <v>173</v>
      </c>
      <c r="AX455" t="s">
        <v>193</v>
      </c>
      <c r="AY455" t="s">
        <v>195</v>
      </c>
      <c r="AZ455" t="s">
        <v>183</v>
      </c>
      <c r="BA455" t="s">
        <v>183</v>
      </c>
      <c r="BB455" t="s">
        <v>183</v>
      </c>
      <c r="BC455" t="s">
        <v>183</v>
      </c>
      <c r="BD455" t="s">
        <v>183</v>
      </c>
    </row>
    <row r="456" spans="1:65">
      <c r="A456">
        <v>455</v>
      </c>
      <c r="B456" t="s">
        <v>315</v>
      </c>
      <c r="C456" s="10">
        <v>2023</v>
      </c>
      <c r="D456" s="10">
        <v>2022</v>
      </c>
      <c r="E456" s="10">
        <v>2022</v>
      </c>
      <c r="F456" s="10" t="s">
        <v>241</v>
      </c>
      <c r="G456" s="10" t="s">
        <v>242</v>
      </c>
      <c r="H456" s="10" t="s">
        <v>243</v>
      </c>
      <c r="I456" s="10" t="s">
        <v>299</v>
      </c>
      <c r="J456" s="10" t="s">
        <v>245</v>
      </c>
      <c r="K456" t="b">
        <v>0</v>
      </c>
      <c r="L456" t="b">
        <v>0</v>
      </c>
      <c r="M456" t="b">
        <v>0</v>
      </c>
      <c r="N456" t="b">
        <v>0</v>
      </c>
      <c r="O456" t="b">
        <v>0</v>
      </c>
      <c r="P456" t="b">
        <v>0</v>
      </c>
      <c r="Q456" t="b">
        <v>0</v>
      </c>
      <c r="R456" t="b">
        <v>0</v>
      </c>
      <c r="S456" t="b">
        <v>0</v>
      </c>
      <c r="T456" t="b">
        <v>0</v>
      </c>
      <c r="U456" t="b">
        <v>0</v>
      </c>
      <c r="V456" t="b">
        <v>1</v>
      </c>
      <c r="W456" t="b">
        <v>0</v>
      </c>
      <c r="X456" t="b">
        <v>0</v>
      </c>
      <c r="Y456" t="b">
        <v>0</v>
      </c>
      <c r="Z456" t="b">
        <v>1</v>
      </c>
      <c r="AA456" t="b">
        <v>0</v>
      </c>
      <c r="AB456" t="b">
        <v>0</v>
      </c>
      <c r="AC456" s="10" t="s">
        <v>173</v>
      </c>
      <c r="AE456" t="s">
        <v>173</v>
      </c>
      <c r="AG456" t="s">
        <v>173</v>
      </c>
      <c r="AH456" t="s">
        <v>175</v>
      </c>
      <c r="AI456" t="s">
        <v>175</v>
      </c>
      <c r="AJ456" t="s">
        <v>173</v>
      </c>
      <c r="AK456" t="s">
        <v>173</v>
      </c>
      <c r="AL456" t="s">
        <v>171</v>
      </c>
      <c r="AM456" t="s">
        <v>171</v>
      </c>
      <c r="AN456" t="s">
        <v>173</v>
      </c>
      <c r="AO456" t="s">
        <v>175</v>
      </c>
      <c r="AR456" t="s">
        <v>173</v>
      </c>
      <c r="AS456" t="s">
        <v>173</v>
      </c>
      <c r="AT456" t="s">
        <v>173</v>
      </c>
      <c r="AU456" t="s">
        <v>173</v>
      </c>
      <c r="AV456" t="s">
        <v>173</v>
      </c>
      <c r="AW456" t="s">
        <v>173</v>
      </c>
      <c r="AX456" t="s">
        <v>192</v>
      </c>
      <c r="AY456" t="s">
        <v>196</v>
      </c>
      <c r="AZ456" t="s">
        <v>207</v>
      </c>
      <c r="BA456" t="s">
        <v>207</v>
      </c>
      <c r="BB456" t="s">
        <v>207</v>
      </c>
      <c r="BC456" t="s">
        <v>207</v>
      </c>
      <c r="BD456" t="s">
        <v>207</v>
      </c>
      <c r="BE456" t="str">
        <f>IF(AY456="","Unknown",AY456)</f>
        <v>56-60</v>
      </c>
      <c r="BF456" s="11" t="str">
        <f>IF(AZ456="","unknown",AZ456)</f>
        <v>NO</v>
      </c>
      <c r="BG456" s="11" t="str">
        <f>IF(BA456="","UNKNOWN",BA456)</f>
        <v>NO</v>
      </c>
      <c r="BH456" s="11" t="str">
        <f>IF(BB456="","unknown",BB456)</f>
        <v>NO</v>
      </c>
      <c r="BI456" s="11" t="str">
        <f>IF(BC456="","Unknon",BC456)</f>
        <v>NO</v>
      </c>
      <c r="BJ456" s="11" t="str">
        <f>IF(BD456="","Unknown",BD456)</f>
        <v>NO</v>
      </c>
      <c r="BK456" s="11">
        <f>VALUE(C456)-VALUE(D456)</f>
        <v>1</v>
      </c>
      <c r="BM456" s="11"/>
    </row>
    <row r="457" hidden="1" spans="1:56">
      <c r="A457">
        <v>456</v>
      </c>
      <c r="B457" t="s">
        <v>282</v>
      </c>
      <c r="C457">
        <v>2023</v>
      </c>
      <c r="D457">
        <v>2018</v>
      </c>
      <c r="E457">
        <v>2018</v>
      </c>
      <c r="F457" t="s">
        <v>256</v>
      </c>
      <c r="G457" t="s">
        <v>263</v>
      </c>
      <c r="H457" t="s">
        <v>258</v>
      </c>
      <c r="I457"/>
      <c r="J457" t="s">
        <v>252</v>
      </c>
      <c r="K457" t="b">
        <v>0</v>
      </c>
      <c r="L457" t="b">
        <v>0</v>
      </c>
      <c r="M457" t="b">
        <v>0</v>
      </c>
      <c r="N457" t="b">
        <v>1</v>
      </c>
      <c r="O457" t="b">
        <v>0</v>
      </c>
      <c r="P457" t="b">
        <v>0</v>
      </c>
      <c r="Q457" t="b">
        <v>0</v>
      </c>
      <c r="R457" t="b">
        <v>0</v>
      </c>
      <c r="S457" t="b">
        <v>0</v>
      </c>
      <c r="T457" t="b">
        <v>0</v>
      </c>
      <c r="U457" t="b">
        <v>0</v>
      </c>
      <c r="V457" t="b">
        <v>0</v>
      </c>
      <c r="W457" t="b">
        <v>0</v>
      </c>
      <c r="X457" t="b">
        <v>1</v>
      </c>
      <c r="Y457" t="b">
        <v>0</v>
      </c>
      <c r="Z457" t="b">
        <v>1</v>
      </c>
      <c r="AA457" t="b">
        <v>1</v>
      </c>
      <c r="AB457" t="b">
        <v>0</v>
      </c>
      <c r="AC457" t="s">
        <v>173</v>
      </c>
      <c r="AD457" t="s">
        <v>175</v>
      </c>
      <c r="AE457" t="s">
        <v>175</v>
      </c>
      <c r="AF457" t="s">
        <v>173</v>
      </c>
      <c r="AG457" t="s">
        <v>175</v>
      </c>
      <c r="AH457" t="s">
        <v>179</v>
      </c>
      <c r="AI457" t="s">
        <v>179</v>
      </c>
      <c r="AJ457" t="s">
        <v>173</v>
      </c>
      <c r="AK457" t="s">
        <v>173</v>
      </c>
      <c r="AL457" t="s">
        <v>173</v>
      </c>
      <c r="AM457" t="s">
        <v>171</v>
      </c>
      <c r="AN457" t="s">
        <v>183</v>
      </c>
      <c r="AO457" t="s">
        <v>173</v>
      </c>
      <c r="AP457" t="s">
        <v>175</v>
      </c>
      <c r="AQ457" t="s">
        <v>177</v>
      </c>
      <c r="AR457" t="s">
        <v>179</v>
      </c>
      <c r="AS457" t="s">
        <v>175</v>
      </c>
      <c r="AT457" t="s">
        <v>175</v>
      </c>
      <c r="AU457" t="s">
        <v>175</v>
      </c>
      <c r="AV457" t="s">
        <v>173</v>
      </c>
      <c r="AW457" t="s">
        <v>173</v>
      </c>
      <c r="AX457" t="s">
        <v>192</v>
      </c>
      <c r="AY457" t="s">
        <v>200</v>
      </c>
      <c r="AZ457" t="s">
        <v>183</v>
      </c>
      <c r="BA457" t="s">
        <v>183</v>
      </c>
      <c r="BB457" t="s">
        <v>183</v>
      </c>
      <c r="BC457" t="s">
        <v>183</v>
      </c>
      <c r="BD457" t="s">
        <v>183</v>
      </c>
    </row>
    <row r="458" hidden="1" spans="1:56">
      <c r="A458">
        <v>457</v>
      </c>
      <c r="B458" t="s">
        <v>255</v>
      </c>
      <c r="C458">
        <v>2023</v>
      </c>
      <c r="D458">
        <v>2022</v>
      </c>
      <c r="E458">
        <v>2022</v>
      </c>
      <c r="F458" t="s">
        <v>256</v>
      </c>
      <c r="G458" t="s">
        <v>257</v>
      </c>
      <c r="H458" t="s">
        <v>247</v>
      </c>
      <c r="I458"/>
      <c r="J458" t="s">
        <v>252</v>
      </c>
      <c r="K458" t="b">
        <v>0</v>
      </c>
      <c r="L458" t="b">
        <v>0</v>
      </c>
      <c r="M458" t="b">
        <v>0</v>
      </c>
      <c r="N458" t="b">
        <v>0</v>
      </c>
      <c r="O458" t="b">
        <v>0</v>
      </c>
      <c r="P458" t="b">
        <v>0</v>
      </c>
      <c r="Q458" t="b">
        <v>0</v>
      </c>
      <c r="R458" t="b">
        <v>0</v>
      </c>
      <c r="S458" t="b">
        <v>0</v>
      </c>
      <c r="T458" t="b">
        <v>0</v>
      </c>
      <c r="U458" t="b">
        <v>0</v>
      </c>
      <c r="V458" t="b">
        <v>0</v>
      </c>
      <c r="W458" t="b">
        <v>0</v>
      </c>
      <c r="X458" t="b">
        <v>0</v>
      </c>
      <c r="Y458" t="b">
        <v>0</v>
      </c>
      <c r="Z458" t="b">
        <v>1</v>
      </c>
      <c r="AA458" t="b">
        <v>0</v>
      </c>
      <c r="AB458" t="b">
        <v>0</v>
      </c>
      <c r="AC458" t="s">
        <v>173</v>
      </c>
      <c r="AD458" t="s">
        <v>175</v>
      </c>
      <c r="AE458" t="s">
        <v>173</v>
      </c>
      <c r="AF458" t="s">
        <v>175</v>
      </c>
      <c r="AG458" t="s">
        <v>173</v>
      </c>
      <c r="AH458" t="s">
        <v>177</v>
      </c>
      <c r="AI458" t="s">
        <v>179</v>
      </c>
      <c r="AJ458" t="s">
        <v>173</v>
      </c>
      <c r="AK458" t="s">
        <v>173</v>
      </c>
      <c r="AL458" t="s">
        <v>175</v>
      </c>
      <c r="AM458" t="s">
        <v>173</v>
      </c>
      <c r="AN458" t="s">
        <v>179</v>
      </c>
      <c r="AO458" t="s">
        <v>181</v>
      </c>
      <c r="AP458" t="s">
        <v>173</v>
      </c>
      <c r="AQ458" t="s">
        <v>173</v>
      </c>
      <c r="AR458" t="s">
        <v>173</v>
      </c>
      <c r="AS458" t="s">
        <v>175</v>
      </c>
      <c r="AT458" t="s">
        <v>173</v>
      </c>
      <c r="AU458" t="s">
        <v>173</v>
      </c>
      <c r="AV458" t="s">
        <v>175</v>
      </c>
      <c r="AW458" t="s">
        <v>175</v>
      </c>
      <c r="AX458" t="s">
        <v>192</v>
      </c>
      <c r="AY458" t="s">
        <v>202</v>
      </c>
      <c r="AZ458" t="s">
        <v>183</v>
      </c>
      <c r="BA458" t="s">
        <v>183</v>
      </c>
      <c r="BB458" t="s">
        <v>183</v>
      </c>
      <c r="BC458" t="s">
        <v>183</v>
      </c>
      <c r="BD458" t="s">
        <v>183</v>
      </c>
    </row>
    <row r="459" hidden="1" spans="1:56">
      <c r="A459">
        <v>458</v>
      </c>
      <c r="B459" t="s">
        <v>246</v>
      </c>
      <c r="C459">
        <v>2023</v>
      </c>
      <c r="D459">
        <v>1983</v>
      </c>
      <c r="E459">
        <v>1991</v>
      </c>
      <c r="F459" t="s">
        <v>256</v>
      </c>
      <c r="G459" t="s">
        <v>257</v>
      </c>
      <c r="H459" t="s">
        <v>247</v>
      </c>
      <c r="I459"/>
      <c r="J459" t="s">
        <v>252</v>
      </c>
      <c r="K459" t="b">
        <v>0</v>
      </c>
      <c r="L459" t="b">
        <v>0</v>
      </c>
      <c r="M459" t="b">
        <v>0</v>
      </c>
      <c r="N459" t="b">
        <v>1</v>
      </c>
      <c r="O459" t="b">
        <v>0</v>
      </c>
      <c r="P459" t="b">
        <v>0</v>
      </c>
      <c r="Q459" t="b">
        <v>0</v>
      </c>
      <c r="R459" t="b">
        <v>0</v>
      </c>
      <c r="S459" t="b">
        <v>0</v>
      </c>
      <c r="T459" t="b">
        <v>0</v>
      </c>
      <c r="U459" t="b">
        <v>0</v>
      </c>
      <c r="V459" t="b">
        <v>0</v>
      </c>
      <c r="W459" t="b">
        <v>0</v>
      </c>
      <c r="X459" t="b">
        <v>1</v>
      </c>
      <c r="Y459" t="b">
        <v>0</v>
      </c>
      <c r="Z459" t="b">
        <v>0</v>
      </c>
      <c r="AA459" t="b">
        <v>1</v>
      </c>
      <c r="AB459" t="b">
        <v>0</v>
      </c>
      <c r="AC459" t="s">
        <v>173</v>
      </c>
      <c r="AD459" t="s">
        <v>175</v>
      </c>
      <c r="AE459" t="s">
        <v>183</v>
      </c>
      <c r="AF459" t="s">
        <v>179</v>
      </c>
      <c r="AG459" t="s">
        <v>179</v>
      </c>
      <c r="AH459" t="s">
        <v>177</v>
      </c>
      <c r="AI459" t="s">
        <v>179</v>
      </c>
      <c r="AJ459" t="s">
        <v>183</v>
      </c>
      <c r="AK459" t="s">
        <v>173</v>
      </c>
      <c r="AL459" t="s">
        <v>179</v>
      </c>
      <c r="AM459" t="s">
        <v>173</v>
      </c>
      <c r="AN459" t="s">
        <v>173</v>
      </c>
      <c r="AO459" t="s">
        <v>179</v>
      </c>
      <c r="AP459" t="s">
        <v>179</v>
      </c>
      <c r="AQ459" t="s">
        <v>179</v>
      </c>
      <c r="AR459" t="s">
        <v>179</v>
      </c>
      <c r="AS459" t="s">
        <v>183</v>
      </c>
      <c r="AT459" t="s">
        <v>173</v>
      </c>
      <c r="AU459" t="s">
        <v>179</v>
      </c>
      <c r="AV459" t="s">
        <v>179</v>
      </c>
      <c r="AW459" t="s">
        <v>183</v>
      </c>
      <c r="AX459" t="s">
        <v>192</v>
      </c>
      <c r="AY459" t="s">
        <v>196</v>
      </c>
      <c r="AZ459" t="s">
        <v>183</v>
      </c>
      <c r="BA459" t="s">
        <v>183</v>
      </c>
      <c r="BB459" t="s">
        <v>183</v>
      </c>
      <c r="BC459" t="s">
        <v>183</v>
      </c>
      <c r="BD459" t="s">
        <v>183</v>
      </c>
    </row>
    <row r="460" hidden="1" spans="1:56">
      <c r="A460">
        <v>459</v>
      </c>
      <c r="B460" t="s">
        <v>259</v>
      </c>
      <c r="C460">
        <v>2023</v>
      </c>
      <c r="D460">
        <v>1981</v>
      </c>
      <c r="E460">
        <v>1998</v>
      </c>
      <c r="F460" t="s">
        <v>248</v>
      </c>
      <c r="G460" t="s">
        <v>242</v>
      </c>
      <c r="H460" t="s">
        <v>274</v>
      </c>
      <c r="I460"/>
      <c r="J460" t="s">
        <v>252</v>
      </c>
      <c r="K460" t="b">
        <v>0</v>
      </c>
      <c r="L460" t="b">
        <v>0</v>
      </c>
      <c r="M460" t="b">
        <v>0</v>
      </c>
      <c r="N460" t="b">
        <v>0</v>
      </c>
      <c r="O460" t="b">
        <v>0</v>
      </c>
      <c r="P460" t="b">
        <v>0</v>
      </c>
      <c r="Q460" t="b">
        <v>0</v>
      </c>
      <c r="R460" t="b">
        <v>0</v>
      </c>
      <c r="S460" t="b">
        <v>0</v>
      </c>
      <c r="T460" t="b">
        <v>0</v>
      </c>
      <c r="U460" t="b">
        <v>0</v>
      </c>
      <c r="V460" t="b">
        <v>0</v>
      </c>
      <c r="W460" t="b">
        <v>0</v>
      </c>
      <c r="X460" t="b">
        <v>0</v>
      </c>
      <c r="Y460" t="b">
        <v>0</v>
      </c>
      <c r="Z460" t="b">
        <v>1</v>
      </c>
      <c r="AA460" t="b">
        <v>1</v>
      </c>
      <c r="AB460" t="b">
        <v>0</v>
      </c>
      <c r="AC460" t="s">
        <v>173</v>
      </c>
      <c r="AD460" t="s">
        <v>175</v>
      </c>
      <c r="AE460" t="s">
        <v>173</v>
      </c>
      <c r="AF460" t="s">
        <v>175</v>
      </c>
      <c r="AG460" t="s">
        <v>175</v>
      </c>
      <c r="AH460" t="s">
        <v>175</v>
      </c>
      <c r="AI460" t="s">
        <v>173</v>
      </c>
      <c r="AJ460" t="s">
        <v>173</v>
      </c>
      <c r="AK460" t="s">
        <v>171</v>
      </c>
      <c r="AL460" t="s">
        <v>173</v>
      </c>
      <c r="AM460" t="s">
        <v>173</v>
      </c>
      <c r="AN460" t="s">
        <v>173</v>
      </c>
      <c r="AO460" t="s">
        <v>175</v>
      </c>
      <c r="AP460" t="s">
        <v>173</v>
      </c>
      <c r="AQ460" t="s">
        <v>173</v>
      </c>
      <c r="AR460" t="s">
        <v>173</v>
      </c>
      <c r="AS460" t="s">
        <v>173</v>
      </c>
      <c r="AT460" t="s">
        <v>173</v>
      </c>
      <c r="AU460" t="s">
        <v>173</v>
      </c>
      <c r="AV460" t="s">
        <v>173</v>
      </c>
      <c r="AW460" t="s">
        <v>173</v>
      </c>
      <c r="AX460" t="s">
        <v>192</v>
      </c>
      <c r="AY460" t="s">
        <v>196</v>
      </c>
      <c r="AZ460" t="s">
        <v>183</v>
      </c>
      <c r="BA460" t="s">
        <v>183</v>
      </c>
      <c r="BB460" t="s">
        <v>183</v>
      </c>
      <c r="BC460" t="s">
        <v>183</v>
      </c>
      <c r="BD460" t="s">
        <v>183</v>
      </c>
    </row>
    <row r="461" spans="1:65">
      <c r="A461">
        <v>460</v>
      </c>
      <c r="B461" t="s">
        <v>315</v>
      </c>
      <c r="C461" s="10">
        <v>2022</v>
      </c>
      <c r="D461" s="10">
        <v>2020</v>
      </c>
      <c r="E461" s="10">
        <v>2022</v>
      </c>
      <c r="F461" s="10" t="s">
        <v>241</v>
      </c>
      <c r="G461" s="10" t="s">
        <v>249</v>
      </c>
      <c r="H461" s="10" t="s">
        <v>243</v>
      </c>
      <c r="I461" s="10" t="s">
        <v>278</v>
      </c>
      <c r="J461" s="10" t="s">
        <v>285</v>
      </c>
      <c r="K461" t="b">
        <v>0</v>
      </c>
      <c r="L461" t="b">
        <v>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s="10" t="s">
        <v>173</v>
      </c>
      <c r="AD461" t="s">
        <v>175</v>
      </c>
      <c r="AE461" t="s">
        <v>175</v>
      </c>
      <c r="AF461" t="s">
        <v>173</v>
      </c>
      <c r="AG461" t="s">
        <v>173</v>
      </c>
      <c r="AH461" t="s">
        <v>175</v>
      </c>
      <c r="AI461" t="s">
        <v>173</v>
      </c>
      <c r="AJ461" t="s">
        <v>171</v>
      </c>
      <c r="AK461" t="s">
        <v>173</v>
      </c>
      <c r="AL461" t="s">
        <v>171</v>
      </c>
      <c r="AM461" t="s">
        <v>173</v>
      </c>
      <c r="AN461" t="s">
        <v>173</v>
      </c>
      <c r="AO461" t="s">
        <v>171</v>
      </c>
      <c r="AP461" t="s">
        <v>171</v>
      </c>
      <c r="AQ461" t="s">
        <v>171</v>
      </c>
      <c r="AR461" t="s">
        <v>175</v>
      </c>
      <c r="AS461" t="s">
        <v>173</v>
      </c>
      <c r="AT461" t="s">
        <v>173</v>
      </c>
      <c r="AU461" t="s">
        <v>175</v>
      </c>
      <c r="AV461" t="s">
        <v>175</v>
      </c>
      <c r="AW461" t="s">
        <v>175</v>
      </c>
      <c r="AX461" t="s">
        <v>192</v>
      </c>
      <c r="AY461" t="s">
        <v>201</v>
      </c>
      <c r="AZ461" t="s">
        <v>207</v>
      </c>
      <c r="BA461" t="s">
        <v>207</v>
      </c>
      <c r="BB461" t="s">
        <v>207</v>
      </c>
      <c r="BC461" t="s">
        <v>207</v>
      </c>
      <c r="BD461" t="s">
        <v>207</v>
      </c>
      <c r="BE461" t="str">
        <f>IF(AY461="","Unknown",AY461)</f>
        <v>36-40</v>
      </c>
      <c r="BF461" s="11" t="str">
        <f>IF(AZ461="","unknown",AZ461)</f>
        <v>NO</v>
      </c>
      <c r="BG461" s="11" t="str">
        <f>IF(BA461="","UNKNOWN",BA461)</f>
        <v>NO</v>
      </c>
      <c r="BH461" s="11" t="str">
        <f>IF(BB461="","unknown",BB461)</f>
        <v>NO</v>
      </c>
      <c r="BI461" s="11" t="str">
        <f>IF(BC461="","Unknon",BC461)</f>
        <v>NO</v>
      </c>
      <c r="BJ461" s="11" t="str">
        <f>IF(BD461="","Unknown",BD461)</f>
        <v>NO</v>
      </c>
      <c r="BK461" s="11">
        <f>VALUE(C461)-VALUE(D461)</f>
        <v>2</v>
      </c>
      <c r="BM461" s="11"/>
    </row>
    <row r="462" hidden="1" spans="1:56">
      <c r="A462">
        <v>461</v>
      </c>
      <c r="B462" t="s">
        <v>286</v>
      </c>
      <c r="C462">
        <v>2023</v>
      </c>
      <c r="D462">
        <v>2018</v>
      </c>
      <c r="E462">
        <v>2018</v>
      </c>
      <c r="F462" t="s">
        <v>276</v>
      </c>
      <c r="G462"/>
      <c r="H462" t="s">
        <v>264</v>
      </c>
      <c r="I462"/>
      <c r="J462" t="s">
        <v>265</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1</v>
      </c>
      <c r="AC462" t="s">
        <v>173</v>
      </c>
      <c r="AD462" t="s">
        <v>171</v>
      </c>
      <c r="AE462" t="s">
        <v>175</v>
      </c>
      <c r="AF462" t="s">
        <v>173</v>
      </c>
      <c r="AG462" t="s">
        <v>173</v>
      </c>
      <c r="AH462" t="s">
        <v>171</v>
      </c>
      <c r="AI462" t="s">
        <v>173</v>
      </c>
      <c r="AJ462" t="s">
        <v>173</v>
      </c>
      <c r="AK462" t="s">
        <v>173</v>
      </c>
      <c r="AL462" t="s">
        <v>173</v>
      </c>
      <c r="AM462" t="s">
        <v>173</v>
      </c>
      <c r="AN462" t="s">
        <v>179</v>
      </c>
      <c r="AO462" t="s">
        <v>175</v>
      </c>
      <c r="AP462" t="s">
        <v>173</v>
      </c>
      <c r="AQ462" t="s">
        <v>175</v>
      </c>
      <c r="AR462" t="s">
        <v>173</v>
      </c>
      <c r="AS462" t="s">
        <v>173</v>
      </c>
      <c r="AT462" t="s">
        <v>173</v>
      </c>
      <c r="AU462" t="s">
        <v>173</v>
      </c>
      <c r="AV462" t="s">
        <v>175</v>
      </c>
      <c r="AW462" t="s">
        <v>171</v>
      </c>
      <c r="AX462" t="s">
        <v>192</v>
      </c>
      <c r="AY462" t="s">
        <v>197</v>
      </c>
      <c r="AZ462" t="s">
        <v>183</v>
      </c>
      <c r="BA462" t="s">
        <v>183</v>
      </c>
      <c r="BB462" t="s">
        <v>183</v>
      </c>
      <c r="BC462" t="s">
        <v>183</v>
      </c>
      <c r="BD462" t="s">
        <v>183</v>
      </c>
    </row>
    <row r="463" hidden="1" spans="1:56">
      <c r="A463">
        <v>462</v>
      </c>
      <c r="B463" t="s">
        <v>255</v>
      </c>
      <c r="C463">
        <v>2023</v>
      </c>
      <c r="D463">
        <v>2019</v>
      </c>
      <c r="E463">
        <v>2019</v>
      </c>
      <c r="F463" t="s">
        <v>266</v>
      </c>
      <c r="G463"/>
      <c r="H463" t="s">
        <v>247</v>
      </c>
      <c r="I463"/>
      <c r="J463" t="s">
        <v>265</v>
      </c>
      <c r="K463" t="b">
        <v>0</v>
      </c>
      <c r="L463" t="b">
        <v>1</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s">
        <v>171</v>
      </c>
      <c r="AD463" t="s">
        <v>171</v>
      </c>
      <c r="AE463" t="s">
        <v>171</v>
      </c>
      <c r="AF463" t="s">
        <v>171</v>
      </c>
      <c r="AG463" t="s">
        <v>171</v>
      </c>
      <c r="AH463" t="s">
        <v>171</v>
      </c>
      <c r="AI463" t="s">
        <v>171</v>
      </c>
      <c r="AJ463" t="s">
        <v>171</v>
      </c>
      <c r="AK463" t="s">
        <v>171</v>
      </c>
      <c r="AL463" t="s">
        <v>171</v>
      </c>
      <c r="AM463" t="s">
        <v>171</v>
      </c>
      <c r="AN463" t="s">
        <v>171</v>
      </c>
      <c r="AO463" t="s">
        <v>171</v>
      </c>
      <c r="AP463" t="s">
        <v>171</v>
      </c>
      <c r="AQ463" t="s">
        <v>171</v>
      </c>
      <c r="AR463" t="s">
        <v>171</v>
      </c>
      <c r="AS463" t="s">
        <v>171</v>
      </c>
      <c r="AT463" t="s">
        <v>171</v>
      </c>
      <c r="AU463" t="s">
        <v>171</v>
      </c>
      <c r="AV463" t="s">
        <v>171</v>
      </c>
      <c r="AW463" t="s">
        <v>171</v>
      </c>
      <c r="AX463" t="s">
        <v>192</v>
      </c>
      <c r="AY463" t="s">
        <v>197</v>
      </c>
      <c r="AZ463" t="s">
        <v>183</v>
      </c>
      <c r="BA463" t="s">
        <v>183</v>
      </c>
      <c r="BB463" t="s">
        <v>183</v>
      </c>
      <c r="BC463" t="s">
        <v>183</v>
      </c>
      <c r="BD463" t="s">
        <v>183</v>
      </c>
    </row>
    <row r="464" hidden="1" spans="1:56">
      <c r="A464">
        <v>463</v>
      </c>
      <c r="B464" t="s">
        <v>246</v>
      </c>
      <c r="C464">
        <v>2023</v>
      </c>
      <c r="D464">
        <v>1990</v>
      </c>
      <c r="E464">
        <v>1990</v>
      </c>
      <c r="F464" t="s">
        <v>256</v>
      </c>
      <c r="G464" t="s">
        <v>257</v>
      </c>
      <c r="H464" t="s">
        <v>268</v>
      </c>
      <c r="I464"/>
      <c r="J464" t="s">
        <v>252</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1</v>
      </c>
      <c r="AC464" t="s">
        <v>173</v>
      </c>
      <c r="AD464" t="s">
        <v>173</v>
      </c>
      <c r="AE464" t="s">
        <v>173</v>
      </c>
      <c r="AF464" t="s">
        <v>173</v>
      </c>
      <c r="AG464" t="s">
        <v>171</v>
      </c>
      <c r="AH464" t="s">
        <v>173</v>
      </c>
      <c r="AI464" t="s">
        <v>173</v>
      </c>
      <c r="AJ464" t="s">
        <v>173</v>
      </c>
      <c r="AK464" t="s">
        <v>171</v>
      </c>
      <c r="AL464" t="s">
        <v>171</v>
      </c>
      <c r="AM464" t="s">
        <v>171</v>
      </c>
      <c r="AN464" t="s">
        <v>171</v>
      </c>
      <c r="AO464" t="s">
        <v>173</v>
      </c>
      <c r="AP464" t="s">
        <v>173</v>
      </c>
      <c r="AQ464" t="s">
        <v>173</v>
      </c>
      <c r="AR464" t="s">
        <v>173</v>
      </c>
      <c r="AS464" t="s">
        <v>173</v>
      </c>
      <c r="AT464" t="s">
        <v>173</v>
      </c>
      <c r="AU464" t="s">
        <v>173</v>
      </c>
      <c r="AV464" t="s">
        <v>175</v>
      </c>
      <c r="AW464" t="s">
        <v>171</v>
      </c>
      <c r="AX464" t="s">
        <v>192</v>
      </c>
      <c r="AY464" t="s">
        <v>197</v>
      </c>
      <c r="AZ464" t="s">
        <v>183</v>
      </c>
      <c r="BA464" t="s">
        <v>183</v>
      </c>
      <c r="BB464" t="s">
        <v>183</v>
      </c>
      <c r="BC464" t="s">
        <v>183</v>
      </c>
      <c r="BD464" t="s">
        <v>183</v>
      </c>
    </row>
    <row r="465" hidden="1" spans="1:56">
      <c r="A465">
        <v>464</v>
      </c>
      <c r="B465" t="s">
        <v>280</v>
      </c>
      <c r="C465">
        <v>2023</v>
      </c>
      <c r="D465">
        <v>2000</v>
      </c>
      <c r="E465" t="s">
        <v>247</v>
      </c>
      <c r="F465" t="s">
        <v>256</v>
      </c>
      <c r="G465" t="s">
        <v>257</v>
      </c>
      <c r="H465" t="s">
        <v>258</v>
      </c>
      <c r="I465"/>
      <c r="J465" t="s">
        <v>265</v>
      </c>
      <c r="K465" t="b">
        <v>0</v>
      </c>
      <c r="L465" t="b">
        <v>0</v>
      </c>
      <c r="M465" t="b">
        <v>0</v>
      </c>
      <c r="N465" t="b">
        <v>0</v>
      </c>
      <c r="O465" t="b">
        <v>0</v>
      </c>
      <c r="P465" t="b">
        <v>0</v>
      </c>
      <c r="Q465" t="b">
        <v>0</v>
      </c>
      <c r="R465" t="b">
        <v>0</v>
      </c>
      <c r="S465" t="b">
        <v>0</v>
      </c>
      <c r="T465" t="b">
        <v>0</v>
      </c>
      <c r="U465" t="b">
        <v>0</v>
      </c>
      <c r="V465" t="b">
        <v>0</v>
      </c>
      <c r="W465" t="b">
        <v>0</v>
      </c>
      <c r="X465" t="b">
        <v>1</v>
      </c>
      <c r="Y465" t="b">
        <v>0</v>
      </c>
      <c r="Z465" t="b">
        <v>1</v>
      </c>
      <c r="AA465" t="b">
        <v>1</v>
      </c>
      <c r="AB465" t="b">
        <v>0</v>
      </c>
      <c r="AC465" t="s">
        <v>173</v>
      </c>
      <c r="AD465" t="s">
        <v>183</v>
      </c>
      <c r="AE465" t="s">
        <v>171</v>
      </c>
      <c r="AF465" t="s">
        <v>173</v>
      </c>
      <c r="AG465" t="s">
        <v>173</v>
      </c>
      <c r="AH465" t="s">
        <v>177</v>
      </c>
      <c r="AI465" t="s">
        <v>179</v>
      </c>
      <c r="AJ465" t="s">
        <v>173</v>
      </c>
      <c r="AK465" t="s">
        <v>171</v>
      </c>
      <c r="AL465" t="s">
        <v>173</v>
      </c>
      <c r="AM465" t="s">
        <v>173</v>
      </c>
      <c r="AN465" t="s">
        <v>173</v>
      </c>
      <c r="AO465" t="s">
        <v>177</v>
      </c>
      <c r="AP465" t="s">
        <v>177</v>
      </c>
      <c r="AQ465" t="s">
        <v>173</v>
      </c>
      <c r="AR465" t="s">
        <v>171</v>
      </c>
      <c r="AS465" t="s">
        <v>173</v>
      </c>
      <c r="AT465" t="s">
        <v>173</v>
      </c>
      <c r="AU465" t="s">
        <v>177</v>
      </c>
      <c r="AV465" t="s">
        <v>179</v>
      </c>
      <c r="AW465" t="s">
        <v>173</v>
      </c>
      <c r="AX465" t="s">
        <v>192</v>
      </c>
      <c r="AY465" t="s">
        <v>199</v>
      </c>
      <c r="AZ465" t="s">
        <v>183</v>
      </c>
      <c r="BA465" t="s">
        <v>183</v>
      </c>
      <c r="BB465" t="s">
        <v>183</v>
      </c>
      <c r="BC465" t="s">
        <v>208</v>
      </c>
      <c r="BD465" t="s">
        <v>183</v>
      </c>
    </row>
    <row r="466" hidden="1" spans="1:56">
      <c r="A466">
        <v>465</v>
      </c>
      <c r="B466" t="s">
        <v>269</v>
      </c>
      <c r="C466">
        <v>2023</v>
      </c>
      <c r="D466">
        <v>2011</v>
      </c>
      <c r="E466">
        <v>2011</v>
      </c>
      <c r="F466" t="s">
        <v>256</v>
      </c>
      <c r="G466" t="s">
        <v>257</v>
      </c>
      <c r="H466" t="s">
        <v>247</v>
      </c>
      <c r="I466"/>
      <c r="J466" t="s">
        <v>265</v>
      </c>
      <c r="K466" t="b">
        <v>0</v>
      </c>
      <c r="L466" t="b">
        <v>0</v>
      </c>
      <c r="M466" t="b">
        <v>0</v>
      </c>
      <c r="N466" t="b">
        <v>0</v>
      </c>
      <c r="O466" t="b">
        <v>0</v>
      </c>
      <c r="P466" t="b">
        <v>0</v>
      </c>
      <c r="Q466" t="b">
        <v>0</v>
      </c>
      <c r="R466" t="b">
        <v>1</v>
      </c>
      <c r="S466" t="b">
        <v>0</v>
      </c>
      <c r="T466" t="b">
        <v>0</v>
      </c>
      <c r="U466" t="b">
        <v>0</v>
      </c>
      <c r="V466" t="b">
        <v>0</v>
      </c>
      <c r="W466" t="b">
        <v>0</v>
      </c>
      <c r="X466" t="b">
        <v>0</v>
      </c>
      <c r="Y466" t="b">
        <v>0</v>
      </c>
      <c r="Z466" t="b">
        <v>0</v>
      </c>
      <c r="AA466" t="b">
        <v>0</v>
      </c>
      <c r="AB466" t="b">
        <v>0</v>
      </c>
      <c r="AC466" t="s">
        <v>173</v>
      </c>
      <c r="AD466" t="s">
        <v>175</v>
      </c>
      <c r="AE466" t="s">
        <v>175</v>
      </c>
      <c r="AF466" t="s">
        <v>173</v>
      </c>
      <c r="AG466" t="s">
        <v>173</v>
      </c>
      <c r="AH466" t="s">
        <v>171</v>
      </c>
      <c r="AI466" t="s">
        <v>173</v>
      </c>
      <c r="AJ466" t="s">
        <v>173</v>
      </c>
      <c r="AK466" t="s">
        <v>171</v>
      </c>
      <c r="AL466" t="s">
        <v>171</v>
      </c>
      <c r="AM466" t="s">
        <v>173</v>
      </c>
      <c r="AN466" t="s">
        <v>183</v>
      </c>
      <c r="AO466" t="s">
        <v>171</v>
      </c>
      <c r="AP466" t="s">
        <v>171</v>
      </c>
      <c r="AQ466" t="s">
        <v>183</v>
      </c>
      <c r="AR466" t="s">
        <v>171</v>
      </c>
      <c r="AS466" t="s">
        <v>173</v>
      </c>
      <c r="AT466" t="s">
        <v>171</v>
      </c>
      <c r="AU466" t="s">
        <v>171</v>
      </c>
      <c r="AV466" t="s">
        <v>175</v>
      </c>
      <c r="AW466" t="s">
        <v>183</v>
      </c>
      <c r="AX466" t="s">
        <v>192</v>
      </c>
      <c r="AY466" t="s">
        <v>201</v>
      </c>
      <c r="AZ466" t="s">
        <v>183</v>
      </c>
      <c r="BA466" t="s">
        <v>183</v>
      </c>
      <c r="BB466" t="s">
        <v>183</v>
      </c>
      <c r="BC466" t="s">
        <v>183</v>
      </c>
      <c r="BD466" t="s">
        <v>183</v>
      </c>
    </row>
    <row r="467" hidden="1" spans="1:56">
      <c r="A467">
        <v>466</v>
      </c>
      <c r="B467" t="s">
        <v>259</v>
      </c>
      <c r="C467">
        <v>2023</v>
      </c>
      <c r="D467">
        <v>2000</v>
      </c>
      <c r="E467">
        <v>2017</v>
      </c>
      <c r="F467" t="s">
        <v>256</v>
      </c>
      <c r="G467" t="s">
        <v>279</v>
      </c>
      <c r="H467" t="s">
        <v>247</v>
      </c>
      <c r="I467"/>
      <c r="J467" t="s">
        <v>265</v>
      </c>
      <c r="K467" t="b">
        <v>0</v>
      </c>
      <c r="L467" t="b">
        <v>0</v>
      </c>
      <c r="M467" t="b">
        <v>0</v>
      </c>
      <c r="N467" t="b">
        <v>0</v>
      </c>
      <c r="O467" t="b">
        <v>0</v>
      </c>
      <c r="P467" t="b">
        <v>0</v>
      </c>
      <c r="Q467" t="b">
        <v>0</v>
      </c>
      <c r="R467" t="b">
        <v>0</v>
      </c>
      <c r="S467" t="b">
        <v>0</v>
      </c>
      <c r="T467" t="b">
        <v>0</v>
      </c>
      <c r="U467" t="b">
        <v>0</v>
      </c>
      <c r="V467" t="b">
        <v>0</v>
      </c>
      <c r="W467" t="b">
        <v>0</v>
      </c>
      <c r="X467" t="b">
        <v>1</v>
      </c>
      <c r="Y467" t="b">
        <v>0</v>
      </c>
      <c r="Z467" t="b">
        <v>1</v>
      </c>
      <c r="AA467" t="b">
        <v>0</v>
      </c>
      <c r="AB467" t="b">
        <v>0</v>
      </c>
      <c r="AC467" t="s">
        <v>173</v>
      </c>
      <c r="AD467" t="s">
        <v>175</v>
      </c>
      <c r="AE467" t="s">
        <v>173</v>
      </c>
      <c r="AF467" t="s">
        <v>175</v>
      </c>
      <c r="AG467" t="s">
        <v>173</v>
      </c>
      <c r="AH467" t="s">
        <v>173</v>
      </c>
      <c r="AI467" t="s">
        <v>173</v>
      </c>
      <c r="AJ467" t="s">
        <v>171</v>
      </c>
      <c r="AK467" t="s">
        <v>171</v>
      </c>
      <c r="AL467" t="s">
        <v>171</v>
      </c>
      <c r="AM467" t="s">
        <v>177</v>
      </c>
      <c r="AN467" t="s">
        <v>171</v>
      </c>
      <c r="AO467" t="s">
        <v>171</v>
      </c>
      <c r="AP467" t="s">
        <v>171</v>
      </c>
      <c r="AQ467" t="s">
        <v>171</v>
      </c>
      <c r="AR467" t="s">
        <v>171</v>
      </c>
      <c r="AS467" t="s">
        <v>171</v>
      </c>
      <c r="AT467" t="s">
        <v>171</v>
      </c>
      <c r="AU467" t="s">
        <v>171</v>
      </c>
      <c r="AV467" t="s">
        <v>173</v>
      </c>
      <c r="AW467" t="s">
        <v>173</v>
      </c>
      <c r="AX467" t="s">
        <v>192</v>
      </c>
      <c r="AY467" t="s">
        <v>196</v>
      </c>
      <c r="AZ467" t="s">
        <v>183</v>
      </c>
      <c r="BA467" t="s">
        <v>183</v>
      </c>
      <c r="BB467" t="s">
        <v>183</v>
      </c>
      <c r="BC467" t="s">
        <v>183</v>
      </c>
      <c r="BD467" t="s">
        <v>183</v>
      </c>
    </row>
    <row r="468" hidden="1" spans="1:56">
      <c r="A468">
        <v>467</v>
      </c>
      <c r="B468" t="s">
        <v>255</v>
      </c>
      <c r="C468">
        <v>2023</v>
      </c>
      <c r="D468">
        <v>2009</v>
      </c>
      <c r="E468">
        <v>2022</v>
      </c>
      <c r="F468" t="s">
        <v>256</v>
      </c>
      <c r="G468" t="s">
        <v>263</v>
      </c>
      <c r="H468" t="s">
        <v>274</v>
      </c>
      <c r="I468"/>
      <c r="J468" t="s">
        <v>265</v>
      </c>
      <c r="K468" t="b">
        <v>0</v>
      </c>
      <c r="L468" t="b">
        <v>0</v>
      </c>
      <c r="M468" t="b">
        <v>0</v>
      </c>
      <c r="N468" t="b">
        <v>0</v>
      </c>
      <c r="O468" t="b">
        <v>0</v>
      </c>
      <c r="P468" t="b">
        <v>0</v>
      </c>
      <c r="Q468" t="b">
        <v>0</v>
      </c>
      <c r="R468" t="b">
        <v>0</v>
      </c>
      <c r="S468" t="b">
        <v>0</v>
      </c>
      <c r="T468" t="b">
        <v>0</v>
      </c>
      <c r="U468" t="b">
        <v>1</v>
      </c>
      <c r="V468" t="b">
        <v>0</v>
      </c>
      <c r="W468" t="b">
        <v>0</v>
      </c>
      <c r="X468" t="b">
        <v>0</v>
      </c>
      <c r="Y468" t="b">
        <v>0</v>
      </c>
      <c r="Z468" t="b">
        <v>1</v>
      </c>
      <c r="AA468" t="b">
        <v>0</v>
      </c>
      <c r="AB468" t="b">
        <v>0</v>
      </c>
      <c r="AC468" t="s">
        <v>173</v>
      </c>
      <c r="AD468" t="s">
        <v>173</v>
      </c>
      <c r="AE468" t="s">
        <v>173</v>
      </c>
      <c r="AF468" t="s">
        <v>173</v>
      </c>
      <c r="AG468" t="s">
        <v>173</v>
      </c>
      <c r="AH468" t="s">
        <v>177</v>
      </c>
      <c r="AI468" t="s">
        <v>173</v>
      </c>
      <c r="AJ468" t="s">
        <v>173</v>
      </c>
      <c r="AK468" t="s">
        <v>173</v>
      </c>
      <c r="AL468" t="s">
        <v>173</v>
      </c>
      <c r="AM468" t="s">
        <v>173</v>
      </c>
      <c r="AN468" t="s">
        <v>173</v>
      </c>
      <c r="AO468" t="s">
        <v>173</v>
      </c>
      <c r="AP468" t="s">
        <v>173</v>
      </c>
      <c r="AQ468" t="s">
        <v>173</v>
      </c>
      <c r="AR468" t="s">
        <v>173</v>
      </c>
      <c r="AS468" t="s">
        <v>173</v>
      </c>
      <c r="AT468" t="s">
        <v>173</v>
      </c>
      <c r="AU468" t="s">
        <v>173</v>
      </c>
      <c r="AV468" t="s">
        <v>175</v>
      </c>
      <c r="AW468" t="s">
        <v>175</v>
      </c>
      <c r="AX468" t="s">
        <v>192</v>
      </c>
      <c r="AY468" t="s">
        <v>199</v>
      </c>
      <c r="AZ468" t="s">
        <v>183</v>
      </c>
      <c r="BA468" t="s">
        <v>183</v>
      </c>
      <c r="BB468" t="s">
        <v>183</v>
      </c>
      <c r="BC468" t="s">
        <v>183</v>
      </c>
      <c r="BD468" t="s">
        <v>183</v>
      </c>
    </row>
    <row r="469" hidden="1" spans="1:56">
      <c r="A469">
        <v>468</v>
      </c>
      <c r="B469" t="s">
        <v>259</v>
      </c>
      <c r="C469">
        <v>2022</v>
      </c>
      <c r="D469" t="s">
        <v>247</v>
      </c>
      <c r="E469" t="s">
        <v>247</v>
      </c>
      <c r="F469" t="s">
        <v>266</v>
      </c>
      <c r="G469"/>
      <c r="H469" t="s">
        <v>264</v>
      </c>
      <c r="I469"/>
      <c r="J469" t="s">
        <v>265</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1</v>
      </c>
      <c r="AC469" t="s">
        <v>171</v>
      </c>
      <c r="AD469" t="s">
        <v>175</v>
      </c>
      <c r="AE469" t="s">
        <v>173</v>
      </c>
      <c r="AF469" t="s">
        <v>175</v>
      </c>
      <c r="AG469" t="s">
        <v>173</v>
      </c>
      <c r="AH469" t="s">
        <v>171</v>
      </c>
      <c r="AI469" t="s">
        <v>171</v>
      </c>
      <c r="AJ469" t="s">
        <v>173</v>
      </c>
      <c r="AK469" t="s">
        <v>173</v>
      </c>
      <c r="AL469" t="s">
        <v>173</v>
      </c>
      <c r="AM469" t="s">
        <v>173</v>
      </c>
      <c r="AN469" t="s">
        <v>175</v>
      </c>
      <c r="AO469" t="s">
        <v>173</v>
      </c>
      <c r="AP469" t="s">
        <v>173</v>
      </c>
      <c r="AQ469" t="s">
        <v>173</v>
      </c>
      <c r="AR469" t="s">
        <v>173</v>
      </c>
      <c r="AS469" t="s">
        <v>173</v>
      </c>
      <c r="AT469" t="s">
        <v>173</v>
      </c>
      <c r="AU469" t="s">
        <v>173</v>
      </c>
      <c r="AV469" t="s">
        <v>173</v>
      </c>
      <c r="AW469" t="s">
        <v>173</v>
      </c>
      <c r="AX469" t="s">
        <v>192</v>
      </c>
      <c r="AY469" t="s">
        <v>195</v>
      </c>
      <c r="AZ469" t="s">
        <v>183</v>
      </c>
      <c r="BA469" t="s">
        <v>183</v>
      </c>
      <c r="BB469" t="s">
        <v>183</v>
      </c>
      <c r="BC469" t="s">
        <v>183</v>
      </c>
      <c r="BD469" t="s">
        <v>183</v>
      </c>
    </row>
    <row r="470" hidden="1" spans="1:56">
      <c r="A470">
        <v>469</v>
      </c>
      <c r="B470" t="s">
        <v>280</v>
      </c>
      <c r="C470">
        <v>2023</v>
      </c>
      <c r="D470">
        <v>2008</v>
      </c>
      <c r="E470">
        <v>2008</v>
      </c>
      <c r="F470" t="s">
        <v>275</v>
      </c>
      <c r="G470"/>
      <c r="H470" t="s">
        <v>247</v>
      </c>
      <c r="I470"/>
      <c r="J470" t="s">
        <v>265</v>
      </c>
      <c r="K470" t="b">
        <v>0</v>
      </c>
      <c r="L470" t="b">
        <v>0</v>
      </c>
      <c r="M470" t="b">
        <v>0</v>
      </c>
      <c r="N470" t="b">
        <v>0</v>
      </c>
      <c r="O470" t="b">
        <v>0</v>
      </c>
      <c r="P470" t="b">
        <v>0</v>
      </c>
      <c r="Q470" t="b">
        <v>0</v>
      </c>
      <c r="R470" t="b">
        <v>0</v>
      </c>
      <c r="S470" t="b">
        <v>0</v>
      </c>
      <c r="T470" t="b">
        <v>0</v>
      </c>
      <c r="U470" t="b">
        <v>0</v>
      </c>
      <c r="V470" t="b">
        <v>0</v>
      </c>
      <c r="W470" t="b">
        <v>0</v>
      </c>
      <c r="X470" t="b">
        <v>1</v>
      </c>
      <c r="Y470" t="b">
        <v>0</v>
      </c>
      <c r="Z470" t="b">
        <v>0</v>
      </c>
      <c r="AA470" t="b">
        <v>0</v>
      </c>
      <c r="AB470" t="b">
        <v>0</v>
      </c>
      <c r="AC470" t="s">
        <v>171</v>
      </c>
      <c r="AD470" t="s">
        <v>173</v>
      </c>
      <c r="AE470" t="s">
        <v>173</v>
      </c>
      <c r="AF470" t="s">
        <v>173</v>
      </c>
      <c r="AG470" t="s">
        <v>173</v>
      </c>
      <c r="AH470" t="s">
        <v>173</v>
      </c>
      <c r="AI470" t="s">
        <v>173</v>
      </c>
      <c r="AJ470" t="s">
        <v>173</v>
      </c>
      <c r="AK470" t="s">
        <v>173</v>
      </c>
      <c r="AL470" t="s">
        <v>173</v>
      </c>
      <c r="AM470" t="s">
        <v>173</v>
      </c>
      <c r="AN470" t="s">
        <v>173</v>
      </c>
      <c r="AO470" t="s">
        <v>171</v>
      </c>
      <c r="AP470" t="s">
        <v>171</v>
      </c>
      <c r="AQ470" t="s">
        <v>173</v>
      </c>
      <c r="AR470" t="s">
        <v>173</v>
      </c>
      <c r="AS470" t="s">
        <v>173</v>
      </c>
      <c r="AT470" t="s">
        <v>173</v>
      </c>
      <c r="AU470" t="s">
        <v>173</v>
      </c>
      <c r="AV470" t="s">
        <v>171</v>
      </c>
      <c r="AW470" t="s">
        <v>181</v>
      </c>
      <c r="AX470" t="s">
        <v>192</v>
      </c>
      <c r="AY470" t="s">
        <v>195</v>
      </c>
      <c r="AZ470" t="s">
        <v>183</v>
      </c>
      <c r="BA470" t="s">
        <v>183</v>
      </c>
      <c r="BB470" t="s">
        <v>183</v>
      </c>
      <c r="BC470" t="s">
        <v>183</v>
      </c>
      <c r="BD470" t="s">
        <v>183</v>
      </c>
    </row>
    <row r="471" hidden="1" spans="1:56">
      <c r="A471">
        <v>470</v>
      </c>
      <c r="B471" t="s">
        <v>282</v>
      </c>
      <c r="C471">
        <v>2023</v>
      </c>
      <c r="D471">
        <v>2019</v>
      </c>
      <c r="E471">
        <v>2022</v>
      </c>
      <c r="F471" t="s">
        <v>256</v>
      </c>
      <c r="G471" t="s">
        <v>257</v>
      </c>
      <c r="H471" t="s">
        <v>264</v>
      </c>
      <c r="I471"/>
      <c r="J471" t="s">
        <v>252</v>
      </c>
      <c r="K471" t="b">
        <v>0</v>
      </c>
      <c r="L471" t="b">
        <v>1</v>
      </c>
      <c r="M471" t="b">
        <v>0</v>
      </c>
      <c r="N471" t="b">
        <v>0</v>
      </c>
      <c r="O471" t="b">
        <v>0</v>
      </c>
      <c r="P471" t="b">
        <v>0</v>
      </c>
      <c r="Q471" t="b">
        <v>0</v>
      </c>
      <c r="R471" t="b">
        <v>0</v>
      </c>
      <c r="S471" t="b">
        <v>0</v>
      </c>
      <c r="T471" t="b">
        <v>0</v>
      </c>
      <c r="U471" t="b">
        <v>0</v>
      </c>
      <c r="V471" t="b">
        <v>0</v>
      </c>
      <c r="W471" t="b">
        <v>0</v>
      </c>
      <c r="X471" t="b">
        <v>0</v>
      </c>
      <c r="Y471" t="b">
        <v>0</v>
      </c>
      <c r="Z471" t="b">
        <v>1</v>
      </c>
      <c r="AA471" t="b">
        <v>0</v>
      </c>
      <c r="AB471" t="b">
        <v>0</v>
      </c>
      <c r="AC471" t="s">
        <v>173</v>
      </c>
      <c r="AD471" t="s">
        <v>173</v>
      </c>
      <c r="AE471" t="s">
        <v>175</v>
      </c>
      <c r="AF471" t="s">
        <v>173</v>
      </c>
      <c r="AG471" t="s">
        <v>173</v>
      </c>
      <c r="AH471" t="s">
        <v>175</v>
      </c>
      <c r="AI471" t="s">
        <v>173</v>
      </c>
      <c r="AJ471" t="s">
        <v>173</v>
      </c>
      <c r="AK471" t="s">
        <v>173</v>
      </c>
      <c r="AL471" t="s">
        <v>173</v>
      </c>
      <c r="AM471" t="s">
        <v>173</v>
      </c>
      <c r="AN471" t="s">
        <v>173</v>
      </c>
      <c r="AO471" t="s">
        <v>173</v>
      </c>
      <c r="AP471" t="s">
        <v>173</v>
      </c>
      <c r="AQ471" t="s">
        <v>173</v>
      </c>
      <c r="AR471" t="s">
        <v>173</v>
      </c>
      <c r="AS471" t="s">
        <v>173</v>
      </c>
      <c r="AT471" t="s">
        <v>173</v>
      </c>
      <c r="AU471" t="s">
        <v>173</v>
      </c>
      <c r="AV471" t="s">
        <v>175</v>
      </c>
      <c r="AW471" t="s">
        <v>173</v>
      </c>
      <c r="AX471" t="s">
        <v>192</v>
      </c>
      <c r="AY471" t="s">
        <v>202</v>
      </c>
      <c r="AZ471" t="s">
        <v>183</v>
      </c>
      <c r="BA471" t="s">
        <v>183</v>
      </c>
      <c r="BB471" t="s">
        <v>183</v>
      </c>
      <c r="BC471" t="s">
        <v>183</v>
      </c>
      <c r="BD471" t="s">
        <v>183</v>
      </c>
    </row>
    <row r="472" hidden="1" spans="1:56">
      <c r="A472">
        <v>471</v>
      </c>
      <c r="B472" t="s">
        <v>255</v>
      </c>
      <c r="C472">
        <v>2023</v>
      </c>
      <c r="D472">
        <v>1999</v>
      </c>
      <c r="E472">
        <v>2022</v>
      </c>
      <c r="F472" t="s">
        <v>256</v>
      </c>
      <c r="G472" t="s">
        <v>257</v>
      </c>
      <c r="H472" t="s">
        <v>268</v>
      </c>
      <c r="I472"/>
      <c r="J472" t="s">
        <v>252</v>
      </c>
      <c r="K472" t="b">
        <v>0</v>
      </c>
      <c r="L472" t="b">
        <v>0</v>
      </c>
      <c r="M472" t="b">
        <v>0</v>
      </c>
      <c r="N472" t="b">
        <v>0</v>
      </c>
      <c r="O472" t="b">
        <v>0</v>
      </c>
      <c r="P472" t="b">
        <v>0</v>
      </c>
      <c r="Q472" t="b">
        <v>0</v>
      </c>
      <c r="R472" t="b">
        <v>0</v>
      </c>
      <c r="S472" t="b">
        <v>0</v>
      </c>
      <c r="T472" t="b">
        <v>0</v>
      </c>
      <c r="U472" t="b">
        <v>0</v>
      </c>
      <c r="V472" t="b">
        <v>0</v>
      </c>
      <c r="W472" t="b">
        <v>0</v>
      </c>
      <c r="X472" t="b">
        <v>1</v>
      </c>
      <c r="Y472" t="b">
        <v>1</v>
      </c>
      <c r="Z472" t="b">
        <v>1</v>
      </c>
      <c r="AA472" t="b">
        <v>0</v>
      </c>
      <c r="AB472" t="b">
        <v>0</v>
      </c>
      <c r="AC472" t="s">
        <v>171</v>
      </c>
      <c r="AD472" t="s">
        <v>177</v>
      </c>
      <c r="AE472" t="s">
        <v>179</v>
      </c>
      <c r="AF472" t="s">
        <v>173</v>
      </c>
      <c r="AG472" t="s">
        <v>179</v>
      </c>
      <c r="AH472" t="s">
        <v>179</v>
      </c>
      <c r="AI472" t="s">
        <v>179</v>
      </c>
      <c r="AJ472" t="s">
        <v>179</v>
      </c>
      <c r="AK472" t="s">
        <v>173</v>
      </c>
      <c r="AL472" t="s">
        <v>173</v>
      </c>
      <c r="AM472" t="s">
        <v>171</v>
      </c>
      <c r="AN472" t="s">
        <v>173</v>
      </c>
      <c r="AO472" t="s">
        <v>171</v>
      </c>
      <c r="AQ472" t="s">
        <v>171</v>
      </c>
      <c r="AR472" t="s">
        <v>171</v>
      </c>
      <c r="AS472" t="s">
        <v>171</v>
      </c>
      <c r="AT472" t="s">
        <v>171</v>
      </c>
      <c r="AU472" t="s">
        <v>171</v>
      </c>
      <c r="AV472" t="s">
        <v>179</v>
      </c>
      <c r="AW472" t="s">
        <v>171</v>
      </c>
      <c r="AX472" t="s">
        <v>192</v>
      </c>
      <c r="AY472" t="s">
        <v>198</v>
      </c>
      <c r="AZ472" t="s">
        <v>183</v>
      </c>
      <c r="BA472" t="s">
        <v>183</v>
      </c>
      <c r="BB472" t="s">
        <v>183</v>
      </c>
      <c r="BC472" t="s">
        <v>208</v>
      </c>
      <c r="BD472" t="s">
        <v>183</v>
      </c>
    </row>
    <row r="473" hidden="1" spans="1:56">
      <c r="A473">
        <v>472</v>
      </c>
      <c r="B473" t="s">
        <v>255</v>
      </c>
      <c r="C473">
        <v>2023</v>
      </c>
      <c r="D473" t="s">
        <v>247</v>
      </c>
      <c r="E473" t="s">
        <v>247</v>
      </c>
      <c r="F473" t="s">
        <v>256</v>
      </c>
      <c r="G473" t="s">
        <v>263</v>
      </c>
      <c r="H473" t="s">
        <v>261</v>
      </c>
      <c r="I473"/>
      <c r="J473" t="s">
        <v>265</v>
      </c>
      <c r="K473" t="b">
        <v>0</v>
      </c>
      <c r="L473" t="b">
        <v>0</v>
      </c>
      <c r="M473" t="b">
        <v>1</v>
      </c>
      <c r="N473" t="b">
        <v>0</v>
      </c>
      <c r="O473" t="b">
        <v>0</v>
      </c>
      <c r="P473" t="b">
        <v>0</v>
      </c>
      <c r="Q473" t="b">
        <v>0</v>
      </c>
      <c r="R473" t="b">
        <v>0</v>
      </c>
      <c r="S473" t="b">
        <v>0</v>
      </c>
      <c r="T473" t="b">
        <v>0</v>
      </c>
      <c r="U473" t="b">
        <v>0</v>
      </c>
      <c r="V473" t="b">
        <v>0</v>
      </c>
      <c r="W473" t="b">
        <v>0</v>
      </c>
      <c r="X473" t="b">
        <v>0</v>
      </c>
      <c r="Y473" t="b">
        <v>0</v>
      </c>
      <c r="Z473" t="b">
        <v>0</v>
      </c>
      <c r="AA473" t="b">
        <v>1</v>
      </c>
      <c r="AB473" t="b">
        <v>0</v>
      </c>
      <c r="AC473" t="s">
        <v>173</v>
      </c>
      <c r="AD473" t="s">
        <v>181</v>
      </c>
      <c r="AE473" t="s">
        <v>181</v>
      </c>
      <c r="AF473" t="s">
        <v>179</v>
      </c>
      <c r="AG473" t="s">
        <v>173</v>
      </c>
      <c r="AH473" t="s">
        <v>181</v>
      </c>
      <c r="AI473" t="s">
        <v>179</v>
      </c>
      <c r="AJ473" t="s">
        <v>179</v>
      </c>
      <c r="AK473" t="s">
        <v>179</v>
      </c>
      <c r="AL473" t="s">
        <v>175</v>
      </c>
      <c r="AM473" t="s">
        <v>179</v>
      </c>
      <c r="AN473" t="s">
        <v>175</v>
      </c>
      <c r="AO473" t="s">
        <v>183</v>
      </c>
      <c r="AP473" t="s">
        <v>179</v>
      </c>
      <c r="AQ473" t="s">
        <v>183</v>
      </c>
      <c r="AR473" t="s">
        <v>179</v>
      </c>
      <c r="AS473" t="s">
        <v>179</v>
      </c>
      <c r="AT473" t="s">
        <v>179</v>
      </c>
      <c r="AU473" t="s">
        <v>179</v>
      </c>
      <c r="AV473" t="s">
        <v>181</v>
      </c>
      <c r="AW473" t="s">
        <v>179</v>
      </c>
      <c r="AX473" t="s">
        <v>192</v>
      </c>
      <c r="AY473" t="s">
        <v>196</v>
      </c>
      <c r="AZ473" t="s">
        <v>183</v>
      </c>
      <c r="BA473" t="s">
        <v>183</v>
      </c>
      <c r="BB473" t="s">
        <v>183</v>
      </c>
      <c r="BC473" t="s">
        <v>183</v>
      </c>
      <c r="BD473" t="s">
        <v>183</v>
      </c>
    </row>
    <row r="474" hidden="1" spans="1:56">
      <c r="A474">
        <v>473</v>
      </c>
      <c r="B474" t="s">
        <v>259</v>
      </c>
      <c r="C474">
        <v>2023</v>
      </c>
      <c r="D474">
        <v>1979</v>
      </c>
      <c r="E474">
        <v>2007</v>
      </c>
      <c r="F474" t="s">
        <v>260</v>
      </c>
      <c r="G474"/>
      <c r="H474" t="s">
        <v>268</v>
      </c>
      <c r="I474"/>
      <c r="J474" t="s">
        <v>252</v>
      </c>
      <c r="K474" t="b">
        <v>0</v>
      </c>
      <c r="L474" t="b">
        <v>0</v>
      </c>
      <c r="M474" t="b">
        <v>0</v>
      </c>
      <c r="N474" t="b">
        <v>1</v>
      </c>
      <c r="O474" t="b">
        <v>0</v>
      </c>
      <c r="P474" t="b">
        <v>0</v>
      </c>
      <c r="Q474" t="b">
        <v>0</v>
      </c>
      <c r="R474" t="b">
        <v>0</v>
      </c>
      <c r="S474" t="b">
        <v>0</v>
      </c>
      <c r="T474" t="b">
        <v>0</v>
      </c>
      <c r="U474" t="b">
        <v>0</v>
      </c>
      <c r="V474" t="b">
        <v>0</v>
      </c>
      <c r="W474" t="b">
        <v>0</v>
      </c>
      <c r="X474" t="b">
        <v>0</v>
      </c>
      <c r="Y474" t="b">
        <v>0</v>
      </c>
      <c r="Z474" t="b">
        <v>1</v>
      </c>
      <c r="AA474" t="b">
        <v>1</v>
      </c>
      <c r="AB474" t="b">
        <v>0</v>
      </c>
      <c r="AC474" t="s">
        <v>177</v>
      </c>
      <c r="AD474" t="s">
        <v>173</v>
      </c>
      <c r="AE474" t="s">
        <v>179</v>
      </c>
      <c r="AF474" t="s">
        <v>177</v>
      </c>
      <c r="AG474" t="s">
        <v>173</v>
      </c>
      <c r="AH474" t="s">
        <v>179</v>
      </c>
      <c r="AI474" t="s">
        <v>179</v>
      </c>
      <c r="AJ474" t="s">
        <v>179</v>
      </c>
      <c r="AK474" t="s">
        <v>177</v>
      </c>
      <c r="AL474" t="s">
        <v>173</v>
      </c>
      <c r="AM474" t="s">
        <v>171</v>
      </c>
      <c r="AN474" t="s">
        <v>173</v>
      </c>
      <c r="AO474" t="s">
        <v>179</v>
      </c>
      <c r="AP474" t="s">
        <v>179</v>
      </c>
      <c r="AQ474" t="s">
        <v>173</v>
      </c>
      <c r="AR474" t="s">
        <v>173</v>
      </c>
      <c r="AS474" t="s">
        <v>173</v>
      </c>
      <c r="AT474" t="s">
        <v>173</v>
      </c>
      <c r="AU474" t="s">
        <v>173</v>
      </c>
      <c r="AV474" t="s">
        <v>177</v>
      </c>
      <c r="AW474" t="s">
        <v>179</v>
      </c>
      <c r="AX474" t="s">
        <v>192</v>
      </c>
      <c r="AY474" t="s">
        <v>195</v>
      </c>
      <c r="AZ474" t="s">
        <v>183</v>
      </c>
      <c r="BA474" t="s">
        <v>183</v>
      </c>
      <c r="BB474" t="s">
        <v>183</v>
      </c>
      <c r="BC474" t="s">
        <v>183</v>
      </c>
      <c r="BD474" t="s">
        <v>183</v>
      </c>
    </row>
    <row r="475" hidden="1" spans="1:56">
      <c r="A475">
        <v>474</v>
      </c>
      <c r="B475" t="s">
        <v>255</v>
      </c>
      <c r="C475">
        <v>2023</v>
      </c>
      <c r="D475">
        <v>2006</v>
      </c>
      <c r="E475">
        <v>2006</v>
      </c>
      <c r="F475" t="s">
        <v>256</v>
      </c>
      <c r="G475" t="s">
        <v>257</v>
      </c>
      <c r="H475" t="s">
        <v>268</v>
      </c>
      <c r="I475"/>
      <c r="J475" t="s">
        <v>265</v>
      </c>
      <c r="K475" t="b">
        <v>0</v>
      </c>
      <c r="L475" t="b">
        <v>0</v>
      </c>
      <c r="M475" t="b">
        <v>0</v>
      </c>
      <c r="N475" t="b">
        <v>1</v>
      </c>
      <c r="O475" t="b">
        <v>1</v>
      </c>
      <c r="P475" t="b">
        <v>0</v>
      </c>
      <c r="Q475" t="b">
        <v>1</v>
      </c>
      <c r="R475" t="b">
        <v>0</v>
      </c>
      <c r="S475" t="b">
        <v>0</v>
      </c>
      <c r="T475" t="b">
        <v>0</v>
      </c>
      <c r="U475" t="b">
        <v>0</v>
      </c>
      <c r="V475" t="b">
        <v>0</v>
      </c>
      <c r="W475" t="b">
        <v>0</v>
      </c>
      <c r="X475" t="b">
        <v>0</v>
      </c>
      <c r="Y475" t="b">
        <v>0</v>
      </c>
      <c r="Z475" t="b">
        <v>1</v>
      </c>
      <c r="AA475" t="b">
        <v>0</v>
      </c>
      <c r="AB475" t="b">
        <v>0</v>
      </c>
      <c r="AC475" t="s">
        <v>175</v>
      </c>
      <c r="AD475" t="s">
        <v>175</v>
      </c>
      <c r="AE475" t="s">
        <v>179</v>
      </c>
      <c r="AF475" t="s">
        <v>175</v>
      </c>
      <c r="AG475" t="s">
        <v>173</v>
      </c>
      <c r="AH475" t="s">
        <v>177</v>
      </c>
      <c r="AI475" t="s">
        <v>175</v>
      </c>
      <c r="AJ475" t="s">
        <v>177</v>
      </c>
      <c r="AK475" t="s">
        <v>177</v>
      </c>
      <c r="AL475" t="s">
        <v>173</v>
      </c>
      <c r="AM475" t="s">
        <v>175</v>
      </c>
      <c r="AN475" t="s">
        <v>177</v>
      </c>
      <c r="AO475" t="s">
        <v>177</v>
      </c>
      <c r="AP475" t="s">
        <v>177</v>
      </c>
      <c r="AQ475" t="s">
        <v>175</v>
      </c>
      <c r="AR475" t="s">
        <v>175</v>
      </c>
      <c r="AS475" t="s">
        <v>175</v>
      </c>
      <c r="AT475" t="s">
        <v>175</v>
      </c>
      <c r="AU475" t="s">
        <v>179</v>
      </c>
      <c r="AV475" t="s">
        <v>179</v>
      </c>
      <c r="AW475" t="s">
        <v>175</v>
      </c>
      <c r="AX475" t="s">
        <v>192</v>
      </c>
      <c r="AY475" t="s">
        <v>197</v>
      </c>
      <c r="AZ475" t="s">
        <v>183</v>
      </c>
      <c r="BA475" t="s">
        <v>183</v>
      </c>
      <c r="BB475" t="s">
        <v>183</v>
      </c>
      <c r="BC475" t="s">
        <v>183</v>
      </c>
      <c r="BD475" t="s">
        <v>183</v>
      </c>
    </row>
    <row r="476" hidden="1" spans="1:56">
      <c r="A476">
        <v>475</v>
      </c>
      <c r="B476" t="s">
        <v>259</v>
      </c>
      <c r="C476">
        <v>2023</v>
      </c>
      <c r="D476">
        <v>2011</v>
      </c>
      <c r="E476">
        <v>2018</v>
      </c>
      <c r="F476" t="s">
        <v>266</v>
      </c>
      <c r="G476"/>
      <c r="H476" t="s">
        <v>264</v>
      </c>
      <c r="I476"/>
      <c r="J476" t="s">
        <v>265</v>
      </c>
      <c r="K476" t="b">
        <v>0</v>
      </c>
      <c r="L476" t="b">
        <v>0</v>
      </c>
      <c r="M476" t="b">
        <v>0</v>
      </c>
      <c r="N476" t="b">
        <v>0</v>
      </c>
      <c r="O476" t="b">
        <v>0</v>
      </c>
      <c r="P476" t="b">
        <v>0</v>
      </c>
      <c r="Q476" t="b">
        <v>0</v>
      </c>
      <c r="R476" t="b">
        <v>0</v>
      </c>
      <c r="S476" t="b">
        <v>1</v>
      </c>
      <c r="T476" t="b">
        <v>0</v>
      </c>
      <c r="U476" t="b">
        <v>0</v>
      </c>
      <c r="V476" t="b">
        <v>1</v>
      </c>
      <c r="W476" t="b">
        <v>0</v>
      </c>
      <c r="X476" t="b">
        <v>0</v>
      </c>
      <c r="Y476" t="b">
        <v>0</v>
      </c>
      <c r="Z476" t="b">
        <v>0</v>
      </c>
      <c r="AA476" t="b">
        <v>0</v>
      </c>
      <c r="AB476" t="b">
        <v>0</v>
      </c>
      <c r="AC476" t="s">
        <v>173</v>
      </c>
      <c r="AD476" t="s">
        <v>175</v>
      </c>
      <c r="AE476" t="s">
        <v>173</v>
      </c>
      <c r="AF476" t="s">
        <v>173</v>
      </c>
      <c r="AG476" t="s">
        <v>173</v>
      </c>
      <c r="AH476" t="s">
        <v>173</v>
      </c>
      <c r="AI476" t="s">
        <v>173</v>
      </c>
      <c r="AJ476" t="s">
        <v>173</v>
      </c>
      <c r="AK476" t="s">
        <v>173</v>
      </c>
      <c r="AL476" t="s">
        <v>173</v>
      </c>
      <c r="AM476" t="s">
        <v>173</v>
      </c>
      <c r="AN476" t="s">
        <v>175</v>
      </c>
      <c r="AO476" t="s">
        <v>175</v>
      </c>
      <c r="AP476" t="s">
        <v>173</v>
      </c>
      <c r="AQ476" t="s">
        <v>175</v>
      </c>
      <c r="AR476" t="s">
        <v>175</v>
      </c>
      <c r="AS476" t="s">
        <v>173</v>
      </c>
      <c r="AT476" t="s">
        <v>175</v>
      </c>
      <c r="AU476" t="s">
        <v>175</v>
      </c>
      <c r="AV476" t="s">
        <v>175</v>
      </c>
      <c r="AW476" t="s">
        <v>173</v>
      </c>
      <c r="AY476" t="s">
        <v>195</v>
      </c>
      <c r="AZ476" t="s">
        <v>183</v>
      </c>
      <c r="BA476" t="s">
        <v>183</v>
      </c>
      <c r="BB476" t="s">
        <v>183</v>
      </c>
      <c r="BC476" t="s">
        <v>183</v>
      </c>
      <c r="BD476" t="s">
        <v>183</v>
      </c>
    </row>
    <row r="477" hidden="1" spans="1:56">
      <c r="A477">
        <v>476</v>
      </c>
      <c r="B477" t="s">
        <v>280</v>
      </c>
      <c r="C477">
        <v>2023</v>
      </c>
      <c r="D477">
        <v>2014</v>
      </c>
      <c r="E477">
        <v>2014</v>
      </c>
      <c r="F477" t="s">
        <v>275</v>
      </c>
      <c r="G477"/>
      <c r="H477" t="s">
        <v>264</v>
      </c>
      <c r="I477"/>
      <c r="J477" t="s">
        <v>265</v>
      </c>
      <c r="K477" t="b">
        <v>0</v>
      </c>
      <c r="L477" t="b">
        <v>0</v>
      </c>
      <c r="M477" t="b">
        <v>0</v>
      </c>
      <c r="N477" t="b">
        <v>0</v>
      </c>
      <c r="O477" t="b">
        <v>0</v>
      </c>
      <c r="P477" t="b">
        <v>0</v>
      </c>
      <c r="Q477" t="b">
        <v>0</v>
      </c>
      <c r="R477" t="b">
        <v>0</v>
      </c>
      <c r="S477" t="b">
        <v>0</v>
      </c>
      <c r="T477" t="b">
        <v>0</v>
      </c>
      <c r="U477" t="b">
        <v>0</v>
      </c>
      <c r="V477" t="b">
        <v>0</v>
      </c>
      <c r="W477" t="b">
        <v>0</v>
      </c>
      <c r="X477" t="b">
        <v>1</v>
      </c>
      <c r="Y477" t="b">
        <v>0</v>
      </c>
      <c r="Z477" t="b">
        <v>0</v>
      </c>
      <c r="AA477" t="b">
        <v>0</v>
      </c>
      <c r="AB477" t="b">
        <v>0</v>
      </c>
      <c r="AC477" t="s">
        <v>173</v>
      </c>
      <c r="AD477" t="s">
        <v>175</v>
      </c>
      <c r="AE477" t="s">
        <v>173</v>
      </c>
      <c r="AF477" t="s">
        <v>173</v>
      </c>
      <c r="AG477" t="s">
        <v>173</v>
      </c>
      <c r="AH477" t="s">
        <v>173</v>
      </c>
      <c r="AI477" t="s">
        <v>173</v>
      </c>
      <c r="AJ477" t="s">
        <v>173</v>
      </c>
      <c r="AK477" t="s">
        <v>175</v>
      </c>
      <c r="AL477" t="s">
        <v>175</v>
      </c>
      <c r="AM477" t="s">
        <v>173</v>
      </c>
      <c r="AN477" t="s">
        <v>175</v>
      </c>
      <c r="AO477" t="s">
        <v>175</v>
      </c>
      <c r="AP477" t="s">
        <v>175</v>
      </c>
      <c r="AQ477" t="s">
        <v>175</v>
      </c>
      <c r="AR477" t="s">
        <v>173</v>
      </c>
      <c r="AS477" t="s">
        <v>173</v>
      </c>
      <c r="AT477" t="s">
        <v>175</v>
      </c>
      <c r="AU477" t="s">
        <v>175</v>
      </c>
      <c r="AV477" t="s">
        <v>181</v>
      </c>
      <c r="AW477" t="s">
        <v>173</v>
      </c>
      <c r="AX477" t="s">
        <v>192</v>
      </c>
      <c r="AY477" t="s">
        <v>195</v>
      </c>
      <c r="AZ477" t="s">
        <v>183</v>
      </c>
      <c r="BA477" t="s">
        <v>183</v>
      </c>
      <c r="BB477" t="s">
        <v>183</v>
      </c>
      <c r="BC477" t="s">
        <v>183</v>
      </c>
      <c r="BD477" t="s">
        <v>183</v>
      </c>
    </row>
    <row r="478" hidden="1" spans="1:56">
      <c r="A478">
        <v>477</v>
      </c>
      <c r="B478" t="s">
        <v>255</v>
      </c>
      <c r="C478">
        <v>2023</v>
      </c>
      <c r="D478">
        <v>2017</v>
      </c>
      <c r="E478">
        <v>2020</v>
      </c>
      <c r="F478" t="s">
        <v>256</v>
      </c>
      <c r="G478" t="s">
        <v>263</v>
      </c>
      <c r="H478" t="s">
        <v>274</v>
      </c>
      <c r="I478"/>
      <c r="J478" t="s">
        <v>313</v>
      </c>
      <c r="K478" t="b">
        <v>0</v>
      </c>
      <c r="L478" t="b">
        <v>0</v>
      </c>
      <c r="M478" t="b">
        <v>0</v>
      </c>
      <c r="N478" t="b">
        <v>0</v>
      </c>
      <c r="O478" t="b">
        <v>0</v>
      </c>
      <c r="P478" t="b">
        <v>0</v>
      </c>
      <c r="Q478" t="b">
        <v>0</v>
      </c>
      <c r="R478" t="b">
        <v>0</v>
      </c>
      <c r="S478" t="b">
        <v>0</v>
      </c>
      <c r="T478" t="b">
        <v>0</v>
      </c>
      <c r="U478" t="b">
        <v>0</v>
      </c>
      <c r="V478" t="b">
        <v>0</v>
      </c>
      <c r="W478" t="b">
        <v>0</v>
      </c>
      <c r="X478" t="b">
        <v>0</v>
      </c>
      <c r="Y478" t="b">
        <v>0</v>
      </c>
      <c r="Z478" t="b">
        <v>1</v>
      </c>
      <c r="AA478" t="b">
        <v>0</v>
      </c>
      <c r="AB478" t="b">
        <v>0</v>
      </c>
      <c r="AC478" t="s">
        <v>173</v>
      </c>
      <c r="AD478" t="s">
        <v>183</v>
      </c>
      <c r="AE478" t="s">
        <v>179</v>
      </c>
      <c r="AF478" t="s">
        <v>175</v>
      </c>
      <c r="AG478" t="s">
        <v>175</v>
      </c>
      <c r="AH478" t="s">
        <v>179</v>
      </c>
      <c r="AI478" t="s">
        <v>183</v>
      </c>
      <c r="AJ478" t="s">
        <v>179</v>
      </c>
      <c r="AK478" t="s">
        <v>183</v>
      </c>
      <c r="AL478" t="s">
        <v>179</v>
      </c>
      <c r="AM478" t="s">
        <v>183</v>
      </c>
      <c r="AN478" t="s">
        <v>183</v>
      </c>
      <c r="AO478" t="s">
        <v>183</v>
      </c>
      <c r="AP478" t="s">
        <v>175</v>
      </c>
      <c r="AQ478" t="s">
        <v>183</v>
      </c>
      <c r="AR478" t="s">
        <v>179</v>
      </c>
      <c r="AS478" t="s">
        <v>183</v>
      </c>
      <c r="AT478" t="s">
        <v>179</v>
      </c>
      <c r="AU478" t="s">
        <v>183</v>
      </c>
      <c r="AV478" t="s">
        <v>183</v>
      </c>
      <c r="AW478" t="s">
        <v>173</v>
      </c>
      <c r="AX478" t="s">
        <v>193</v>
      </c>
      <c r="AY478" t="s">
        <v>197</v>
      </c>
      <c r="AZ478" t="s">
        <v>183</v>
      </c>
      <c r="BA478" t="s">
        <v>183</v>
      </c>
      <c r="BB478" t="s">
        <v>183</v>
      </c>
      <c r="BC478" t="s">
        <v>183</v>
      </c>
      <c r="BD478" t="s">
        <v>208</v>
      </c>
    </row>
    <row r="479" hidden="1" spans="1:56">
      <c r="A479">
        <v>478</v>
      </c>
      <c r="B479" t="s">
        <v>272</v>
      </c>
      <c r="C479">
        <v>2023</v>
      </c>
      <c r="D479">
        <v>2013</v>
      </c>
      <c r="E479">
        <v>2013</v>
      </c>
      <c r="F479" t="s">
        <v>275</v>
      </c>
      <c r="G479"/>
      <c r="H479" t="s">
        <v>261</v>
      </c>
      <c r="I479"/>
      <c r="J479" t="s">
        <v>252</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1</v>
      </c>
      <c r="AC479" t="s">
        <v>173</v>
      </c>
      <c r="AD479" t="s">
        <v>175</v>
      </c>
      <c r="AE479" t="s">
        <v>173</v>
      </c>
      <c r="AF479" t="s">
        <v>173</v>
      </c>
      <c r="AG479" t="s">
        <v>173</v>
      </c>
      <c r="AH479" t="s">
        <v>173</v>
      </c>
      <c r="AI479" t="s">
        <v>173</v>
      </c>
      <c r="AJ479" t="s">
        <v>173</v>
      </c>
      <c r="AK479" t="s">
        <v>173</v>
      </c>
      <c r="AL479" t="s">
        <v>173</v>
      </c>
      <c r="AM479" t="s">
        <v>173</v>
      </c>
      <c r="AN479" t="s">
        <v>173</v>
      </c>
      <c r="AO479" t="s">
        <v>175</v>
      </c>
      <c r="AP479" t="s">
        <v>173</v>
      </c>
      <c r="AQ479" t="s">
        <v>175</v>
      </c>
      <c r="AR479" t="s">
        <v>173</v>
      </c>
      <c r="AS479" t="s">
        <v>173</v>
      </c>
      <c r="AT479" t="s">
        <v>173</v>
      </c>
      <c r="AU479" t="s">
        <v>173</v>
      </c>
      <c r="AV479" t="s">
        <v>175</v>
      </c>
      <c r="AW479" t="s">
        <v>173</v>
      </c>
      <c r="AX479" t="s">
        <v>193</v>
      </c>
      <c r="AY479" t="s">
        <v>198</v>
      </c>
      <c r="AZ479" t="s">
        <v>183</v>
      </c>
      <c r="BA479" t="s">
        <v>183</v>
      </c>
      <c r="BB479" t="s">
        <v>183</v>
      </c>
      <c r="BC479" t="s">
        <v>183</v>
      </c>
      <c r="BD479" t="s">
        <v>183</v>
      </c>
    </row>
    <row r="480" hidden="1" spans="1:56">
      <c r="A480">
        <v>479</v>
      </c>
      <c r="B480" t="s">
        <v>255</v>
      </c>
      <c r="C480">
        <v>2023</v>
      </c>
      <c r="D480">
        <v>2009</v>
      </c>
      <c r="E480" t="s">
        <v>247</v>
      </c>
      <c r="F480" t="s">
        <v>256</v>
      </c>
      <c r="G480" t="s">
        <v>257</v>
      </c>
      <c r="H480" t="s">
        <v>264</v>
      </c>
      <c r="I480"/>
      <c r="J480" t="s">
        <v>265</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1</v>
      </c>
      <c r="AC480" t="s">
        <v>171</v>
      </c>
      <c r="AD480" t="s">
        <v>171</v>
      </c>
      <c r="AE480" t="s">
        <v>171</v>
      </c>
      <c r="AF480" t="s">
        <v>171</v>
      </c>
      <c r="AG480" t="s">
        <v>171</v>
      </c>
      <c r="AH480" t="s">
        <v>171</v>
      </c>
      <c r="AI480" t="s">
        <v>171</v>
      </c>
      <c r="AJ480" t="s">
        <v>171</v>
      </c>
      <c r="AK480" t="s">
        <v>171</v>
      </c>
      <c r="AL480" t="s">
        <v>171</v>
      </c>
      <c r="AM480" t="s">
        <v>171</v>
      </c>
      <c r="AN480" t="s">
        <v>171</v>
      </c>
      <c r="AO480" t="s">
        <v>171</v>
      </c>
      <c r="AP480" t="s">
        <v>171</v>
      </c>
      <c r="AQ480" t="s">
        <v>171</v>
      </c>
      <c r="AR480" t="s">
        <v>171</v>
      </c>
      <c r="AS480" t="s">
        <v>171</v>
      </c>
      <c r="AT480" t="s">
        <v>171</v>
      </c>
      <c r="AU480" t="s">
        <v>173</v>
      </c>
      <c r="AV480" t="s">
        <v>171</v>
      </c>
      <c r="AW480" t="s">
        <v>171</v>
      </c>
      <c r="AX480" t="s">
        <v>192</v>
      </c>
      <c r="AY480" t="s">
        <v>197</v>
      </c>
      <c r="AZ480" t="s">
        <v>183</v>
      </c>
      <c r="BA480" t="s">
        <v>183</v>
      </c>
      <c r="BB480" t="s">
        <v>183</v>
      </c>
      <c r="BC480" t="s">
        <v>183</v>
      </c>
      <c r="BD480" t="s">
        <v>183</v>
      </c>
    </row>
    <row r="481" hidden="1" spans="1:56">
      <c r="A481">
        <v>480</v>
      </c>
      <c r="B481" t="s">
        <v>255</v>
      </c>
      <c r="C481">
        <v>2023</v>
      </c>
      <c r="D481">
        <v>2022</v>
      </c>
      <c r="E481">
        <v>2022</v>
      </c>
      <c r="F481" t="s">
        <v>256</v>
      </c>
      <c r="G481" t="s">
        <v>257</v>
      </c>
      <c r="H481" t="s">
        <v>274</v>
      </c>
      <c r="I481"/>
      <c r="J481" t="s">
        <v>265</v>
      </c>
      <c r="K481" t="b">
        <v>0</v>
      </c>
      <c r="L481" t="b">
        <v>0</v>
      </c>
      <c r="M481" t="b">
        <v>0</v>
      </c>
      <c r="N481" t="b">
        <v>0</v>
      </c>
      <c r="O481" t="b">
        <v>0</v>
      </c>
      <c r="P481" t="b">
        <v>0</v>
      </c>
      <c r="Q481" t="b">
        <v>0</v>
      </c>
      <c r="R481" t="b">
        <v>0</v>
      </c>
      <c r="S481" t="b">
        <v>0</v>
      </c>
      <c r="T481" t="b">
        <v>0</v>
      </c>
      <c r="U481" t="b">
        <v>1</v>
      </c>
      <c r="V481" t="b">
        <v>0</v>
      </c>
      <c r="W481" t="b">
        <v>0</v>
      </c>
      <c r="X481" t="b">
        <v>0</v>
      </c>
      <c r="Y481" t="b">
        <v>0</v>
      </c>
      <c r="Z481" t="b">
        <v>1</v>
      </c>
      <c r="AA481" t="b">
        <v>0</v>
      </c>
      <c r="AB481" t="b">
        <v>0</v>
      </c>
      <c r="AC481" t="s">
        <v>175</v>
      </c>
      <c r="AD481" t="s">
        <v>175</v>
      </c>
      <c r="AE481" t="s">
        <v>171</v>
      </c>
      <c r="AF481" t="s">
        <v>175</v>
      </c>
      <c r="AG481" t="s">
        <v>171</v>
      </c>
      <c r="AH481" t="s">
        <v>175</v>
      </c>
      <c r="AI481" t="s">
        <v>175</v>
      </c>
      <c r="AJ481" t="s">
        <v>171</v>
      </c>
      <c r="AK481" t="s">
        <v>171</v>
      </c>
      <c r="AL481" t="s">
        <v>175</v>
      </c>
      <c r="AM481" t="s">
        <v>175</v>
      </c>
      <c r="AN481" t="s">
        <v>183</v>
      </c>
      <c r="AO481" t="s">
        <v>183</v>
      </c>
      <c r="AP481" t="s">
        <v>183</v>
      </c>
      <c r="AQ481" t="s">
        <v>183</v>
      </c>
      <c r="AR481" t="s">
        <v>171</v>
      </c>
      <c r="AS481" t="s">
        <v>171</v>
      </c>
      <c r="AT481" t="s">
        <v>171</v>
      </c>
      <c r="AU481" t="s">
        <v>171</v>
      </c>
      <c r="AV481" t="s">
        <v>183</v>
      </c>
      <c r="AW481" t="s">
        <v>183</v>
      </c>
      <c r="AX481" t="s">
        <v>192</v>
      </c>
      <c r="AY481" t="s">
        <v>200</v>
      </c>
      <c r="AZ481" t="s">
        <v>208</v>
      </c>
      <c r="BA481" t="s">
        <v>183</v>
      </c>
      <c r="BB481" t="s">
        <v>183</v>
      </c>
      <c r="BC481" t="s">
        <v>183</v>
      </c>
      <c r="BD481" t="s">
        <v>183</v>
      </c>
    </row>
    <row r="482" hidden="1" spans="1:56">
      <c r="A482">
        <v>481</v>
      </c>
      <c r="B482" t="s">
        <v>259</v>
      </c>
      <c r="C482">
        <v>2023</v>
      </c>
      <c r="D482">
        <v>1985</v>
      </c>
      <c r="E482">
        <v>1985</v>
      </c>
      <c r="F482" t="s">
        <v>266</v>
      </c>
      <c r="G482"/>
      <c r="H482" t="s">
        <v>261</v>
      </c>
      <c r="I482"/>
      <c r="J482" t="s">
        <v>265</v>
      </c>
      <c r="K482" t="b">
        <v>0</v>
      </c>
      <c r="L482" t="b">
        <v>0</v>
      </c>
      <c r="M482" t="b">
        <v>0</v>
      </c>
      <c r="N482" t="b">
        <v>0</v>
      </c>
      <c r="O482" t="b">
        <v>0</v>
      </c>
      <c r="P482" t="b">
        <v>0</v>
      </c>
      <c r="Q482" t="b">
        <v>0</v>
      </c>
      <c r="R482" t="b">
        <v>0</v>
      </c>
      <c r="S482" t="b">
        <v>0</v>
      </c>
      <c r="T482" t="b">
        <v>0</v>
      </c>
      <c r="U482" t="b">
        <v>0</v>
      </c>
      <c r="V482" t="b">
        <v>1</v>
      </c>
      <c r="W482" t="b">
        <v>0</v>
      </c>
      <c r="X482" t="b">
        <v>0</v>
      </c>
      <c r="Y482" t="b">
        <v>0</v>
      </c>
      <c r="Z482" t="b">
        <v>0</v>
      </c>
      <c r="AA482" t="b">
        <v>0</v>
      </c>
      <c r="AB482" t="b">
        <v>0</v>
      </c>
      <c r="AC482" t="s">
        <v>171</v>
      </c>
      <c r="AD482" t="s">
        <v>171</v>
      </c>
      <c r="AE482" t="s">
        <v>173</v>
      </c>
      <c r="AF482" t="s">
        <v>173</v>
      </c>
      <c r="AG482" t="s">
        <v>173</v>
      </c>
      <c r="AH482" t="s">
        <v>173</v>
      </c>
      <c r="AI482" t="s">
        <v>173</v>
      </c>
      <c r="AJ482" t="s">
        <v>173</v>
      </c>
      <c r="AK482" t="s">
        <v>173</v>
      </c>
      <c r="AL482" t="s">
        <v>173</v>
      </c>
      <c r="AM482" t="s">
        <v>173</v>
      </c>
      <c r="AN482" t="s">
        <v>173</v>
      </c>
      <c r="AO482" t="s">
        <v>171</v>
      </c>
      <c r="AP482" t="s">
        <v>171</v>
      </c>
      <c r="AQ482" t="s">
        <v>171</v>
      </c>
      <c r="AR482" t="s">
        <v>173</v>
      </c>
      <c r="AS482" t="s">
        <v>175</v>
      </c>
      <c r="AT482" t="s">
        <v>175</v>
      </c>
      <c r="AU482" t="s">
        <v>175</v>
      </c>
      <c r="AV482" t="s">
        <v>173</v>
      </c>
      <c r="AW482" t="s">
        <v>173</v>
      </c>
      <c r="AX482" t="s">
        <v>192</v>
      </c>
      <c r="AY482" t="s">
        <v>195</v>
      </c>
      <c r="AZ482" t="s">
        <v>183</v>
      </c>
      <c r="BA482" t="s">
        <v>183</v>
      </c>
      <c r="BB482" t="s">
        <v>183</v>
      </c>
      <c r="BC482" t="s">
        <v>183</v>
      </c>
      <c r="BD482" t="s">
        <v>183</v>
      </c>
    </row>
    <row r="483" hidden="1" spans="1:56">
      <c r="A483">
        <v>482</v>
      </c>
      <c r="B483" t="s">
        <v>255</v>
      </c>
      <c r="C483">
        <v>2022</v>
      </c>
      <c r="D483">
        <v>1999</v>
      </c>
      <c r="E483">
        <v>1999</v>
      </c>
      <c r="F483" t="s">
        <v>266</v>
      </c>
      <c r="G483"/>
      <c r="H483" t="s">
        <v>258</v>
      </c>
      <c r="I483"/>
      <c r="J483" t="s">
        <v>265</v>
      </c>
      <c r="K483" t="b">
        <v>0</v>
      </c>
      <c r="L483" t="b">
        <v>0</v>
      </c>
      <c r="M483" t="b">
        <v>0</v>
      </c>
      <c r="N483" t="b">
        <v>0</v>
      </c>
      <c r="O483" t="b">
        <v>0</v>
      </c>
      <c r="P483" t="b">
        <v>0</v>
      </c>
      <c r="Q483" t="b">
        <v>0</v>
      </c>
      <c r="R483" t="b">
        <v>0</v>
      </c>
      <c r="S483" t="b">
        <v>0</v>
      </c>
      <c r="T483" t="b">
        <v>0</v>
      </c>
      <c r="U483" t="b">
        <v>0</v>
      </c>
      <c r="V483" t="b">
        <v>0</v>
      </c>
      <c r="W483" t="b">
        <v>0</v>
      </c>
      <c r="X483" t="b">
        <v>0</v>
      </c>
      <c r="Y483" t="b">
        <v>0</v>
      </c>
      <c r="Z483" t="b">
        <v>1</v>
      </c>
      <c r="AA483" t="b">
        <v>0</v>
      </c>
      <c r="AB483" t="b">
        <v>0</v>
      </c>
      <c r="AC483" t="s">
        <v>171</v>
      </c>
      <c r="AD483" t="s">
        <v>175</v>
      </c>
      <c r="AE483" t="s">
        <v>175</v>
      </c>
      <c r="AF483" t="s">
        <v>175</v>
      </c>
      <c r="AG483" t="s">
        <v>173</v>
      </c>
      <c r="AH483" t="s">
        <v>175</v>
      </c>
      <c r="AI483" t="s">
        <v>175</v>
      </c>
      <c r="AJ483" t="s">
        <v>175</v>
      </c>
      <c r="AK483" t="s">
        <v>175</v>
      </c>
      <c r="AL483" t="s">
        <v>175</v>
      </c>
      <c r="AM483" t="s">
        <v>175</v>
      </c>
      <c r="AN483" t="s">
        <v>173</v>
      </c>
      <c r="AO483" t="s">
        <v>175</v>
      </c>
      <c r="AP483" t="s">
        <v>173</v>
      </c>
      <c r="AQ483" t="s">
        <v>173</v>
      </c>
      <c r="AR483" t="s">
        <v>175</v>
      </c>
      <c r="AS483" t="s">
        <v>173</v>
      </c>
      <c r="AT483" t="s">
        <v>173</v>
      </c>
      <c r="AU483" t="s">
        <v>173</v>
      </c>
      <c r="AV483" t="s">
        <v>175</v>
      </c>
      <c r="AW483" t="s">
        <v>175</v>
      </c>
      <c r="AX483" t="s">
        <v>193</v>
      </c>
      <c r="AY483" t="s">
        <v>199</v>
      </c>
      <c r="AZ483" t="s">
        <v>183</v>
      </c>
      <c r="BA483" t="s">
        <v>183</v>
      </c>
      <c r="BB483" t="s">
        <v>183</v>
      </c>
      <c r="BC483" t="s">
        <v>183</v>
      </c>
      <c r="BD483" t="s">
        <v>183</v>
      </c>
    </row>
    <row r="484" hidden="1" spans="1:56">
      <c r="A484">
        <v>483</v>
      </c>
      <c r="B484" t="s">
        <v>259</v>
      </c>
      <c r="C484">
        <v>2023</v>
      </c>
      <c r="D484">
        <v>2008</v>
      </c>
      <c r="E484">
        <v>2017</v>
      </c>
      <c r="F484" t="s">
        <v>266</v>
      </c>
      <c r="G484"/>
      <c r="H484" t="s">
        <v>261</v>
      </c>
      <c r="I484"/>
      <c r="J484" t="s">
        <v>265</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1</v>
      </c>
      <c r="AC484" t="s">
        <v>173</v>
      </c>
      <c r="AD484" t="s">
        <v>175</v>
      </c>
      <c r="AE484" t="s">
        <v>173</v>
      </c>
      <c r="AF484" t="s">
        <v>175</v>
      </c>
      <c r="AG484" t="s">
        <v>175</v>
      </c>
      <c r="AH484" t="s">
        <v>173</v>
      </c>
      <c r="AI484" t="s">
        <v>171</v>
      </c>
      <c r="AJ484" t="s">
        <v>173</v>
      </c>
      <c r="AK484" t="s">
        <v>173</v>
      </c>
      <c r="AL484" t="s">
        <v>171</v>
      </c>
      <c r="AM484" t="s">
        <v>171</v>
      </c>
      <c r="AN484" t="s">
        <v>173</v>
      </c>
      <c r="AO484" t="s">
        <v>183</v>
      </c>
      <c r="AP484" t="s">
        <v>171</v>
      </c>
      <c r="AQ484" t="s">
        <v>171</v>
      </c>
      <c r="AR484" t="s">
        <v>175</v>
      </c>
      <c r="AS484" t="s">
        <v>173</v>
      </c>
      <c r="AT484" t="s">
        <v>171</v>
      </c>
      <c r="AU484" t="s">
        <v>173</v>
      </c>
      <c r="AV484" t="s">
        <v>183</v>
      </c>
      <c r="AW484" t="s">
        <v>173</v>
      </c>
      <c r="AX484" t="s">
        <v>192</v>
      </c>
      <c r="AY484" t="s">
        <v>196</v>
      </c>
      <c r="AZ484" t="s">
        <v>183</v>
      </c>
      <c r="BA484" t="s">
        <v>183</v>
      </c>
      <c r="BB484" t="s">
        <v>183</v>
      </c>
      <c r="BC484" t="s">
        <v>183</v>
      </c>
      <c r="BD484" t="s">
        <v>183</v>
      </c>
    </row>
    <row r="485" hidden="1" spans="1:56">
      <c r="A485">
        <v>484</v>
      </c>
      <c r="B485" t="s">
        <v>259</v>
      </c>
      <c r="C485">
        <v>2023</v>
      </c>
      <c r="D485">
        <v>1984</v>
      </c>
      <c r="E485">
        <v>2018</v>
      </c>
      <c r="F485" t="s">
        <v>260</v>
      </c>
      <c r="G485"/>
      <c r="H485" t="s">
        <v>273</v>
      </c>
      <c r="I485"/>
      <c r="J485" t="s">
        <v>265</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1</v>
      </c>
      <c r="AB485" t="b">
        <v>1</v>
      </c>
      <c r="AC485" t="s">
        <v>173</v>
      </c>
      <c r="AD485" t="s">
        <v>173</v>
      </c>
      <c r="AE485" t="s">
        <v>173</v>
      </c>
      <c r="AF485" t="s">
        <v>173</v>
      </c>
      <c r="AG485" t="s">
        <v>177</v>
      </c>
      <c r="AH485" t="s">
        <v>173</v>
      </c>
      <c r="AI485" t="s">
        <v>173</v>
      </c>
      <c r="AJ485" t="s">
        <v>173</v>
      </c>
      <c r="AK485" t="s">
        <v>171</v>
      </c>
      <c r="AL485" t="s">
        <v>171</v>
      </c>
      <c r="AM485" t="s">
        <v>171</v>
      </c>
      <c r="AN485" t="s">
        <v>171</v>
      </c>
      <c r="AO485" t="s">
        <v>177</v>
      </c>
      <c r="AP485" t="s">
        <v>177</v>
      </c>
      <c r="AQ485" t="s">
        <v>175</v>
      </c>
      <c r="AR485" t="s">
        <v>173</v>
      </c>
      <c r="AS485" t="s">
        <v>173</v>
      </c>
      <c r="AT485" t="s">
        <v>173</v>
      </c>
      <c r="AU485" t="s">
        <v>177</v>
      </c>
      <c r="AV485" t="s">
        <v>173</v>
      </c>
      <c r="AW485" t="s">
        <v>173</v>
      </c>
      <c r="AX485" t="s">
        <v>192</v>
      </c>
      <c r="AY485" t="s">
        <v>195</v>
      </c>
      <c r="AZ485" t="s">
        <v>183</v>
      </c>
      <c r="BA485" t="s">
        <v>183</v>
      </c>
      <c r="BB485" t="s">
        <v>183</v>
      </c>
      <c r="BC485" t="s">
        <v>183</v>
      </c>
      <c r="BD485" t="s">
        <v>183</v>
      </c>
    </row>
    <row r="486" hidden="1" spans="1:56">
      <c r="A486">
        <v>485</v>
      </c>
      <c r="B486" t="s">
        <v>259</v>
      </c>
      <c r="C486">
        <v>2023</v>
      </c>
      <c r="D486">
        <v>1997</v>
      </c>
      <c r="E486">
        <v>1997</v>
      </c>
      <c r="F486" t="s">
        <v>262</v>
      </c>
      <c r="G486"/>
      <c r="H486" t="s">
        <v>268</v>
      </c>
      <c r="I486"/>
      <c r="J486" t="s">
        <v>265</v>
      </c>
      <c r="K486" t="b">
        <v>0</v>
      </c>
      <c r="L486" t="b">
        <v>0</v>
      </c>
      <c r="M486" t="b">
        <v>0</v>
      </c>
      <c r="N486" t="b">
        <v>0</v>
      </c>
      <c r="O486" t="b">
        <v>0</v>
      </c>
      <c r="P486" t="b">
        <v>0</v>
      </c>
      <c r="Q486" t="b">
        <v>0</v>
      </c>
      <c r="R486" t="b">
        <v>0</v>
      </c>
      <c r="S486" t="b">
        <v>0</v>
      </c>
      <c r="T486" t="b">
        <v>0</v>
      </c>
      <c r="U486" t="b">
        <v>0</v>
      </c>
      <c r="V486" t="b">
        <v>0</v>
      </c>
      <c r="W486" t="b">
        <v>0</v>
      </c>
      <c r="X486" t="b">
        <v>0</v>
      </c>
      <c r="Y486" t="b">
        <v>0</v>
      </c>
      <c r="Z486" t="b">
        <v>1</v>
      </c>
      <c r="AA486" t="b">
        <v>0</v>
      </c>
      <c r="AB486" t="b">
        <v>0</v>
      </c>
      <c r="AC486" t="s">
        <v>171</v>
      </c>
      <c r="AD486" t="s">
        <v>175</v>
      </c>
      <c r="AE486" t="s">
        <v>175</v>
      </c>
      <c r="AF486" t="s">
        <v>175</v>
      </c>
      <c r="AG486" t="s">
        <v>179</v>
      </c>
      <c r="AH486" t="s">
        <v>175</v>
      </c>
      <c r="AI486" t="s">
        <v>175</v>
      </c>
      <c r="AJ486" t="s">
        <v>175</v>
      </c>
      <c r="AK486" t="s">
        <v>173</v>
      </c>
      <c r="AL486" t="s">
        <v>173</v>
      </c>
      <c r="AM486" t="s">
        <v>177</v>
      </c>
      <c r="AN486" t="s">
        <v>173</v>
      </c>
      <c r="AO486" t="s">
        <v>177</v>
      </c>
      <c r="AP486" t="s">
        <v>177</v>
      </c>
      <c r="AQ486" t="s">
        <v>175</v>
      </c>
      <c r="AR486" t="s">
        <v>177</v>
      </c>
      <c r="AS486" t="s">
        <v>173</v>
      </c>
      <c r="AT486" t="s">
        <v>175</v>
      </c>
      <c r="AU486" t="s">
        <v>177</v>
      </c>
      <c r="AV486" t="s">
        <v>179</v>
      </c>
      <c r="AW486" t="s">
        <v>173</v>
      </c>
      <c r="AX486" t="s">
        <v>192</v>
      </c>
      <c r="AY486" t="s">
        <v>195</v>
      </c>
      <c r="AZ486" t="s">
        <v>183</v>
      </c>
      <c r="BA486" t="s">
        <v>183</v>
      </c>
      <c r="BB486" t="s">
        <v>183</v>
      </c>
      <c r="BC486" t="s">
        <v>183</v>
      </c>
      <c r="BD486" t="s">
        <v>183</v>
      </c>
    </row>
    <row r="487" hidden="1" spans="1:56">
      <c r="A487">
        <v>486</v>
      </c>
      <c r="B487" t="s">
        <v>272</v>
      </c>
      <c r="C487">
        <v>2022</v>
      </c>
      <c r="D487">
        <v>2014</v>
      </c>
      <c r="E487">
        <v>2019</v>
      </c>
      <c r="F487" t="s">
        <v>266</v>
      </c>
      <c r="G487"/>
      <c r="H487" t="s">
        <v>261</v>
      </c>
      <c r="I487"/>
      <c r="J487" t="s">
        <v>265</v>
      </c>
      <c r="K487" t="b">
        <v>0</v>
      </c>
      <c r="L487" t="b">
        <v>0</v>
      </c>
      <c r="M487" t="b">
        <v>0</v>
      </c>
      <c r="N487" t="b">
        <v>0</v>
      </c>
      <c r="O487" t="b">
        <v>0</v>
      </c>
      <c r="P487" t="b">
        <v>0</v>
      </c>
      <c r="Q487" t="b">
        <v>0</v>
      </c>
      <c r="R487" t="b">
        <v>0</v>
      </c>
      <c r="S487" t="b">
        <v>0</v>
      </c>
      <c r="T487" t="b">
        <v>0</v>
      </c>
      <c r="U487" t="b">
        <v>0</v>
      </c>
      <c r="V487" t="b">
        <v>1</v>
      </c>
      <c r="W487" t="b">
        <v>0</v>
      </c>
      <c r="X487" t="b">
        <v>0</v>
      </c>
      <c r="Y487" t="b">
        <v>0</v>
      </c>
      <c r="Z487" t="b">
        <v>0</v>
      </c>
      <c r="AA487" t="b">
        <v>0</v>
      </c>
      <c r="AB487" t="b">
        <v>0</v>
      </c>
      <c r="AC487" t="s">
        <v>171</v>
      </c>
      <c r="AD487" t="s">
        <v>175</v>
      </c>
      <c r="AE487" t="s">
        <v>177</v>
      </c>
      <c r="AF487" t="s">
        <v>173</v>
      </c>
      <c r="AG487" t="s">
        <v>173</v>
      </c>
      <c r="AH487" t="s">
        <v>173</v>
      </c>
      <c r="AI487" t="s">
        <v>173</v>
      </c>
      <c r="AJ487" t="s">
        <v>175</v>
      </c>
      <c r="AK487" t="s">
        <v>173</v>
      </c>
      <c r="AL487" t="s">
        <v>173</v>
      </c>
      <c r="AM487" t="s">
        <v>171</v>
      </c>
      <c r="AN487" t="s">
        <v>173</v>
      </c>
      <c r="AO487" t="s">
        <v>173</v>
      </c>
      <c r="AP487" t="s">
        <v>173</v>
      </c>
      <c r="AQ487" t="s">
        <v>173</v>
      </c>
      <c r="AR487" t="s">
        <v>175</v>
      </c>
      <c r="AS487" t="s">
        <v>173</v>
      </c>
      <c r="AT487" t="s">
        <v>173</v>
      </c>
      <c r="AU487" t="s">
        <v>173</v>
      </c>
      <c r="AV487" t="s">
        <v>175</v>
      </c>
      <c r="AW487" t="s">
        <v>173</v>
      </c>
      <c r="AX487" t="s">
        <v>192</v>
      </c>
      <c r="AY487" t="s">
        <v>198</v>
      </c>
      <c r="AZ487" t="s">
        <v>183</v>
      </c>
      <c r="BA487" t="s">
        <v>183</v>
      </c>
      <c r="BB487" t="s">
        <v>183</v>
      </c>
      <c r="BC487" t="s">
        <v>183</v>
      </c>
      <c r="BD487" t="s">
        <v>183</v>
      </c>
    </row>
    <row r="488" hidden="1" spans="1:56">
      <c r="A488">
        <v>487</v>
      </c>
      <c r="B488" t="s">
        <v>255</v>
      </c>
      <c r="C488">
        <v>2023</v>
      </c>
      <c r="D488">
        <v>2002</v>
      </c>
      <c r="E488">
        <v>2002</v>
      </c>
      <c r="F488" t="s">
        <v>256</v>
      </c>
      <c r="G488" t="s">
        <v>257</v>
      </c>
      <c r="H488" t="s">
        <v>264</v>
      </c>
      <c r="I488"/>
      <c r="J488" t="s">
        <v>265</v>
      </c>
      <c r="K488" t="b">
        <v>0</v>
      </c>
      <c r="L488" t="b">
        <v>0</v>
      </c>
      <c r="M488" t="b">
        <v>0</v>
      </c>
      <c r="N488" t="b">
        <v>0</v>
      </c>
      <c r="O488" t="b">
        <v>0</v>
      </c>
      <c r="P488" t="b">
        <v>0</v>
      </c>
      <c r="Q488" t="b">
        <v>0</v>
      </c>
      <c r="R488" t="b">
        <v>0</v>
      </c>
      <c r="S488" t="b">
        <v>0</v>
      </c>
      <c r="T488" t="b">
        <v>0</v>
      </c>
      <c r="U488" t="b">
        <v>1</v>
      </c>
      <c r="V488" t="b">
        <v>0</v>
      </c>
      <c r="W488" t="b">
        <v>0</v>
      </c>
      <c r="X488" t="b">
        <v>0</v>
      </c>
      <c r="Y488" t="b">
        <v>0</v>
      </c>
      <c r="Z488" t="b">
        <v>0</v>
      </c>
      <c r="AA488" t="b">
        <v>0</v>
      </c>
      <c r="AB488" t="b">
        <v>0</v>
      </c>
      <c r="AC488" t="s">
        <v>173</v>
      </c>
      <c r="AD488" t="s">
        <v>173</v>
      </c>
      <c r="AE488" t="s">
        <v>173</v>
      </c>
      <c r="AF488" t="s">
        <v>173</v>
      </c>
      <c r="AG488" t="s">
        <v>173</v>
      </c>
      <c r="AH488" t="s">
        <v>177</v>
      </c>
      <c r="AI488" t="s">
        <v>173</v>
      </c>
      <c r="AJ488" t="s">
        <v>173</v>
      </c>
      <c r="AK488" t="s">
        <v>173</v>
      </c>
      <c r="AL488" t="s">
        <v>173</v>
      </c>
      <c r="AM488" t="s">
        <v>173</v>
      </c>
      <c r="AN488" t="s">
        <v>173</v>
      </c>
      <c r="AO488" t="s">
        <v>183</v>
      </c>
      <c r="AP488" t="s">
        <v>183</v>
      </c>
      <c r="AQ488" t="s">
        <v>183</v>
      </c>
      <c r="AR488" t="s">
        <v>173</v>
      </c>
      <c r="AS488" t="s">
        <v>173</v>
      </c>
      <c r="AT488" t="s">
        <v>173</v>
      </c>
      <c r="AU488" t="s">
        <v>173</v>
      </c>
      <c r="AV488" t="s">
        <v>173</v>
      </c>
      <c r="AW488" t="s">
        <v>173</v>
      </c>
      <c r="AX488" t="s">
        <v>192</v>
      </c>
      <c r="AY488" t="s">
        <v>199</v>
      </c>
      <c r="AZ488" t="s">
        <v>183</v>
      </c>
      <c r="BA488" t="s">
        <v>183</v>
      </c>
      <c r="BB488" t="s">
        <v>183</v>
      </c>
      <c r="BC488" t="s">
        <v>183</v>
      </c>
      <c r="BD488" t="s">
        <v>183</v>
      </c>
    </row>
    <row r="489" hidden="1" spans="1:56">
      <c r="A489">
        <v>488</v>
      </c>
      <c r="B489" t="s">
        <v>280</v>
      </c>
      <c r="C489">
        <v>2022</v>
      </c>
      <c r="D489">
        <v>2002</v>
      </c>
      <c r="E489">
        <v>2019</v>
      </c>
      <c r="F489" t="s">
        <v>266</v>
      </c>
      <c r="G489"/>
      <c r="H489" t="s">
        <v>267</v>
      </c>
      <c r="I489"/>
      <c r="J489" t="s">
        <v>265</v>
      </c>
      <c r="K489" t="b">
        <v>0</v>
      </c>
      <c r="L489" t="b">
        <v>0</v>
      </c>
      <c r="M489" t="b">
        <v>1</v>
      </c>
      <c r="N489" t="b">
        <v>0</v>
      </c>
      <c r="O489" t="b">
        <v>0</v>
      </c>
      <c r="P489" t="b">
        <v>0</v>
      </c>
      <c r="Q489" t="b">
        <v>0</v>
      </c>
      <c r="R489" t="b">
        <v>0</v>
      </c>
      <c r="S489" t="b">
        <v>0</v>
      </c>
      <c r="T489" t="b">
        <v>0</v>
      </c>
      <c r="U489" t="b">
        <v>0</v>
      </c>
      <c r="V489" t="b">
        <v>0</v>
      </c>
      <c r="W489" t="b">
        <v>0</v>
      </c>
      <c r="X489" t="b">
        <v>1</v>
      </c>
      <c r="Y489" t="b">
        <v>1</v>
      </c>
      <c r="Z489" t="b">
        <v>0</v>
      </c>
      <c r="AA489" t="b">
        <v>0</v>
      </c>
      <c r="AB489" t="b">
        <v>0</v>
      </c>
      <c r="AC489" t="s">
        <v>179</v>
      </c>
      <c r="AD489" t="s">
        <v>179</v>
      </c>
      <c r="AE489" t="s">
        <v>179</v>
      </c>
      <c r="AF489" t="s">
        <v>179</v>
      </c>
      <c r="AG489" t="s">
        <v>173</v>
      </c>
      <c r="AH489" t="s">
        <v>173</v>
      </c>
      <c r="AI489" t="s">
        <v>179</v>
      </c>
      <c r="AJ489" t="s">
        <v>179</v>
      </c>
      <c r="AK489" t="s">
        <v>177</v>
      </c>
      <c r="AL489" t="s">
        <v>177</v>
      </c>
      <c r="AM489" t="s">
        <v>179</v>
      </c>
      <c r="AN489" t="s">
        <v>179</v>
      </c>
      <c r="AO489" t="s">
        <v>179</v>
      </c>
      <c r="AP489" t="s">
        <v>181</v>
      </c>
      <c r="AQ489" t="s">
        <v>179</v>
      </c>
      <c r="AR489" t="s">
        <v>179</v>
      </c>
      <c r="AS489" t="s">
        <v>179</v>
      </c>
      <c r="AT489" t="s">
        <v>179</v>
      </c>
      <c r="AU489" t="s">
        <v>177</v>
      </c>
      <c r="AV489" t="s">
        <v>179</v>
      </c>
      <c r="AW489" t="s">
        <v>177</v>
      </c>
      <c r="AX489" t="s">
        <v>192</v>
      </c>
      <c r="AY489" t="s">
        <v>195</v>
      </c>
      <c r="AZ489" t="s">
        <v>183</v>
      </c>
      <c r="BA489" t="s">
        <v>183</v>
      </c>
      <c r="BB489" t="s">
        <v>183</v>
      </c>
      <c r="BC489" t="s">
        <v>183</v>
      </c>
      <c r="BD489" t="s">
        <v>183</v>
      </c>
    </row>
    <row r="490" hidden="1" spans="1:56">
      <c r="A490">
        <v>489</v>
      </c>
      <c r="B490" t="s">
        <v>259</v>
      </c>
      <c r="C490">
        <v>2023</v>
      </c>
      <c r="D490">
        <v>1996</v>
      </c>
      <c r="E490">
        <v>2001</v>
      </c>
      <c r="F490" t="s">
        <v>262</v>
      </c>
      <c r="G490"/>
      <c r="H490" t="s">
        <v>274</v>
      </c>
      <c r="I490"/>
      <c r="J490" t="s">
        <v>265</v>
      </c>
      <c r="K490" t="b">
        <v>0</v>
      </c>
      <c r="L490" t="b">
        <v>0</v>
      </c>
      <c r="M490" t="b">
        <v>0</v>
      </c>
      <c r="N490" t="b">
        <v>0</v>
      </c>
      <c r="O490" t="b">
        <v>0</v>
      </c>
      <c r="P490" t="b">
        <v>0</v>
      </c>
      <c r="Q490" t="b">
        <v>0</v>
      </c>
      <c r="R490" t="b">
        <v>0</v>
      </c>
      <c r="S490" t="b">
        <v>0</v>
      </c>
      <c r="T490" t="b">
        <v>0</v>
      </c>
      <c r="U490" t="b">
        <v>0</v>
      </c>
      <c r="V490" t="b">
        <v>0</v>
      </c>
      <c r="W490" t="b">
        <v>0</v>
      </c>
      <c r="X490" t="b">
        <v>1</v>
      </c>
      <c r="Y490" t="b">
        <v>0</v>
      </c>
      <c r="Z490" t="b">
        <v>1</v>
      </c>
      <c r="AA490" t="b">
        <v>0</v>
      </c>
      <c r="AB490" t="b">
        <v>0</v>
      </c>
      <c r="AC490" t="s">
        <v>171</v>
      </c>
      <c r="AD490" t="s">
        <v>171</v>
      </c>
      <c r="AE490" t="s">
        <v>173</v>
      </c>
      <c r="AF490" t="s">
        <v>171</v>
      </c>
      <c r="AG490" t="s">
        <v>171</v>
      </c>
      <c r="AH490" t="s">
        <v>173</v>
      </c>
      <c r="AI490" t="s">
        <v>173</v>
      </c>
      <c r="AJ490" t="s">
        <v>171</v>
      </c>
      <c r="AK490" t="s">
        <v>171</v>
      </c>
      <c r="AL490" t="s">
        <v>171</v>
      </c>
      <c r="AM490" t="s">
        <v>171</v>
      </c>
      <c r="AN490" t="s">
        <v>173</v>
      </c>
      <c r="AO490" t="s">
        <v>171</v>
      </c>
      <c r="AP490" t="s">
        <v>171</v>
      </c>
      <c r="AQ490" t="s">
        <v>171</v>
      </c>
      <c r="AR490" t="s">
        <v>171</v>
      </c>
      <c r="AS490" t="s">
        <v>171</v>
      </c>
      <c r="AT490" t="s">
        <v>171</v>
      </c>
      <c r="AU490" t="s">
        <v>171</v>
      </c>
      <c r="AV490" t="s">
        <v>173</v>
      </c>
      <c r="AW490" t="s">
        <v>171</v>
      </c>
      <c r="AX490" t="s">
        <v>192</v>
      </c>
      <c r="AY490" t="s">
        <v>195</v>
      </c>
      <c r="AZ490" t="s">
        <v>183</v>
      </c>
      <c r="BA490" t="s">
        <v>183</v>
      </c>
      <c r="BB490" t="s">
        <v>183</v>
      </c>
      <c r="BC490" t="s">
        <v>183</v>
      </c>
      <c r="BD490" t="s">
        <v>183</v>
      </c>
    </row>
    <row r="491" hidden="1" spans="1:56">
      <c r="A491">
        <v>490</v>
      </c>
      <c r="B491" t="s">
        <v>255</v>
      </c>
      <c r="C491">
        <v>2022</v>
      </c>
      <c r="D491" t="s">
        <v>247</v>
      </c>
      <c r="E491" t="s">
        <v>247</v>
      </c>
      <c r="F491" t="s">
        <v>275</v>
      </c>
      <c r="G491"/>
      <c r="H491" t="s">
        <v>247</v>
      </c>
      <c r="I491"/>
      <c r="J491"/>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1</v>
      </c>
      <c r="AC491" t="s">
        <v>175</v>
      </c>
      <c r="AD491" t="s">
        <v>183</v>
      </c>
      <c r="AE491" t="s">
        <v>173</v>
      </c>
      <c r="AF491" t="s">
        <v>183</v>
      </c>
      <c r="AG491" t="s">
        <v>175</v>
      </c>
      <c r="AH491" t="s">
        <v>183</v>
      </c>
      <c r="AI491" t="s">
        <v>183</v>
      </c>
      <c r="AJ491" t="s">
        <v>173</v>
      </c>
      <c r="AK491" t="s">
        <v>175</v>
      </c>
      <c r="AL491" t="s">
        <v>173</v>
      </c>
      <c r="AM491" t="s">
        <v>183</v>
      </c>
      <c r="AN491" t="s">
        <v>183</v>
      </c>
      <c r="AO491" t="s">
        <v>183</v>
      </c>
      <c r="AP491" t="s">
        <v>171</v>
      </c>
      <c r="AQ491" t="s">
        <v>183</v>
      </c>
      <c r="AR491" t="s">
        <v>183</v>
      </c>
      <c r="AS491" t="s">
        <v>173</v>
      </c>
      <c r="AT491" t="s">
        <v>173</v>
      </c>
      <c r="AU491" t="s">
        <v>173</v>
      </c>
      <c r="AV491" t="s">
        <v>175</v>
      </c>
      <c r="AW491" t="s">
        <v>175</v>
      </c>
      <c r="AX491" t="s">
        <v>192</v>
      </c>
      <c r="AY491" t="s">
        <v>198</v>
      </c>
      <c r="AZ491" t="s">
        <v>183</v>
      </c>
      <c r="BA491" t="s">
        <v>183</v>
      </c>
      <c r="BB491" t="s">
        <v>183</v>
      </c>
      <c r="BC491" t="s">
        <v>183</v>
      </c>
      <c r="BD491" t="s">
        <v>183</v>
      </c>
    </row>
    <row r="492" hidden="1" spans="1:56">
      <c r="A492">
        <v>491</v>
      </c>
      <c r="B492" t="s">
        <v>259</v>
      </c>
      <c r="C492">
        <v>2023</v>
      </c>
      <c r="D492">
        <v>1979</v>
      </c>
      <c r="E492">
        <v>2021</v>
      </c>
      <c r="F492" t="s">
        <v>260</v>
      </c>
      <c r="G492"/>
      <c r="H492" t="s">
        <v>261</v>
      </c>
      <c r="I492"/>
      <c r="J492" t="s">
        <v>252</v>
      </c>
      <c r="K492" t="b">
        <v>0</v>
      </c>
      <c r="L492" t="b">
        <v>0</v>
      </c>
      <c r="M492" t="b">
        <v>0</v>
      </c>
      <c r="N492" t="b">
        <v>0</v>
      </c>
      <c r="O492" t="b">
        <v>0</v>
      </c>
      <c r="P492" t="b">
        <v>0</v>
      </c>
      <c r="Q492" t="b">
        <v>0</v>
      </c>
      <c r="R492" t="b">
        <v>0</v>
      </c>
      <c r="S492" t="b">
        <v>0</v>
      </c>
      <c r="T492" t="b">
        <v>0</v>
      </c>
      <c r="U492" t="b">
        <v>0</v>
      </c>
      <c r="V492" t="b">
        <v>0</v>
      </c>
      <c r="W492" t="b">
        <v>0</v>
      </c>
      <c r="X492" t="b">
        <v>0</v>
      </c>
      <c r="Y492" t="b">
        <v>0</v>
      </c>
      <c r="Z492" t="b">
        <v>1</v>
      </c>
      <c r="AA492" t="b">
        <v>1</v>
      </c>
      <c r="AB492" t="b">
        <v>0</v>
      </c>
      <c r="AC492" t="s">
        <v>173</v>
      </c>
      <c r="AD492" t="s">
        <v>171</v>
      </c>
      <c r="AE492" t="s">
        <v>173</v>
      </c>
      <c r="AF492" t="s">
        <v>173</v>
      </c>
      <c r="AG492" t="s">
        <v>173</v>
      </c>
      <c r="AH492" t="s">
        <v>173</v>
      </c>
      <c r="AI492" t="s">
        <v>173</v>
      </c>
      <c r="AJ492" t="s">
        <v>171</v>
      </c>
      <c r="AK492" t="s">
        <v>171</v>
      </c>
      <c r="AL492" t="s">
        <v>171</v>
      </c>
      <c r="AM492" t="s">
        <v>171</v>
      </c>
      <c r="AN492" t="s">
        <v>171</v>
      </c>
      <c r="AO492" t="s">
        <v>173</v>
      </c>
      <c r="AP492" t="s">
        <v>171</v>
      </c>
      <c r="AQ492" t="s">
        <v>171</v>
      </c>
      <c r="AR492" t="s">
        <v>173</v>
      </c>
      <c r="AS492" t="s">
        <v>171</v>
      </c>
      <c r="AT492" t="s">
        <v>171</v>
      </c>
      <c r="AU492" t="s">
        <v>171</v>
      </c>
      <c r="AV492" t="s">
        <v>175</v>
      </c>
      <c r="AW492" t="s">
        <v>173</v>
      </c>
      <c r="AX492" t="s">
        <v>192</v>
      </c>
      <c r="AY492" t="s">
        <v>195</v>
      </c>
      <c r="AZ492" t="s">
        <v>183</v>
      </c>
      <c r="BA492" t="s">
        <v>183</v>
      </c>
      <c r="BB492" t="s">
        <v>183</v>
      </c>
      <c r="BC492" t="s">
        <v>183</v>
      </c>
      <c r="BD492" t="s">
        <v>183</v>
      </c>
    </row>
    <row r="493" hidden="1" spans="1:56">
      <c r="A493">
        <v>492</v>
      </c>
      <c r="B493" t="s">
        <v>280</v>
      </c>
      <c r="C493">
        <v>2023</v>
      </c>
      <c r="D493">
        <v>1998</v>
      </c>
      <c r="E493">
        <v>2014</v>
      </c>
      <c r="F493" t="s">
        <v>304</v>
      </c>
      <c r="G493" t="s">
        <v>298</v>
      </c>
      <c r="H493" t="s">
        <v>267</v>
      </c>
      <c r="I493"/>
      <c r="J493" t="s">
        <v>252</v>
      </c>
      <c r="K493" t="b">
        <v>0</v>
      </c>
      <c r="L493" t="b">
        <v>0</v>
      </c>
      <c r="M493" t="b">
        <v>0</v>
      </c>
      <c r="N493" t="b">
        <v>0</v>
      </c>
      <c r="O493" t="b">
        <v>0</v>
      </c>
      <c r="P493" t="b">
        <v>0</v>
      </c>
      <c r="Q493" t="b">
        <v>0</v>
      </c>
      <c r="R493" t="b">
        <v>0</v>
      </c>
      <c r="S493" t="b">
        <v>0</v>
      </c>
      <c r="T493" t="b">
        <v>0</v>
      </c>
      <c r="U493" t="b">
        <v>0</v>
      </c>
      <c r="V493" t="b">
        <v>0</v>
      </c>
      <c r="W493" t="b">
        <v>0</v>
      </c>
      <c r="X493" t="b">
        <v>1</v>
      </c>
      <c r="Y493" t="b">
        <v>0</v>
      </c>
      <c r="Z493" t="b">
        <v>1</v>
      </c>
      <c r="AA493" t="b">
        <v>0</v>
      </c>
      <c r="AB493" t="b">
        <v>0</v>
      </c>
      <c r="AC493" t="s">
        <v>173</v>
      </c>
      <c r="AD493" t="s">
        <v>173</v>
      </c>
      <c r="AE493" t="s">
        <v>173</v>
      </c>
      <c r="AF493" t="s">
        <v>173</v>
      </c>
      <c r="AG493" t="s">
        <v>173</v>
      </c>
      <c r="AH493" t="s">
        <v>175</v>
      </c>
      <c r="AI493" t="s">
        <v>175</v>
      </c>
      <c r="AJ493" t="s">
        <v>173</v>
      </c>
      <c r="AK493" t="s">
        <v>173</v>
      </c>
      <c r="AL493" t="s">
        <v>173</v>
      </c>
      <c r="AM493" t="s">
        <v>173</v>
      </c>
      <c r="AN493" t="s">
        <v>173</v>
      </c>
      <c r="AO493" t="s">
        <v>173</v>
      </c>
      <c r="AP493" t="s">
        <v>173</v>
      </c>
      <c r="AQ493" t="s">
        <v>173</v>
      </c>
      <c r="AR493" t="s">
        <v>173</v>
      </c>
      <c r="AS493" t="s">
        <v>171</v>
      </c>
      <c r="AT493" t="s">
        <v>173</v>
      </c>
      <c r="AU493" t="s">
        <v>171</v>
      </c>
      <c r="AV493" t="s">
        <v>171</v>
      </c>
      <c r="AW493" t="s">
        <v>173</v>
      </c>
      <c r="AX493" t="s">
        <v>192</v>
      </c>
      <c r="AY493" t="s">
        <v>195</v>
      </c>
      <c r="AZ493" t="s">
        <v>183</v>
      </c>
      <c r="BA493" t="s">
        <v>183</v>
      </c>
      <c r="BB493" t="s">
        <v>183</v>
      </c>
      <c r="BC493" t="s">
        <v>183</v>
      </c>
      <c r="BD493" t="s">
        <v>183</v>
      </c>
    </row>
    <row r="494" hidden="1" spans="1:56">
      <c r="A494">
        <v>493</v>
      </c>
      <c r="B494" t="s">
        <v>255</v>
      </c>
      <c r="C494">
        <v>2023</v>
      </c>
      <c r="D494">
        <v>1983</v>
      </c>
      <c r="E494">
        <v>2017</v>
      </c>
      <c r="F494" t="s">
        <v>256</v>
      </c>
      <c r="G494" t="s">
        <v>279</v>
      </c>
      <c r="H494" t="s">
        <v>258</v>
      </c>
      <c r="I494"/>
      <c r="J494" t="s">
        <v>265</v>
      </c>
      <c r="K494" t="b">
        <v>0</v>
      </c>
      <c r="L494" t="b">
        <v>0</v>
      </c>
      <c r="M494" t="b">
        <v>0</v>
      </c>
      <c r="N494" t="b">
        <v>1</v>
      </c>
      <c r="O494" t="b">
        <v>0</v>
      </c>
      <c r="P494" t="b">
        <v>0</v>
      </c>
      <c r="Q494" t="b">
        <v>0</v>
      </c>
      <c r="R494" t="b">
        <v>0</v>
      </c>
      <c r="S494" t="b">
        <v>0</v>
      </c>
      <c r="T494" t="b">
        <v>0</v>
      </c>
      <c r="U494" t="b">
        <v>0</v>
      </c>
      <c r="V494" t="b">
        <v>0</v>
      </c>
      <c r="W494" t="b">
        <v>0</v>
      </c>
      <c r="X494" t="b">
        <v>0</v>
      </c>
      <c r="Y494" t="b">
        <v>0</v>
      </c>
      <c r="Z494" t="b">
        <v>0</v>
      </c>
      <c r="AA494" t="b">
        <v>0</v>
      </c>
      <c r="AB494" t="b">
        <v>0</v>
      </c>
      <c r="AC494" t="s">
        <v>175</v>
      </c>
      <c r="AD494" t="s">
        <v>173</v>
      </c>
      <c r="AE494" t="s">
        <v>179</v>
      </c>
      <c r="AF494" t="s">
        <v>179</v>
      </c>
      <c r="AG494" t="s">
        <v>175</v>
      </c>
      <c r="AH494" t="s">
        <v>173</v>
      </c>
      <c r="AI494" t="s">
        <v>177</v>
      </c>
      <c r="AJ494" t="s">
        <v>179</v>
      </c>
      <c r="AK494" t="s">
        <v>173</v>
      </c>
      <c r="AL494" t="s">
        <v>171</v>
      </c>
      <c r="AM494" t="s">
        <v>171</v>
      </c>
      <c r="AN494" t="s">
        <v>171</v>
      </c>
      <c r="AO494" t="s">
        <v>179</v>
      </c>
      <c r="AP494" t="s">
        <v>179</v>
      </c>
      <c r="AQ494" t="s">
        <v>179</v>
      </c>
      <c r="AR494" t="s">
        <v>177</v>
      </c>
      <c r="AS494" t="s">
        <v>179</v>
      </c>
      <c r="AT494" t="s">
        <v>179</v>
      </c>
      <c r="AU494" t="s">
        <v>179</v>
      </c>
      <c r="AV494" t="s">
        <v>179</v>
      </c>
      <c r="AW494" t="s">
        <v>179</v>
      </c>
      <c r="AY494" t="s">
        <v>195</v>
      </c>
      <c r="AZ494" t="s">
        <v>183</v>
      </c>
      <c r="BA494" t="s">
        <v>183</v>
      </c>
      <c r="BB494" t="s">
        <v>183</v>
      </c>
      <c r="BC494" t="s">
        <v>183</v>
      </c>
      <c r="BD494" t="s">
        <v>183</v>
      </c>
    </row>
    <row r="495" hidden="1" spans="1:56">
      <c r="A495">
        <v>494</v>
      </c>
      <c r="B495" t="s">
        <v>282</v>
      </c>
      <c r="C495">
        <v>2023</v>
      </c>
      <c r="D495">
        <v>2005</v>
      </c>
      <c r="E495">
        <v>2005</v>
      </c>
      <c r="F495" t="s">
        <v>266</v>
      </c>
      <c r="G495"/>
      <c r="H495" t="s">
        <v>247</v>
      </c>
      <c r="I495"/>
      <c r="J495" t="s">
        <v>265</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1</v>
      </c>
      <c r="AC495" t="s">
        <v>173</v>
      </c>
      <c r="AD495" t="s">
        <v>173</v>
      </c>
      <c r="AE495" t="s">
        <v>173</v>
      </c>
      <c r="AF495" t="s">
        <v>173</v>
      </c>
      <c r="AG495" t="s">
        <v>171</v>
      </c>
      <c r="AH495" t="s">
        <v>171</v>
      </c>
      <c r="AI495" t="s">
        <v>173</v>
      </c>
      <c r="AJ495" t="s">
        <v>173</v>
      </c>
      <c r="AK495" t="s">
        <v>171</v>
      </c>
      <c r="AL495" t="s">
        <v>171</v>
      </c>
      <c r="AM495" t="s">
        <v>171</v>
      </c>
      <c r="AN495" t="s">
        <v>173</v>
      </c>
      <c r="AO495" t="s">
        <v>175</v>
      </c>
      <c r="AP495" t="s">
        <v>175</v>
      </c>
      <c r="AQ495" t="s">
        <v>173</v>
      </c>
      <c r="AR495" t="s">
        <v>173</v>
      </c>
      <c r="AS495" t="s">
        <v>171</v>
      </c>
      <c r="AT495" t="s">
        <v>173</v>
      </c>
      <c r="AU495" t="s">
        <v>175</v>
      </c>
      <c r="AV495" t="s">
        <v>175</v>
      </c>
      <c r="AW495" t="s">
        <v>173</v>
      </c>
      <c r="AX495" t="s">
        <v>192</v>
      </c>
      <c r="AY495" t="s">
        <v>196</v>
      </c>
      <c r="AZ495" t="s">
        <v>183</v>
      </c>
      <c r="BA495" t="s">
        <v>183</v>
      </c>
      <c r="BB495" t="s">
        <v>183</v>
      </c>
      <c r="BC495" t="s">
        <v>183</v>
      </c>
      <c r="BD495" t="s">
        <v>183</v>
      </c>
    </row>
    <row r="496" hidden="1" spans="1:56">
      <c r="A496">
        <v>495</v>
      </c>
      <c r="B496" t="s">
        <v>269</v>
      </c>
      <c r="C496">
        <v>2022</v>
      </c>
      <c r="D496">
        <v>1997</v>
      </c>
      <c r="E496">
        <v>1997</v>
      </c>
      <c r="F496" t="s">
        <v>275</v>
      </c>
      <c r="G496"/>
      <c r="H496" t="s">
        <v>258</v>
      </c>
      <c r="I496"/>
      <c r="J496" t="s">
        <v>265</v>
      </c>
      <c r="K496" t="b">
        <v>0</v>
      </c>
      <c r="L496" t="b">
        <v>1</v>
      </c>
      <c r="M496" t="b">
        <v>0</v>
      </c>
      <c r="N496" t="b">
        <v>1</v>
      </c>
      <c r="O496" t="b">
        <v>0</v>
      </c>
      <c r="P496" t="b">
        <v>0</v>
      </c>
      <c r="Q496" t="b">
        <v>0</v>
      </c>
      <c r="R496" t="b">
        <v>0</v>
      </c>
      <c r="S496" t="b">
        <v>0</v>
      </c>
      <c r="T496" t="b">
        <v>0</v>
      </c>
      <c r="U496" t="b">
        <v>0</v>
      </c>
      <c r="V496" t="b">
        <v>0</v>
      </c>
      <c r="W496" t="b">
        <v>0</v>
      </c>
      <c r="X496" t="b">
        <v>0</v>
      </c>
      <c r="Y496" t="b">
        <v>0</v>
      </c>
      <c r="Z496" t="b">
        <v>0</v>
      </c>
      <c r="AA496" t="b">
        <v>1</v>
      </c>
      <c r="AB496" t="b">
        <v>0</v>
      </c>
      <c r="AC496" t="s">
        <v>173</v>
      </c>
      <c r="AD496" t="s">
        <v>179</v>
      </c>
      <c r="AE496" t="s">
        <v>177</v>
      </c>
      <c r="AF496" t="s">
        <v>173</v>
      </c>
      <c r="AG496" t="s">
        <v>179</v>
      </c>
      <c r="AH496" t="s">
        <v>175</v>
      </c>
      <c r="AI496" t="s">
        <v>177</v>
      </c>
      <c r="AJ496" t="s">
        <v>175</v>
      </c>
      <c r="AK496" t="s">
        <v>177</v>
      </c>
      <c r="AL496" t="s">
        <v>173</v>
      </c>
      <c r="AM496" t="s">
        <v>175</v>
      </c>
      <c r="AN496" t="s">
        <v>173</v>
      </c>
      <c r="AO496" t="s">
        <v>175</v>
      </c>
      <c r="AP496" t="s">
        <v>177</v>
      </c>
      <c r="AQ496" t="s">
        <v>177</v>
      </c>
      <c r="AR496" t="s">
        <v>175</v>
      </c>
      <c r="AS496" t="s">
        <v>173</v>
      </c>
      <c r="AT496" t="s">
        <v>173</v>
      </c>
      <c r="AU496" t="s">
        <v>173</v>
      </c>
      <c r="AV496" t="s">
        <v>175</v>
      </c>
      <c r="AW496" t="s">
        <v>175</v>
      </c>
      <c r="AX496" t="s">
        <v>192</v>
      </c>
      <c r="AY496" t="s">
        <v>196</v>
      </c>
      <c r="AZ496" t="s">
        <v>183</v>
      </c>
      <c r="BA496" t="s">
        <v>183</v>
      </c>
      <c r="BB496" t="s">
        <v>183</v>
      </c>
      <c r="BC496" t="s">
        <v>183</v>
      </c>
      <c r="BD496" t="s">
        <v>183</v>
      </c>
    </row>
    <row r="497" hidden="1" spans="1:56">
      <c r="A497">
        <v>496</v>
      </c>
      <c r="B497" t="s">
        <v>255</v>
      </c>
      <c r="C497">
        <v>2023</v>
      </c>
      <c r="D497">
        <v>2021</v>
      </c>
      <c r="E497">
        <v>2021</v>
      </c>
      <c r="F497" t="s">
        <v>275</v>
      </c>
      <c r="G497"/>
      <c r="H497" t="s">
        <v>258</v>
      </c>
      <c r="I497"/>
      <c r="J497" t="s">
        <v>265</v>
      </c>
      <c r="K497" t="b">
        <v>0</v>
      </c>
      <c r="L497" t="b">
        <v>1</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s">
        <v>173</v>
      </c>
      <c r="AD497" t="s">
        <v>173</v>
      </c>
      <c r="AE497" t="s">
        <v>173</v>
      </c>
      <c r="AF497" t="s">
        <v>173</v>
      </c>
      <c r="AG497" t="s">
        <v>173</v>
      </c>
      <c r="AH497" t="s">
        <v>173</v>
      </c>
      <c r="AI497" t="s">
        <v>173</v>
      </c>
      <c r="AJ497" t="s">
        <v>173</v>
      </c>
      <c r="AK497" t="s">
        <v>173</v>
      </c>
      <c r="AL497" t="s">
        <v>173</v>
      </c>
      <c r="AM497" t="s">
        <v>173</v>
      </c>
      <c r="AN497" t="s">
        <v>175</v>
      </c>
      <c r="AO497" t="s">
        <v>175</v>
      </c>
      <c r="AP497" t="s">
        <v>173</v>
      </c>
      <c r="AQ497" t="s">
        <v>175</v>
      </c>
      <c r="AR497" t="s">
        <v>173</v>
      </c>
      <c r="AS497" t="s">
        <v>173</v>
      </c>
      <c r="AT497" t="s">
        <v>173</v>
      </c>
      <c r="AU497" t="s">
        <v>173</v>
      </c>
      <c r="AV497" t="s">
        <v>175</v>
      </c>
      <c r="AW497" t="s">
        <v>175</v>
      </c>
      <c r="AX497" t="s">
        <v>192</v>
      </c>
      <c r="AY497" t="s">
        <v>198</v>
      </c>
      <c r="AZ497" t="s">
        <v>183</v>
      </c>
      <c r="BA497" t="s">
        <v>183</v>
      </c>
      <c r="BB497" t="s">
        <v>183</v>
      </c>
      <c r="BC497" t="s">
        <v>208</v>
      </c>
      <c r="BD497" t="s">
        <v>183</v>
      </c>
    </row>
    <row r="498" hidden="1" spans="1:51">
      <c r="A498">
        <v>497</v>
      </c>
      <c r="B498" t="s">
        <v>280</v>
      </c>
      <c r="C498">
        <v>2023</v>
      </c>
      <c r="D498">
        <v>2020</v>
      </c>
      <c r="E498">
        <v>2021</v>
      </c>
      <c r="F498" t="s">
        <v>256</v>
      </c>
      <c r="G498" t="s">
        <v>263</v>
      </c>
      <c r="H498" t="s">
        <v>258</v>
      </c>
      <c r="I498"/>
      <c r="J498" t="s">
        <v>252</v>
      </c>
      <c r="K498" t="b">
        <v>0</v>
      </c>
      <c r="L498" t="b">
        <v>0</v>
      </c>
      <c r="M498" t="b">
        <v>0</v>
      </c>
      <c r="N498" t="b">
        <v>0</v>
      </c>
      <c r="O498" t="b">
        <v>0</v>
      </c>
      <c r="P498" t="b">
        <v>0</v>
      </c>
      <c r="Q498" t="b">
        <v>0</v>
      </c>
      <c r="R498" t="b">
        <v>0</v>
      </c>
      <c r="S498" t="b">
        <v>0</v>
      </c>
      <c r="T498" t="b">
        <v>0</v>
      </c>
      <c r="U498" t="b">
        <v>0</v>
      </c>
      <c r="V498" t="b">
        <v>0</v>
      </c>
      <c r="W498" t="b">
        <v>0</v>
      </c>
      <c r="X498" t="b">
        <v>1</v>
      </c>
      <c r="Y498" t="b">
        <v>0</v>
      </c>
      <c r="Z498" t="b">
        <v>1</v>
      </c>
      <c r="AA498" t="b">
        <v>1</v>
      </c>
      <c r="AB498" t="b">
        <v>0</v>
      </c>
      <c r="AC498" t="s">
        <v>173</v>
      </c>
      <c r="AD498" t="s">
        <v>175</v>
      </c>
      <c r="AE498" t="s">
        <v>173</v>
      </c>
      <c r="AF498" t="s">
        <v>175</v>
      </c>
      <c r="AG498" t="s">
        <v>173</v>
      </c>
      <c r="AH498" t="s">
        <v>179</v>
      </c>
      <c r="AI498" t="s">
        <v>177</v>
      </c>
      <c r="AJ498" t="s">
        <v>173</v>
      </c>
      <c r="AK498" t="s">
        <v>175</v>
      </c>
      <c r="AL498" t="s">
        <v>173</v>
      </c>
      <c r="AM498" t="s">
        <v>179</v>
      </c>
      <c r="AN498" t="s">
        <v>173</v>
      </c>
      <c r="AO498" t="s">
        <v>173</v>
      </c>
      <c r="AP498" t="s">
        <v>173</v>
      </c>
      <c r="AQ498" t="s">
        <v>173</v>
      </c>
      <c r="AR498" t="s">
        <v>173</v>
      </c>
      <c r="AS498" t="s">
        <v>173</v>
      </c>
      <c r="AT498" t="s">
        <v>173</v>
      </c>
      <c r="AU498" t="s">
        <v>173</v>
      </c>
      <c r="AV498" t="s">
        <v>175</v>
      </c>
      <c r="AW498" t="s">
        <v>173</v>
      </c>
      <c r="AX498" t="s">
        <v>193</v>
      </c>
      <c r="AY498" t="s">
        <v>197</v>
      </c>
    </row>
    <row r="499" hidden="1" spans="1:51">
      <c r="A499">
        <v>498</v>
      </c>
      <c r="B499" t="s">
        <v>272</v>
      </c>
      <c r="C499">
        <v>2023</v>
      </c>
      <c r="D499">
        <v>2018</v>
      </c>
      <c r="E499">
        <v>2018</v>
      </c>
      <c r="F499" t="s">
        <v>256</v>
      </c>
      <c r="G499" t="s">
        <v>257</v>
      </c>
      <c r="H499" t="s">
        <v>273</v>
      </c>
      <c r="I499"/>
      <c r="J499" t="s">
        <v>252</v>
      </c>
      <c r="K499" t="b">
        <v>0</v>
      </c>
      <c r="L499" t="b">
        <v>0</v>
      </c>
      <c r="M499" t="b">
        <v>0</v>
      </c>
      <c r="N499" t="b">
        <v>0</v>
      </c>
      <c r="O499" t="b">
        <v>0</v>
      </c>
      <c r="P499" t="b">
        <v>0</v>
      </c>
      <c r="Q499" t="b">
        <v>0</v>
      </c>
      <c r="R499" t="b">
        <v>0</v>
      </c>
      <c r="S499" t="b">
        <v>0</v>
      </c>
      <c r="T499" t="b">
        <v>0</v>
      </c>
      <c r="U499" t="b">
        <v>0</v>
      </c>
      <c r="V499" t="b">
        <v>1</v>
      </c>
      <c r="W499" t="b">
        <v>0</v>
      </c>
      <c r="X499" t="b">
        <v>0</v>
      </c>
      <c r="Y499" t="b">
        <v>0</v>
      </c>
      <c r="Z499" t="b">
        <v>1</v>
      </c>
      <c r="AA499" t="b">
        <v>0</v>
      </c>
      <c r="AB499" t="b">
        <v>0</v>
      </c>
      <c r="AC499" t="s">
        <v>177</v>
      </c>
      <c r="AD499" t="s">
        <v>175</v>
      </c>
      <c r="AE499" t="s">
        <v>177</v>
      </c>
      <c r="AF499" t="s">
        <v>175</v>
      </c>
      <c r="AG499" t="s">
        <v>173</v>
      </c>
      <c r="AH499" t="s">
        <v>177</v>
      </c>
      <c r="AI499" t="s">
        <v>175</v>
      </c>
      <c r="AJ499" t="s">
        <v>175</v>
      </c>
      <c r="AK499" t="s">
        <v>175</v>
      </c>
      <c r="AL499" t="s">
        <v>173</v>
      </c>
      <c r="AM499" t="s">
        <v>173</v>
      </c>
      <c r="AN499" t="s">
        <v>175</v>
      </c>
      <c r="AO499" t="s">
        <v>177</v>
      </c>
      <c r="AP499" t="s">
        <v>173</v>
      </c>
      <c r="AQ499" t="s">
        <v>177</v>
      </c>
      <c r="AR499" t="s">
        <v>175</v>
      </c>
      <c r="AS499" t="s">
        <v>175</v>
      </c>
      <c r="AT499" t="s">
        <v>173</v>
      </c>
      <c r="AU499" t="s">
        <v>173</v>
      </c>
      <c r="AV499" t="s">
        <v>177</v>
      </c>
      <c r="AW499" t="s">
        <v>173</v>
      </c>
      <c r="AX499" t="s">
        <v>193</v>
      </c>
      <c r="AY499" t="s">
        <v>201</v>
      </c>
    </row>
    <row r="500" hidden="1" spans="1:51">
      <c r="A500">
        <v>499</v>
      </c>
      <c r="B500" t="s">
        <v>259</v>
      </c>
      <c r="C500">
        <v>2023</v>
      </c>
      <c r="D500">
        <v>2004</v>
      </c>
      <c r="E500">
        <v>2019</v>
      </c>
      <c r="F500" t="s">
        <v>248</v>
      </c>
      <c r="G500" t="s">
        <v>242</v>
      </c>
      <c r="H500" t="s">
        <v>274</v>
      </c>
      <c r="I500"/>
      <c r="J500" t="s">
        <v>265</v>
      </c>
      <c r="K500" t="b">
        <v>0</v>
      </c>
      <c r="L500" t="b">
        <v>0</v>
      </c>
      <c r="M500" t="b">
        <v>0</v>
      </c>
      <c r="N500" t="b">
        <v>0</v>
      </c>
      <c r="O500" t="b">
        <v>0</v>
      </c>
      <c r="P500" t="b">
        <v>0</v>
      </c>
      <c r="Q500" t="b">
        <v>0</v>
      </c>
      <c r="R500" t="b">
        <v>0</v>
      </c>
      <c r="S500" t="b">
        <v>0</v>
      </c>
      <c r="T500" t="b">
        <v>0</v>
      </c>
      <c r="U500" t="b">
        <v>0</v>
      </c>
      <c r="V500" t="b">
        <v>0</v>
      </c>
      <c r="W500" t="b">
        <v>0</v>
      </c>
      <c r="X500" t="b">
        <v>0</v>
      </c>
      <c r="Y500" t="b">
        <v>0</v>
      </c>
      <c r="Z500" t="b">
        <v>1</v>
      </c>
      <c r="AA500" t="b">
        <v>0</v>
      </c>
      <c r="AB500" t="b">
        <v>0</v>
      </c>
      <c r="AC500" t="s">
        <v>173</v>
      </c>
      <c r="AD500" t="s">
        <v>175</v>
      </c>
      <c r="AE500" t="s">
        <v>173</v>
      </c>
      <c r="AF500" t="s">
        <v>173</v>
      </c>
      <c r="AG500" t="s">
        <v>173</v>
      </c>
      <c r="AH500" t="s">
        <v>179</v>
      </c>
      <c r="AI500" t="s">
        <v>175</v>
      </c>
      <c r="AJ500" t="s">
        <v>175</v>
      </c>
      <c r="AK500" t="s">
        <v>173</v>
      </c>
      <c r="AL500" t="s">
        <v>173</v>
      </c>
      <c r="AM500" t="s">
        <v>173</v>
      </c>
      <c r="AN500" t="s">
        <v>173</v>
      </c>
      <c r="AO500" t="s">
        <v>171</v>
      </c>
      <c r="AP500" t="s">
        <v>171</v>
      </c>
      <c r="AQ500" t="s">
        <v>171</v>
      </c>
      <c r="AR500" t="s">
        <v>173</v>
      </c>
      <c r="AS500" t="s">
        <v>173</v>
      </c>
      <c r="AT500" t="s">
        <v>173</v>
      </c>
      <c r="AU500" t="s">
        <v>173</v>
      </c>
      <c r="AV500" t="s">
        <v>173</v>
      </c>
      <c r="AW500" t="s">
        <v>173</v>
      </c>
      <c r="AX500" t="s">
        <v>193</v>
      </c>
      <c r="AY500" t="s">
        <v>197</v>
      </c>
    </row>
    <row r="501" spans="1:65">
      <c r="A501">
        <v>500</v>
      </c>
      <c r="B501" t="s">
        <v>315</v>
      </c>
      <c r="C501" s="10">
        <v>2023</v>
      </c>
      <c r="D501" s="10">
        <v>2022</v>
      </c>
      <c r="E501" s="10">
        <v>2022</v>
      </c>
      <c r="F501" s="10" t="s">
        <v>241</v>
      </c>
      <c r="G501" s="10" t="s">
        <v>242</v>
      </c>
      <c r="H501" s="10" t="s">
        <v>243</v>
      </c>
      <c r="I501" s="10" t="s">
        <v>282</v>
      </c>
      <c r="J501" s="10" t="s">
        <v>285</v>
      </c>
      <c r="K501" t="b">
        <v>0</v>
      </c>
      <c r="L501" t="b">
        <v>0</v>
      </c>
      <c r="M501" t="b">
        <v>0</v>
      </c>
      <c r="N501" t="b">
        <v>0</v>
      </c>
      <c r="O501" t="b">
        <v>0</v>
      </c>
      <c r="P501" t="b">
        <v>0</v>
      </c>
      <c r="Q501" t="b">
        <v>0</v>
      </c>
      <c r="R501" t="b">
        <v>0</v>
      </c>
      <c r="S501" t="b">
        <v>0</v>
      </c>
      <c r="T501" t="b">
        <v>0</v>
      </c>
      <c r="U501" t="b">
        <v>1</v>
      </c>
      <c r="V501" t="b">
        <v>1</v>
      </c>
      <c r="W501" t="b">
        <v>0</v>
      </c>
      <c r="X501" t="b">
        <v>0</v>
      </c>
      <c r="Y501" t="b">
        <v>0</v>
      </c>
      <c r="Z501" t="b">
        <v>0</v>
      </c>
      <c r="AA501" t="b">
        <v>0</v>
      </c>
      <c r="AB501" t="b">
        <v>0</v>
      </c>
      <c r="AC501" s="10" t="s">
        <v>171</v>
      </c>
      <c r="AE501" t="s">
        <v>173</v>
      </c>
      <c r="AF501" t="s">
        <v>171</v>
      </c>
      <c r="AG501" t="s">
        <v>171</v>
      </c>
      <c r="AH501" t="s">
        <v>171</v>
      </c>
      <c r="AI501" t="s">
        <v>171</v>
      </c>
      <c r="AJ501" t="s">
        <v>171</v>
      </c>
      <c r="AK501" t="s">
        <v>171</v>
      </c>
      <c r="AL501" t="s">
        <v>173</v>
      </c>
      <c r="AM501" t="s">
        <v>173</v>
      </c>
      <c r="AN501" t="s">
        <v>175</v>
      </c>
      <c r="AO501" t="s">
        <v>171</v>
      </c>
      <c r="AP501" t="s">
        <v>171</v>
      </c>
      <c r="AQ501" t="s">
        <v>171</v>
      </c>
      <c r="AR501" t="s">
        <v>171</v>
      </c>
      <c r="AS501" t="s">
        <v>171</v>
      </c>
      <c r="AT501" t="s">
        <v>171</v>
      </c>
      <c r="AU501" t="s">
        <v>171</v>
      </c>
      <c r="AV501" t="s">
        <v>175</v>
      </c>
      <c r="AW501" t="s">
        <v>175</v>
      </c>
      <c r="AX501" t="s">
        <v>192</v>
      </c>
      <c r="AY501" t="s">
        <v>200</v>
      </c>
      <c r="BE501" t="str">
        <f>IF(AY501="","Unknown",AY501)</f>
        <v>26-30</v>
      </c>
      <c r="BF501" s="11" t="str">
        <f>IF(AZ501="","unknown",AZ501)</f>
        <v>unknown</v>
      </c>
      <c r="BG501" s="11" t="str">
        <f>IF(BA501="","UNKNOWN",BA501)</f>
        <v>UNKNOWN</v>
      </c>
      <c r="BH501" s="11" t="str">
        <f>IF(BB501="","unknown",BB501)</f>
        <v>unknown</v>
      </c>
      <c r="BI501" s="11" t="str">
        <f>IF(BC501="","Unknon",BC501)</f>
        <v>Unknon</v>
      </c>
      <c r="BJ501" s="11" t="str">
        <f>IF(BD501="","Unknown",BD501)</f>
        <v>Unknown</v>
      </c>
      <c r="BK501" s="11">
        <f>VALUE(C501)-VALUE(D501)</f>
        <v>1</v>
      </c>
      <c r="BM501" s="11"/>
    </row>
    <row r="502" spans="1:65">
      <c r="A502">
        <v>501</v>
      </c>
      <c r="B502" t="s">
        <v>277</v>
      </c>
      <c r="C502" s="10">
        <v>2023</v>
      </c>
      <c r="D502" s="10">
        <v>2011</v>
      </c>
      <c r="E502" s="10">
        <v>2011</v>
      </c>
      <c r="F502" s="10" t="s">
        <v>256</v>
      </c>
      <c r="G502" s="10" t="s">
        <v>257</v>
      </c>
      <c r="H502" s="10" t="s">
        <v>316</v>
      </c>
      <c r="I502" s="10" t="s">
        <v>271</v>
      </c>
      <c r="J502" s="10" t="s">
        <v>245</v>
      </c>
      <c r="K502" t="b">
        <v>0</v>
      </c>
      <c r="L502" t="b">
        <v>1</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s="10" t="s">
        <v>171</v>
      </c>
      <c r="AD502" t="s">
        <v>173</v>
      </c>
      <c r="AE502" t="s">
        <v>171</v>
      </c>
      <c r="AF502" t="s">
        <v>171</v>
      </c>
      <c r="AG502" t="s">
        <v>171</v>
      </c>
      <c r="AH502" t="s">
        <v>173</v>
      </c>
      <c r="AI502" t="s">
        <v>173</v>
      </c>
      <c r="AJ502" t="s">
        <v>173</v>
      </c>
      <c r="AK502" t="s">
        <v>171</v>
      </c>
      <c r="AL502" t="s">
        <v>173</v>
      </c>
      <c r="AM502" t="s">
        <v>171</v>
      </c>
      <c r="AN502" t="s">
        <v>173</v>
      </c>
      <c r="AO502" t="s">
        <v>173</v>
      </c>
      <c r="AP502" t="s">
        <v>173</v>
      </c>
      <c r="AQ502" t="s">
        <v>175</v>
      </c>
      <c r="AR502" t="s">
        <v>171</v>
      </c>
      <c r="AS502" t="s">
        <v>171</v>
      </c>
      <c r="AT502" t="s">
        <v>171</v>
      </c>
      <c r="AU502" t="s">
        <v>171</v>
      </c>
      <c r="AV502" t="s">
        <v>173</v>
      </c>
      <c r="AW502" t="s">
        <v>173</v>
      </c>
      <c r="AX502" t="s">
        <v>192</v>
      </c>
      <c r="AY502" t="s">
        <v>203</v>
      </c>
      <c r="BE502" t="str">
        <f>IF(AY502="","Unknown",AY502)</f>
        <v>31-35</v>
      </c>
      <c r="BF502" s="11" t="str">
        <f>IF(AZ502="","unknown",AZ502)</f>
        <v>unknown</v>
      </c>
      <c r="BG502" s="11" t="str">
        <f>IF(BA502="","UNKNOWN",BA502)</f>
        <v>UNKNOWN</v>
      </c>
      <c r="BH502" s="11" t="str">
        <f>IF(BB502="","unknown",BB502)</f>
        <v>unknown</v>
      </c>
      <c r="BI502" s="11" t="str">
        <f>IF(BC502="","Unknon",BC502)</f>
        <v>Unknon</v>
      </c>
      <c r="BJ502" s="11" t="str">
        <f>IF(BD502="","Unknown",BD502)</f>
        <v>Unknown</v>
      </c>
      <c r="BK502" s="11">
        <f>VALUE(C502)-VALUE(D502)</f>
        <v>12</v>
      </c>
      <c r="BM502" s="11"/>
    </row>
    <row r="503" hidden="1" spans="1:51">
      <c r="A503">
        <v>502</v>
      </c>
      <c r="B503" t="s">
        <v>280</v>
      </c>
      <c r="C503">
        <v>2023</v>
      </c>
      <c r="D503">
        <v>1980</v>
      </c>
      <c r="E503">
        <v>1980</v>
      </c>
      <c r="F503" t="s">
        <v>256</v>
      </c>
      <c r="G503" t="s">
        <v>263</v>
      </c>
      <c r="H503" t="s">
        <v>258</v>
      </c>
      <c r="I503"/>
      <c r="J503" t="s">
        <v>265</v>
      </c>
      <c r="K503" t="b">
        <v>0</v>
      </c>
      <c r="L503" t="b">
        <v>0</v>
      </c>
      <c r="M503" t="b">
        <v>0</v>
      </c>
      <c r="N503" t="b">
        <v>0</v>
      </c>
      <c r="O503" t="b">
        <v>0</v>
      </c>
      <c r="P503" t="b">
        <v>0</v>
      </c>
      <c r="Q503" t="b">
        <v>0</v>
      </c>
      <c r="R503" t="b">
        <v>0</v>
      </c>
      <c r="S503" t="b">
        <v>0</v>
      </c>
      <c r="T503" t="b">
        <v>0</v>
      </c>
      <c r="U503" t="b">
        <v>0</v>
      </c>
      <c r="V503" t="b">
        <v>0</v>
      </c>
      <c r="W503" t="b">
        <v>0</v>
      </c>
      <c r="X503" t="b">
        <v>1</v>
      </c>
      <c r="Y503" t="b">
        <v>0</v>
      </c>
      <c r="Z503" t="b">
        <v>0</v>
      </c>
      <c r="AA503" t="b">
        <v>1</v>
      </c>
      <c r="AB503" t="b">
        <v>0</v>
      </c>
      <c r="AC503" t="s">
        <v>173</v>
      </c>
      <c r="AD503" t="s">
        <v>175</v>
      </c>
      <c r="AE503" t="s">
        <v>175</v>
      </c>
      <c r="AF503" t="s">
        <v>177</v>
      </c>
      <c r="AG503" t="s">
        <v>173</v>
      </c>
      <c r="AH503" t="s">
        <v>177</v>
      </c>
      <c r="AI503" t="s">
        <v>175</v>
      </c>
      <c r="AJ503" t="s">
        <v>177</v>
      </c>
      <c r="AK503" t="s">
        <v>175</v>
      </c>
      <c r="AL503" t="s">
        <v>173</v>
      </c>
      <c r="AM503" t="s">
        <v>173</v>
      </c>
      <c r="AN503" t="s">
        <v>173</v>
      </c>
      <c r="AO503" t="s">
        <v>177</v>
      </c>
      <c r="AP503" t="s">
        <v>177</v>
      </c>
      <c r="AQ503" t="s">
        <v>175</v>
      </c>
      <c r="AR503" t="s">
        <v>173</v>
      </c>
      <c r="AS503" t="s">
        <v>177</v>
      </c>
      <c r="AT503" t="s">
        <v>175</v>
      </c>
      <c r="AU503" t="s">
        <v>175</v>
      </c>
      <c r="AV503" t="s">
        <v>173</v>
      </c>
      <c r="AW503" t="s">
        <v>173</v>
      </c>
      <c r="AY503" t="s">
        <v>195</v>
      </c>
    </row>
    <row r="504" hidden="1" spans="1:51">
      <c r="A504">
        <v>503</v>
      </c>
      <c r="B504" t="s">
        <v>280</v>
      </c>
      <c r="C504">
        <v>2023</v>
      </c>
      <c r="D504">
        <v>1986</v>
      </c>
      <c r="E504">
        <v>1987</v>
      </c>
      <c r="F504" t="s">
        <v>292</v>
      </c>
      <c r="G504"/>
      <c r="H504" t="s">
        <v>264</v>
      </c>
      <c r="I504"/>
      <c r="J504" t="s">
        <v>252</v>
      </c>
      <c r="K504" t="b">
        <v>0</v>
      </c>
      <c r="L504" t="b">
        <v>0</v>
      </c>
      <c r="M504" t="b">
        <v>0</v>
      </c>
      <c r="N504" t="b">
        <v>0</v>
      </c>
      <c r="O504" t="b">
        <v>0</v>
      </c>
      <c r="P504" t="b">
        <v>0</v>
      </c>
      <c r="Q504" t="b">
        <v>0</v>
      </c>
      <c r="R504" t="b">
        <v>0</v>
      </c>
      <c r="S504" t="b">
        <v>0</v>
      </c>
      <c r="T504" t="b">
        <v>0</v>
      </c>
      <c r="U504" t="b">
        <v>0</v>
      </c>
      <c r="V504" t="b">
        <v>0</v>
      </c>
      <c r="W504" t="b">
        <v>0</v>
      </c>
      <c r="X504" t="b">
        <v>1</v>
      </c>
      <c r="Y504" t="b">
        <v>1</v>
      </c>
      <c r="Z504" t="b">
        <v>0</v>
      </c>
      <c r="AA504" t="b">
        <v>0</v>
      </c>
      <c r="AB504" t="b">
        <v>0</v>
      </c>
      <c r="AC504" t="s">
        <v>171</v>
      </c>
      <c r="AD504" t="s">
        <v>171</v>
      </c>
      <c r="AE504" t="s">
        <v>171</v>
      </c>
      <c r="AF504" t="s">
        <v>171</v>
      </c>
      <c r="AG504" t="s">
        <v>171</v>
      </c>
      <c r="AH504" t="s">
        <v>177</v>
      </c>
      <c r="AI504" t="s">
        <v>177</v>
      </c>
      <c r="AJ504" t="s">
        <v>171</v>
      </c>
      <c r="AK504" t="s">
        <v>171</v>
      </c>
      <c r="AL504" t="s">
        <v>171</v>
      </c>
      <c r="AM504" t="s">
        <v>171</v>
      </c>
      <c r="AN504" t="s">
        <v>171</v>
      </c>
      <c r="AO504" t="s">
        <v>171</v>
      </c>
      <c r="AP504" t="s">
        <v>171</v>
      </c>
      <c r="AQ504" t="s">
        <v>171</v>
      </c>
      <c r="AR504" t="s">
        <v>171</v>
      </c>
      <c r="AS504" t="s">
        <v>171</v>
      </c>
      <c r="AT504" t="s">
        <v>171</v>
      </c>
      <c r="AU504" t="s">
        <v>171</v>
      </c>
      <c r="AV504" t="s">
        <v>171</v>
      </c>
      <c r="AW504" t="s">
        <v>171</v>
      </c>
      <c r="AX504" t="s">
        <v>192</v>
      </c>
      <c r="AY504" t="s">
        <v>196</v>
      </c>
    </row>
    <row r="505" hidden="1" spans="1:51">
      <c r="A505">
        <v>504</v>
      </c>
      <c r="B505" t="s">
        <v>255</v>
      </c>
      <c r="C505">
        <v>2023</v>
      </c>
      <c r="D505">
        <v>1981</v>
      </c>
      <c r="E505">
        <v>2022</v>
      </c>
      <c r="F505" t="s">
        <v>256</v>
      </c>
      <c r="G505" t="s">
        <v>263</v>
      </c>
      <c r="H505" t="s">
        <v>268</v>
      </c>
      <c r="I505"/>
      <c r="J505" t="s">
        <v>252</v>
      </c>
      <c r="K505" t="b">
        <v>0</v>
      </c>
      <c r="L505" t="b">
        <v>0</v>
      </c>
      <c r="M505" t="b">
        <v>0</v>
      </c>
      <c r="N505" t="b">
        <v>1</v>
      </c>
      <c r="O505" t="b">
        <v>0</v>
      </c>
      <c r="P505" t="b">
        <v>0</v>
      </c>
      <c r="Q505" t="b">
        <v>0</v>
      </c>
      <c r="R505" t="b">
        <v>0</v>
      </c>
      <c r="S505" t="b">
        <v>0</v>
      </c>
      <c r="T505" t="b">
        <v>1</v>
      </c>
      <c r="U505" t="b">
        <v>0</v>
      </c>
      <c r="V505" t="b">
        <v>0</v>
      </c>
      <c r="W505" t="b">
        <v>0</v>
      </c>
      <c r="X505" t="b">
        <v>0</v>
      </c>
      <c r="Y505" t="b">
        <v>0</v>
      </c>
      <c r="Z505" t="b">
        <v>0</v>
      </c>
      <c r="AA505" t="b">
        <v>1</v>
      </c>
      <c r="AB505" t="b">
        <v>0</v>
      </c>
      <c r="AC505" t="s">
        <v>175</v>
      </c>
      <c r="AD505" t="s">
        <v>175</v>
      </c>
      <c r="AE505" t="s">
        <v>175</v>
      </c>
      <c r="AF505" t="s">
        <v>183</v>
      </c>
      <c r="AG505" t="s">
        <v>177</v>
      </c>
      <c r="AH505" t="s">
        <v>177</v>
      </c>
      <c r="AI505" t="s">
        <v>177</v>
      </c>
      <c r="AJ505" t="s">
        <v>179</v>
      </c>
      <c r="AK505" t="s">
        <v>175</v>
      </c>
      <c r="AL505" t="s">
        <v>179</v>
      </c>
      <c r="AM505" t="s">
        <v>177</v>
      </c>
      <c r="AN505" t="s">
        <v>175</v>
      </c>
      <c r="AO505" t="s">
        <v>177</v>
      </c>
      <c r="AP505" t="s">
        <v>177</v>
      </c>
      <c r="AQ505" t="s">
        <v>175</v>
      </c>
      <c r="AR505" t="s">
        <v>175</v>
      </c>
      <c r="AS505" t="s">
        <v>177</v>
      </c>
      <c r="AT505" t="s">
        <v>177</v>
      </c>
      <c r="AU505" t="s">
        <v>177</v>
      </c>
      <c r="AV505" t="s">
        <v>177</v>
      </c>
      <c r="AW505" t="s">
        <v>177</v>
      </c>
      <c r="AX505" t="s">
        <v>193</v>
      </c>
      <c r="AY505" t="s">
        <v>195</v>
      </c>
    </row>
    <row r="506" hidden="1" spans="1:51">
      <c r="A506">
        <v>505</v>
      </c>
      <c r="B506" t="s">
        <v>272</v>
      </c>
      <c r="C506">
        <v>2023</v>
      </c>
      <c r="D506">
        <v>2017</v>
      </c>
      <c r="E506">
        <v>2020</v>
      </c>
      <c r="F506" t="s">
        <v>256</v>
      </c>
      <c r="G506" t="s">
        <v>263</v>
      </c>
      <c r="H506" t="s">
        <v>261</v>
      </c>
      <c r="I506"/>
      <c r="J506" t="s">
        <v>252</v>
      </c>
      <c r="K506" t="b">
        <v>0</v>
      </c>
      <c r="L506" t="b">
        <v>1</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s">
        <v>173</v>
      </c>
      <c r="AD506" t="s">
        <v>173</v>
      </c>
      <c r="AE506" t="s">
        <v>173</v>
      </c>
      <c r="AF506" t="s">
        <v>175</v>
      </c>
      <c r="AG506" t="s">
        <v>171</v>
      </c>
      <c r="AH506" t="s">
        <v>173</v>
      </c>
      <c r="AI506" t="s">
        <v>175</v>
      </c>
      <c r="AJ506" t="s">
        <v>173</v>
      </c>
      <c r="AK506" t="s">
        <v>171</v>
      </c>
      <c r="AL506" t="s">
        <v>171</v>
      </c>
      <c r="AM506" t="s">
        <v>173</v>
      </c>
      <c r="AN506" t="s">
        <v>175</v>
      </c>
      <c r="AO506" t="s">
        <v>173</v>
      </c>
      <c r="AP506" t="s">
        <v>173</v>
      </c>
      <c r="AQ506" t="s">
        <v>171</v>
      </c>
      <c r="AR506" t="s">
        <v>173</v>
      </c>
      <c r="AS506" t="s">
        <v>173</v>
      </c>
      <c r="AT506" t="s">
        <v>173</v>
      </c>
      <c r="AU506" t="s">
        <v>173</v>
      </c>
      <c r="AV506" t="s">
        <v>177</v>
      </c>
      <c r="AW506" t="s">
        <v>173</v>
      </c>
      <c r="AX506" t="s">
        <v>193</v>
      </c>
      <c r="AY506" t="s">
        <v>201</v>
      </c>
    </row>
    <row r="507" hidden="1" spans="1:51">
      <c r="A507">
        <v>506</v>
      </c>
      <c r="B507" t="s">
        <v>255</v>
      </c>
      <c r="C507">
        <v>2023</v>
      </c>
      <c r="D507">
        <v>1998</v>
      </c>
      <c r="E507" t="s">
        <v>247</v>
      </c>
      <c r="F507" t="s">
        <v>256</v>
      </c>
      <c r="G507" t="s">
        <v>279</v>
      </c>
      <c r="H507" t="s">
        <v>247</v>
      </c>
      <c r="I507"/>
      <c r="J507" t="s">
        <v>252</v>
      </c>
      <c r="K507" t="b">
        <v>0</v>
      </c>
      <c r="L507" t="b">
        <v>0</v>
      </c>
      <c r="M507" t="b">
        <v>0</v>
      </c>
      <c r="N507" t="b">
        <v>0</v>
      </c>
      <c r="O507" t="b">
        <v>0</v>
      </c>
      <c r="P507" t="b">
        <v>0</v>
      </c>
      <c r="Q507" t="b">
        <v>0</v>
      </c>
      <c r="R507" t="b">
        <v>0</v>
      </c>
      <c r="S507" t="b">
        <v>0</v>
      </c>
      <c r="T507" t="b">
        <v>0</v>
      </c>
      <c r="U507" t="b">
        <v>1</v>
      </c>
      <c r="V507" t="b">
        <v>0</v>
      </c>
      <c r="W507" t="b">
        <v>0</v>
      </c>
      <c r="X507" t="b">
        <v>0</v>
      </c>
      <c r="Y507" t="b">
        <v>0</v>
      </c>
      <c r="Z507" t="b">
        <v>1</v>
      </c>
      <c r="AA507" t="b">
        <v>0</v>
      </c>
      <c r="AB507" t="b">
        <v>0</v>
      </c>
      <c r="AC507" t="s">
        <v>171</v>
      </c>
      <c r="AD507" t="s">
        <v>175</v>
      </c>
      <c r="AE507" t="s">
        <v>171</v>
      </c>
      <c r="AF507" t="s">
        <v>171</v>
      </c>
      <c r="AG507" t="s">
        <v>173</v>
      </c>
      <c r="AH507" t="s">
        <v>177</v>
      </c>
      <c r="AI507" t="s">
        <v>173</v>
      </c>
      <c r="AJ507" t="s">
        <v>171</v>
      </c>
      <c r="AK507" t="s">
        <v>171</v>
      </c>
      <c r="AL507" t="s">
        <v>171</v>
      </c>
      <c r="AM507" t="s">
        <v>171</v>
      </c>
      <c r="AN507" t="s">
        <v>175</v>
      </c>
      <c r="AO507" t="s">
        <v>171</v>
      </c>
      <c r="AP507" t="s">
        <v>171</v>
      </c>
      <c r="AQ507" t="s">
        <v>171</v>
      </c>
      <c r="AR507" t="s">
        <v>171</v>
      </c>
      <c r="AS507" t="s">
        <v>171</v>
      </c>
      <c r="AT507" t="s">
        <v>171</v>
      </c>
      <c r="AU507" t="s">
        <v>171</v>
      </c>
      <c r="AV507" t="s">
        <v>175</v>
      </c>
      <c r="AW507" t="s">
        <v>175</v>
      </c>
      <c r="AX507" t="s">
        <v>192</v>
      </c>
      <c r="AY507" t="s">
        <v>198</v>
      </c>
    </row>
    <row r="508" hidden="1" spans="1:51">
      <c r="A508">
        <v>507</v>
      </c>
      <c r="B508" t="s">
        <v>255</v>
      </c>
      <c r="C508">
        <v>2023</v>
      </c>
      <c r="D508">
        <v>2018</v>
      </c>
      <c r="E508">
        <v>2019</v>
      </c>
      <c r="F508" t="s">
        <v>248</v>
      </c>
      <c r="G508" t="s">
        <v>242</v>
      </c>
      <c r="H508" t="s">
        <v>267</v>
      </c>
      <c r="I508"/>
      <c r="J508" t="s">
        <v>252</v>
      </c>
      <c r="K508" t="b">
        <v>1</v>
      </c>
      <c r="L508" t="b">
        <v>0</v>
      </c>
      <c r="M508" t="b">
        <v>0</v>
      </c>
      <c r="N508" t="b">
        <v>0</v>
      </c>
      <c r="O508" t="b">
        <v>1</v>
      </c>
      <c r="P508" t="b">
        <v>0</v>
      </c>
      <c r="Q508" t="b">
        <v>0</v>
      </c>
      <c r="R508" t="b">
        <v>0</v>
      </c>
      <c r="S508" t="b">
        <v>0</v>
      </c>
      <c r="T508" t="b">
        <v>0</v>
      </c>
      <c r="U508" t="b">
        <v>0</v>
      </c>
      <c r="V508" t="b">
        <v>0</v>
      </c>
      <c r="W508" t="b">
        <v>0</v>
      </c>
      <c r="X508" t="b">
        <v>1</v>
      </c>
      <c r="Y508" t="b">
        <v>0</v>
      </c>
      <c r="Z508" t="b">
        <v>0</v>
      </c>
      <c r="AA508" t="b">
        <v>0</v>
      </c>
      <c r="AB508" t="b">
        <v>0</v>
      </c>
      <c r="AC508" t="s">
        <v>173</v>
      </c>
      <c r="AD508" t="s">
        <v>177</v>
      </c>
      <c r="AE508" t="s">
        <v>177</v>
      </c>
      <c r="AF508" t="s">
        <v>177</v>
      </c>
      <c r="AG508" t="s">
        <v>171</v>
      </c>
      <c r="AH508" t="s">
        <v>173</v>
      </c>
      <c r="AI508" t="s">
        <v>177</v>
      </c>
      <c r="AJ508" t="s">
        <v>175</v>
      </c>
      <c r="AK508" t="s">
        <v>175</v>
      </c>
      <c r="AL508" t="s">
        <v>173</v>
      </c>
      <c r="AM508" t="s">
        <v>173</v>
      </c>
      <c r="AN508" t="s">
        <v>173</v>
      </c>
      <c r="AO508" t="s">
        <v>173</v>
      </c>
      <c r="AP508" t="s">
        <v>173</v>
      </c>
      <c r="AQ508" t="s">
        <v>173</v>
      </c>
      <c r="AR508" t="s">
        <v>177</v>
      </c>
      <c r="AS508" t="s">
        <v>173</v>
      </c>
      <c r="AT508" t="s">
        <v>175</v>
      </c>
      <c r="AU508" t="s">
        <v>175</v>
      </c>
      <c r="AV508" t="s">
        <v>179</v>
      </c>
      <c r="AW508" t="s">
        <v>173</v>
      </c>
      <c r="AX508" t="s">
        <v>192</v>
      </c>
      <c r="AY508" t="s">
        <v>202</v>
      </c>
    </row>
    <row r="509" hidden="1" spans="1:51">
      <c r="A509">
        <v>508</v>
      </c>
      <c r="B509" t="s">
        <v>280</v>
      </c>
      <c r="C509">
        <v>2023</v>
      </c>
      <c r="D509">
        <v>2001</v>
      </c>
      <c r="E509">
        <v>2003</v>
      </c>
      <c r="F509" t="s">
        <v>248</v>
      </c>
      <c r="G509" t="s">
        <v>242</v>
      </c>
      <c r="H509" t="s">
        <v>247</v>
      </c>
      <c r="I509"/>
      <c r="J509" t="s">
        <v>252</v>
      </c>
      <c r="K509" t="b">
        <v>0</v>
      </c>
      <c r="L509" t="b">
        <v>0</v>
      </c>
      <c r="M509" t="b">
        <v>0</v>
      </c>
      <c r="N509" t="b">
        <v>0</v>
      </c>
      <c r="O509" t="b">
        <v>0</v>
      </c>
      <c r="P509" t="b">
        <v>0</v>
      </c>
      <c r="Q509" t="b">
        <v>0</v>
      </c>
      <c r="R509" t="b">
        <v>0</v>
      </c>
      <c r="S509" t="b">
        <v>0</v>
      </c>
      <c r="T509" t="b">
        <v>0</v>
      </c>
      <c r="U509" t="b">
        <v>0</v>
      </c>
      <c r="V509" t="b">
        <v>0</v>
      </c>
      <c r="W509" t="b">
        <v>0</v>
      </c>
      <c r="X509" t="b">
        <v>1</v>
      </c>
      <c r="Y509" t="b">
        <v>0</v>
      </c>
      <c r="Z509" t="b">
        <v>0</v>
      </c>
      <c r="AA509" t="b">
        <v>0</v>
      </c>
      <c r="AB509" t="b">
        <v>0</v>
      </c>
      <c r="AC509" t="s">
        <v>173</v>
      </c>
      <c r="AD509" t="s">
        <v>175</v>
      </c>
      <c r="AE509" t="s">
        <v>173</v>
      </c>
      <c r="AF509" t="s">
        <v>173</v>
      </c>
      <c r="AG509" t="s">
        <v>173</v>
      </c>
      <c r="AH509" t="s">
        <v>173</v>
      </c>
      <c r="AI509" t="s">
        <v>173</v>
      </c>
      <c r="AJ509" t="s">
        <v>173</v>
      </c>
      <c r="AK509" t="s">
        <v>173</v>
      </c>
      <c r="AL509" t="s">
        <v>173</v>
      </c>
      <c r="AM509" t="s">
        <v>173</v>
      </c>
      <c r="AN509" t="s">
        <v>173</v>
      </c>
      <c r="AO509" t="s">
        <v>175</v>
      </c>
      <c r="AP509" t="s">
        <v>175</v>
      </c>
      <c r="AQ509" t="s">
        <v>173</v>
      </c>
      <c r="AR509" t="s">
        <v>173</v>
      </c>
      <c r="AS509" t="s">
        <v>173</v>
      </c>
      <c r="AT509" t="s">
        <v>173</v>
      </c>
      <c r="AU509" t="s">
        <v>173</v>
      </c>
      <c r="AV509" t="s">
        <v>175</v>
      </c>
      <c r="AW509" t="s">
        <v>173</v>
      </c>
      <c r="AX509" t="s">
        <v>192</v>
      </c>
      <c r="AY509" t="s">
        <v>198</v>
      </c>
    </row>
    <row r="510" hidden="1" spans="1:51">
      <c r="A510">
        <v>509</v>
      </c>
      <c r="B510" t="s">
        <v>280</v>
      </c>
      <c r="C510">
        <v>2023</v>
      </c>
      <c r="D510" t="s">
        <v>247</v>
      </c>
      <c r="E510" t="s">
        <v>247</v>
      </c>
      <c r="F510" t="s">
        <v>266</v>
      </c>
      <c r="G510" t="s">
        <v>257</v>
      </c>
      <c r="H510" t="s">
        <v>250</v>
      </c>
      <c r="I510" t="s">
        <v>317</v>
      </c>
      <c r="J510" t="s">
        <v>252</v>
      </c>
      <c r="K510" t="b">
        <v>0</v>
      </c>
      <c r="L510" t="b">
        <v>0</v>
      </c>
      <c r="M510" t="b">
        <v>0</v>
      </c>
      <c r="N510" t="b">
        <v>0</v>
      </c>
      <c r="O510" t="b">
        <v>0</v>
      </c>
      <c r="P510" t="b">
        <v>0</v>
      </c>
      <c r="Q510" t="b">
        <v>0</v>
      </c>
      <c r="R510" t="b">
        <v>0</v>
      </c>
      <c r="S510" t="b">
        <v>0</v>
      </c>
      <c r="T510" t="b">
        <v>0</v>
      </c>
      <c r="U510" t="b">
        <v>0</v>
      </c>
      <c r="V510" t="b">
        <v>0</v>
      </c>
      <c r="W510" t="b">
        <v>0</v>
      </c>
      <c r="X510" t="b">
        <v>1</v>
      </c>
      <c r="Y510" t="b">
        <v>0</v>
      </c>
      <c r="Z510" t="b">
        <v>0</v>
      </c>
      <c r="AA510" t="b">
        <v>0</v>
      </c>
      <c r="AB510" t="b">
        <v>0</v>
      </c>
      <c r="AC510" t="s">
        <v>173</v>
      </c>
      <c r="AD510" t="s">
        <v>171</v>
      </c>
      <c r="AE510" t="s">
        <v>171</v>
      </c>
      <c r="AF510" t="s">
        <v>173</v>
      </c>
      <c r="AG510" t="s">
        <v>171</v>
      </c>
      <c r="AH510" t="s">
        <v>171</v>
      </c>
      <c r="AI510" t="s">
        <v>171</v>
      </c>
      <c r="AJ510" t="s">
        <v>171</v>
      </c>
      <c r="AK510" t="s">
        <v>171</v>
      </c>
      <c r="AL510" t="s">
        <v>171</v>
      </c>
      <c r="AM510" t="s">
        <v>171</v>
      </c>
      <c r="AN510" t="s">
        <v>183</v>
      </c>
      <c r="AO510" t="s">
        <v>183</v>
      </c>
      <c r="AP510" t="s">
        <v>173</v>
      </c>
      <c r="AQ510" t="s">
        <v>183</v>
      </c>
      <c r="AR510" t="s">
        <v>171</v>
      </c>
      <c r="AS510" t="s">
        <v>171</v>
      </c>
      <c r="AT510" t="s">
        <v>171</v>
      </c>
      <c r="AU510" t="s">
        <v>171</v>
      </c>
      <c r="AV510" t="s">
        <v>183</v>
      </c>
      <c r="AW510" t="s">
        <v>173</v>
      </c>
      <c r="AX510" t="s">
        <v>192</v>
      </c>
      <c r="AY510" t="s">
        <v>196</v>
      </c>
    </row>
    <row r="511" hidden="1" spans="1:51">
      <c r="A511">
        <v>510</v>
      </c>
      <c r="B511" t="s">
        <v>259</v>
      </c>
      <c r="C511">
        <v>2023</v>
      </c>
      <c r="D511">
        <v>2004</v>
      </c>
      <c r="E511">
        <v>2004</v>
      </c>
      <c r="F511" t="s">
        <v>256</v>
      </c>
      <c r="G511" t="s">
        <v>257</v>
      </c>
      <c r="H511" t="s">
        <v>261</v>
      </c>
      <c r="I511"/>
      <c r="J511" t="s">
        <v>252</v>
      </c>
      <c r="K511" t="b">
        <v>0</v>
      </c>
      <c r="L511" t="b">
        <v>0</v>
      </c>
      <c r="M511" t="b">
        <v>0</v>
      </c>
      <c r="N511" t="b">
        <v>0</v>
      </c>
      <c r="O511" t="b">
        <v>0</v>
      </c>
      <c r="P511" t="b">
        <v>0</v>
      </c>
      <c r="Q511" t="b">
        <v>0</v>
      </c>
      <c r="R511" t="b">
        <v>0</v>
      </c>
      <c r="S511" t="b">
        <v>0</v>
      </c>
      <c r="T511" t="b">
        <v>0</v>
      </c>
      <c r="U511" t="b">
        <v>0</v>
      </c>
      <c r="V511" t="b">
        <v>0</v>
      </c>
      <c r="W511" t="b">
        <v>0</v>
      </c>
      <c r="X511" t="b">
        <v>1</v>
      </c>
      <c r="Y511" t="b">
        <v>0</v>
      </c>
      <c r="Z511" t="b">
        <v>0</v>
      </c>
      <c r="AA511" t="b">
        <v>0</v>
      </c>
      <c r="AB511" t="b">
        <v>0</v>
      </c>
      <c r="AC511" t="s">
        <v>175</v>
      </c>
      <c r="AD511" t="s">
        <v>171</v>
      </c>
      <c r="AE511" t="s">
        <v>179</v>
      </c>
      <c r="AF511" t="s">
        <v>173</v>
      </c>
      <c r="AG511" t="s">
        <v>173</v>
      </c>
      <c r="AH511" t="s">
        <v>179</v>
      </c>
      <c r="AI511" t="s">
        <v>173</v>
      </c>
      <c r="AJ511" t="s">
        <v>171</v>
      </c>
      <c r="AK511" t="s">
        <v>175</v>
      </c>
      <c r="AL511" t="s">
        <v>173</v>
      </c>
      <c r="AM511" t="s">
        <v>171</v>
      </c>
      <c r="AN511" t="s">
        <v>171</v>
      </c>
      <c r="AO511" t="s">
        <v>171</v>
      </c>
      <c r="AP511" t="s">
        <v>175</v>
      </c>
      <c r="AQ511" t="s">
        <v>171</v>
      </c>
      <c r="AR511" t="s">
        <v>173</v>
      </c>
      <c r="AS511" t="s">
        <v>171</v>
      </c>
      <c r="AT511" t="s">
        <v>171</v>
      </c>
      <c r="AU511" t="s">
        <v>171</v>
      </c>
      <c r="AV511" t="s">
        <v>181</v>
      </c>
      <c r="AW511" t="s">
        <v>175</v>
      </c>
      <c r="AX511" t="s">
        <v>193</v>
      </c>
      <c r="AY511" t="s">
        <v>197</v>
      </c>
    </row>
    <row r="512" hidden="1" spans="1:51">
      <c r="A512">
        <v>511</v>
      </c>
      <c r="B512" t="s">
        <v>282</v>
      </c>
      <c r="C512">
        <v>2023</v>
      </c>
      <c r="D512">
        <v>2022</v>
      </c>
      <c r="E512">
        <v>2022</v>
      </c>
      <c r="F512" t="s">
        <v>282</v>
      </c>
      <c r="G512"/>
      <c r="H512" t="s">
        <v>261</v>
      </c>
      <c r="I512"/>
      <c r="J512" t="s">
        <v>265</v>
      </c>
      <c r="K512" t="b">
        <v>0</v>
      </c>
      <c r="L512" t="b">
        <v>0</v>
      </c>
      <c r="M512" t="b">
        <v>0</v>
      </c>
      <c r="N512" t="b">
        <v>0</v>
      </c>
      <c r="O512" t="b">
        <v>0</v>
      </c>
      <c r="P512" t="b">
        <v>0</v>
      </c>
      <c r="Q512" t="b">
        <v>0</v>
      </c>
      <c r="R512" t="b">
        <v>0</v>
      </c>
      <c r="S512" t="b">
        <v>0</v>
      </c>
      <c r="T512" t="b">
        <v>0</v>
      </c>
      <c r="U512" t="b">
        <v>0</v>
      </c>
      <c r="V512" t="b">
        <v>1</v>
      </c>
      <c r="W512" t="b">
        <v>0</v>
      </c>
      <c r="X512" t="b">
        <v>0</v>
      </c>
      <c r="Y512" t="b">
        <v>0</v>
      </c>
      <c r="Z512" t="b">
        <v>0</v>
      </c>
      <c r="AA512" t="b">
        <v>0</v>
      </c>
      <c r="AB512" t="b">
        <v>0</v>
      </c>
      <c r="AC512" t="s">
        <v>171</v>
      </c>
      <c r="AD512" t="s">
        <v>171</v>
      </c>
      <c r="AE512" t="s">
        <v>171</v>
      </c>
      <c r="AF512" t="s">
        <v>183</v>
      </c>
      <c r="AG512" t="s">
        <v>171</v>
      </c>
      <c r="AH512" t="s">
        <v>171</v>
      </c>
      <c r="AI512" t="s">
        <v>171</v>
      </c>
      <c r="AJ512" t="s">
        <v>171</v>
      </c>
      <c r="AK512" t="s">
        <v>171</v>
      </c>
      <c r="AL512" t="s">
        <v>171</v>
      </c>
      <c r="AM512" t="s">
        <v>171</v>
      </c>
      <c r="AN512" t="s">
        <v>171</v>
      </c>
      <c r="AO512" t="s">
        <v>171</v>
      </c>
      <c r="AP512" t="s">
        <v>171</v>
      </c>
      <c r="AQ512" t="s">
        <v>171</v>
      </c>
      <c r="AR512" t="s">
        <v>171</v>
      </c>
      <c r="AS512" t="s">
        <v>171</v>
      </c>
      <c r="AT512" t="s">
        <v>171</v>
      </c>
      <c r="AU512" t="s">
        <v>171</v>
      </c>
      <c r="AV512" t="s">
        <v>175</v>
      </c>
      <c r="AW512" t="s">
        <v>175</v>
      </c>
      <c r="AX512" t="s">
        <v>193</v>
      </c>
      <c r="AY512" t="s">
        <v>201</v>
      </c>
    </row>
    <row r="513" hidden="1" spans="1:51">
      <c r="A513">
        <v>512</v>
      </c>
      <c r="B513" t="s">
        <v>259</v>
      </c>
      <c r="C513">
        <v>2023</v>
      </c>
      <c r="D513">
        <v>1979</v>
      </c>
      <c r="E513">
        <v>1984</v>
      </c>
      <c r="F513" t="s">
        <v>256</v>
      </c>
      <c r="G513" t="s">
        <v>263</v>
      </c>
      <c r="H513" t="s">
        <v>264</v>
      </c>
      <c r="I513"/>
      <c r="J513" t="s">
        <v>252</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1</v>
      </c>
      <c r="AC513" t="s">
        <v>173</v>
      </c>
      <c r="AD513" t="s">
        <v>173</v>
      </c>
      <c r="AE513" t="s">
        <v>173</v>
      </c>
      <c r="AF513" t="s">
        <v>175</v>
      </c>
      <c r="AG513" t="s">
        <v>177</v>
      </c>
      <c r="AH513" t="s">
        <v>175</v>
      </c>
      <c r="AI513" t="s">
        <v>175</v>
      </c>
      <c r="AJ513" t="s">
        <v>175</v>
      </c>
      <c r="AK513" t="s">
        <v>171</v>
      </c>
      <c r="AL513" t="s">
        <v>173</v>
      </c>
      <c r="AM513" t="s">
        <v>173</v>
      </c>
      <c r="AN513" t="s">
        <v>173</v>
      </c>
      <c r="AO513" t="s">
        <v>173</v>
      </c>
      <c r="AP513" t="s">
        <v>173</v>
      </c>
      <c r="AQ513" t="s">
        <v>173</v>
      </c>
      <c r="AR513" t="s">
        <v>173</v>
      </c>
      <c r="AS513" t="s">
        <v>175</v>
      </c>
      <c r="AT513" t="s">
        <v>175</v>
      </c>
      <c r="AU513" t="s">
        <v>175</v>
      </c>
      <c r="AV513" t="s">
        <v>175</v>
      </c>
      <c r="AW513" t="s">
        <v>173</v>
      </c>
      <c r="AX513" t="s">
        <v>193</v>
      </c>
      <c r="AY513" t="s">
        <v>195</v>
      </c>
    </row>
    <row r="514" hidden="1" spans="1:51">
      <c r="A514">
        <v>513</v>
      </c>
      <c r="B514" t="s">
        <v>259</v>
      </c>
      <c r="C514">
        <v>2024</v>
      </c>
      <c r="D514">
        <v>1986</v>
      </c>
      <c r="E514">
        <v>1986</v>
      </c>
      <c r="F514" t="s">
        <v>256</v>
      </c>
      <c r="G514" t="s">
        <v>263</v>
      </c>
      <c r="H514" t="s">
        <v>264</v>
      </c>
      <c r="I514"/>
      <c r="J514" t="s">
        <v>265</v>
      </c>
      <c r="K514" t="b">
        <v>0</v>
      </c>
      <c r="L514" t="b">
        <v>0</v>
      </c>
      <c r="M514" t="b">
        <v>0</v>
      </c>
      <c r="N514" t="b">
        <v>0</v>
      </c>
      <c r="O514" t="b">
        <v>0</v>
      </c>
      <c r="P514" t="b">
        <v>0</v>
      </c>
      <c r="Q514" t="b">
        <v>0</v>
      </c>
      <c r="R514" t="b">
        <v>0</v>
      </c>
      <c r="S514" t="b">
        <v>0</v>
      </c>
      <c r="T514" t="b">
        <v>0</v>
      </c>
      <c r="U514" t="b">
        <v>0</v>
      </c>
      <c r="V514" t="b">
        <v>0</v>
      </c>
      <c r="W514" t="b">
        <v>0</v>
      </c>
      <c r="X514" t="b">
        <v>0</v>
      </c>
      <c r="Y514" t="b">
        <v>0</v>
      </c>
      <c r="Z514" t="b">
        <v>1</v>
      </c>
      <c r="AA514" t="b">
        <v>1</v>
      </c>
      <c r="AB514" t="b">
        <v>0</v>
      </c>
      <c r="AC514" t="s">
        <v>177</v>
      </c>
      <c r="AD514" t="s">
        <v>175</v>
      </c>
      <c r="AE514" t="s">
        <v>175</v>
      </c>
      <c r="AF514" t="s">
        <v>173</v>
      </c>
      <c r="AG514" t="s">
        <v>177</v>
      </c>
      <c r="AH514" t="s">
        <v>177</v>
      </c>
      <c r="AI514" t="s">
        <v>175</v>
      </c>
      <c r="AJ514" t="s">
        <v>173</v>
      </c>
      <c r="AK514" t="s">
        <v>171</v>
      </c>
      <c r="AL514" t="s">
        <v>173</v>
      </c>
      <c r="AM514" t="s">
        <v>173</v>
      </c>
      <c r="AN514" t="s">
        <v>175</v>
      </c>
      <c r="AO514" t="s">
        <v>175</v>
      </c>
      <c r="AP514" t="s">
        <v>177</v>
      </c>
      <c r="AQ514" t="s">
        <v>177</v>
      </c>
      <c r="AR514" t="s">
        <v>175</v>
      </c>
      <c r="AS514" t="s">
        <v>173</v>
      </c>
      <c r="AT514" t="s">
        <v>173</v>
      </c>
      <c r="AU514" t="s">
        <v>173</v>
      </c>
      <c r="AV514" t="s">
        <v>177</v>
      </c>
      <c r="AW514" t="s">
        <v>173</v>
      </c>
      <c r="AX514" t="s">
        <v>192</v>
      </c>
      <c r="AY514" t="s">
        <v>196</v>
      </c>
    </row>
    <row r="515" spans="1:65">
      <c r="A515">
        <v>514</v>
      </c>
      <c r="B515" t="s">
        <v>270</v>
      </c>
      <c r="C515" s="10">
        <v>2023</v>
      </c>
      <c r="D515" s="10">
        <v>1974</v>
      </c>
      <c r="E515" s="10">
        <v>1984</v>
      </c>
      <c r="F515" s="10" t="s">
        <v>256</v>
      </c>
      <c r="G515" s="10" t="s">
        <v>263</v>
      </c>
      <c r="H515" s="10" t="s">
        <v>243</v>
      </c>
      <c r="I515" s="10" t="s">
        <v>271</v>
      </c>
      <c r="J515" s="10" t="s">
        <v>245</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1</v>
      </c>
      <c r="AC515" s="10" t="s">
        <v>171</v>
      </c>
      <c r="AD515" t="s">
        <v>175</v>
      </c>
      <c r="AE515" t="s">
        <v>173</v>
      </c>
      <c r="AF515" t="s">
        <v>175</v>
      </c>
      <c r="AG515" t="s">
        <v>173</v>
      </c>
      <c r="AH515" t="s">
        <v>173</v>
      </c>
      <c r="AI515" t="s">
        <v>173</v>
      </c>
      <c r="AJ515" t="s">
        <v>173</v>
      </c>
      <c r="AK515" t="s">
        <v>173</v>
      </c>
      <c r="AL515" t="s">
        <v>171</v>
      </c>
      <c r="AM515" t="s">
        <v>173</v>
      </c>
      <c r="AN515" t="s">
        <v>171</v>
      </c>
      <c r="AP515" t="s">
        <v>173</v>
      </c>
      <c r="AQ515" t="s">
        <v>173</v>
      </c>
      <c r="AR515" t="s">
        <v>173</v>
      </c>
      <c r="AS515" t="s">
        <v>173</v>
      </c>
      <c r="AT515" t="s">
        <v>173</v>
      </c>
      <c r="AU515" t="s">
        <v>173</v>
      </c>
      <c r="AV515" t="s">
        <v>173</v>
      </c>
      <c r="AW515" t="s">
        <v>173</v>
      </c>
      <c r="AX515" t="s">
        <v>192</v>
      </c>
      <c r="AY515" t="s">
        <v>204</v>
      </c>
      <c r="AZ515" t="s">
        <v>207</v>
      </c>
      <c r="BA515" t="s">
        <v>207</v>
      </c>
      <c r="BB515" t="s">
        <v>207</v>
      </c>
      <c r="BC515" t="s">
        <v>207</v>
      </c>
      <c r="BD515" t="s">
        <v>207</v>
      </c>
      <c r="BE515" t="str">
        <f>IF(AY515="","Unknown",AY515)</f>
        <v>61Not StatedorNot Statedolder</v>
      </c>
      <c r="BF515" s="11" t="str">
        <f>IF(AZ515="","unknown",AZ515)</f>
        <v>NO</v>
      </c>
      <c r="BG515" s="11" t="str">
        <f>IF(BA515="","UNKNOWN",BA515)</f>
        <v>NO</v>
      </c>
      <c r="BH515" s="11" t="str">
        <f>IF(BB515="","unknown",BB515)</f>
        <v>NO</v>
      </c>
      <c r="BI515" s="11" t="str">
        <f>IF(BC515="","Unknon",BC515)</f>
        <v>NO</v>
      </c>
      <c r="BJ515" s="11" t="str">
        <f>IF(BD515="","Unknown",BD515)</f>
        <v>NO</v>
      </c>
      <c r="BK515" s="11">
        <f>VALUE(C515)-VALUE(D515)</f>
        <v>49</v>
      </c>
      <c r="BM515" s="11"/>
    </row>
    <row r="516" hidden="1" spans="1:51">
      <c r="A516">
        <v>515</v>
      </c>
      <c r="B516" t="s">
        <v>259</v>
      </c>
      <c r="C516">
        <v>2023</v>
      </c>
      <c r="D516">
        <v>2013</v>
      </c>
      <c r="E516">
        <v>2013</v>
      </c>
      <c r="F516" t="s">
        <v>253</v>
      </c>
      <c r="G516"/>
      <c r="H516" t="s">
        <v>274</v>
      </c>
      <c r="I516"/>
      <c r="J516" t="s">
        <v>252</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1</v>
      </c>
      <c r="AC516" t="s">
        <v>173</v>
      </c>
      <c r="AD516" t="s">
        <v>173</v>
      </c>
      <c r="AE516" t="s">
        <v>171</v>
      </c>
      <c r="AF516" t="s">
        <v>173</v>
      </c>
      <c r="AG516" t="s">
        <v>173</v>
      </c>
      <c r="AH516" t="s">
        <v>173</v>
      </c>
      <c r="AI516" t="s">
        <v>173</v>
      </c>
      <c r="AJ516" t="s">
        <v>173</v>
      </c>
      <c r="AK516" t="s">
        <v>173</v>
      </c>
      <c r="AL516" t="s">
        <v>173</v>
      </c>
      <c r="AM516" t="s">
        <v>173</v>
      </c>
      <c r="AN516" t="s">
        <v>173</v>
      </c>
      <c r="AO516" t="s">
        <v>173</v>
      </c>
      <c r="AP516" t="s">
        <v>173</v>
      </c>
      <c r="AQ516" t="s">
        <v>173</v>
      </c>
      <c r="AR516" t="s">
        <v>173</v>
      </c>
      <c r="AS516" t="s">
        <v>173</v>
      </c>
      <c r="AT516" t="s">
        <v>173</v>
      </c>
      <c r="AU516" t="s">
        <v>173</v>
      </c>
      <c r="AV516" t="s">
        <v>173</v>
      </c>
      <c r="AW516" t="s">
        <v>173</v>
      </c>
      <c r="AX516" t="s">
        <v>193</v>
      </c>
      <c r="AY516" t="s">
        <v>195</v>
      </c>
    </row>
    <row r="517" hidden="1" spans="1:56">
      <c r="A517">
        <v>516</v>
      </c>
      <c r="B517" t="s">
        <v>259</v>
      </c>
      <c r="C517">
        <v>2023</v>
      </c>
      <c r="D517">
        <v>1998</v>
      </c>
      <c r="E517">
        <v>2008</v>
      </c>
      <c r="F517" t="s">
        <v>294</v>
      </c>
      <c r="G517"/>
      <c r="H517" t="s">
        <v>267</v>
      </c>
      <c r="I517"/>
      <c r="J517" t="s">
        <v>252</v>
      </c>
      <c r="K517" t="b">
        <v>0</v>
      </c>
      <c r="L517" t="b">
        <v>0</v>
      </c>
      <c r="M517" t="b">
        <v>0</v>
      </c>
      <c r="N517" t="b">
        <v>0</v>
      </c>
      <c r="O517" t="b">
        <v>0</v>
      </c>
      <c r="P517" t="b">
        <v>0</v>
      </c>
      <c r="Q517" t="b">
        <v>0</v>
      </c>
      <c r="R517" t="b">
        <v>0</v>
      </c>
      <c r="S517" t="b">
        <v>0</v>
      </c>
      <c r="T517" t="b">
        <v>0</v>
      </c>
      <c r="U517" t="b">
        <v>0</v>
      </c>
      <c r="V517" t="b">
        <v>0</v>
      </c>
      <c r="W517" t="b">
        <v>0</v>
      </c>
      <c r="X517" t="b">
        <v>0</v>
      </c>
      <c r="Y517" t="b">
        <v>0</v>
      </c>
      <c r="Z517" t="b">
        <v>1</v>
      </c>
      <c r="AA517" t="b">
        <v>0</v>
      </c>
      <c r="AB517" t="b">
        <v>0</v>
      </c>
      <c r="AC517" t="s">
        <v>173</v>
      </c>
      <c r="AD517" t="s">
        <v>173</v>
      </c>
      <c r="AE517" t="s">
        <v>173</v>
      </c>
      <c r="AF517" t="s">
        <v>173</v>
      </c>
      <c r="AG517" t="s">
        <v>173</v>
      </c>
      <c r="AH517" t="s">
        <v>173</v>
      </c>
      <c r="AI517" t="s">
        <v>173</v>
      </c>
      <c r="AJ517" t="s">
        <v>173</v>
      </c>
      <c r="AK517" t="s">
        <v>173</v>
      </c>
      <c r="AL517" t="s">
        <v>173</v>
      </c>
      <c r="AM517" t="s">
        <v>173</v>
      </c>
      <c r="AN517" t="s">
        <v>173</v>
      </c>
      <c r="AO517" t="s">
        <v>173</v>
      </c>
      <c r="AP517" t="s">
        <v>173</v>
      </c>
      <c r="AQ517" t="s">
        <v>173</v>
      </c>
      <c r="AR517" t="s">
        <v>173</v>
      </c>
      <c r="AS517" t="s">
        <v>173</v>
      </c>
      <c r="AT517" t="s">
        <v>173</v>
      </c>
      <c r="AU517" t="s">
        <v>173</v>
      </c>
      <c r="AV517" t="s">
        <v>173</v>
      </c>
      <c r="AW517" t="s">
        <v>171</v>
      </c>
      <c r="AX517" t="s">
        <v>192</v>
      </c>
      <c r="AY517" t="s">
        <v>196</v>
      </c>
      <c r="AZ517" t="s">
        <v>183</v>
      </c>
      <c r="BA517" t="s">
        <v>183</v>
      </c>
      <c r="BB517" t="s">
        <v>183</v>
      </c>
      <c r="BC517" t="s">
        <v>183</v>
      </c>
      <c r="BD517" t="s">
        <v>183</v>
      </c>
    </row>
    <row r="518" hidden="1" spans="1:51">
      <c r="A518">
        <v>517</v>
      </c>
      <c r="B518" t="s">
        <v>259</v>
      </c>
      <c r="C518">
        <v>2022</v>
      </c>
      <c r="D518">
        <v>1972</v>
      </c>
      <c r="E518">
        <v>1993</v>
      </c>
      <c r="F518" t="s">
        <v>256</v>
      </c>
      <c r="G518" t="s">
        <v>257</v>
      </c>
      <c r="H518" t="s">
        <v>274</v>
      </c>
      <c r="I518"/>
      <c r="J518" t="s">
        <v>265</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1</v>
      </c>
      <c r="AC518" t="s">
        <v>173</v>
      </c>
      <c r="AD518" t="s">
        <v>173</v>
      </c>
      <c r="AE518" t="s">
        <v>179</v>
      </c>
      <c r="AF518" t="s">
        <v>177</v>
      </c>
      <c r="AG518" t="s">
        <v>173</v>
      </c>
      <c r="AH518" t="s">
        <v>177</v>
      </c>
      <c r="AI518" t="s">
        <v>177</v>
      </c>
      <c r="AJ518" t="s">
        <v>175</v>
      </c>
      <c r="AK518" t="s">
        <v>173</v>
      </c>
      <c r="AL518" t="s">
        <v>173</v>
      </c>
      <c r="AM518" t="s">
        <v>173</v>
      </c>
      <c r="AN518" t="s">
        <v>173</v>
      </c>
      <c r="AO518" t="s">
        <v>173</v>
      </c>
      <c r="AP518" t="s">
        <v>173</v>
      </c>
      <c r="AQ518" t="s">
        <v>173</v>
      </c>
      <c r="AR518" t="s">
        <v>177</v>
      </c>
      <c r="AS518" t="s">
        <v>173</v>
      </c>
      <c r="AT518" t="s">
        <v>175</v>
      </c>
      <c r="AU518" t="s">
        <v>177</v>
      </c>
      <c r="AV518" t="s">
        <v>175</v>
      </c>
      <c r="AW518" t="s">
        <v>173</v>
      </c>
      <c r="AX518" t="s">
        <v>192</v>
      </c>
      <c r="AY518" t="s">
        <v>195</v>
      </c>
    </row>
    <row r="519" hidden="1" spans="1:51">
      <c r="A519">
        <v>518</v>
      </c>
      <c r="B519" t="s">
        <v>272</v>
      </c>
      <c r="C519">
        <v>2020</v>
      </c>
      <c r="D519">
        <v>2016</v>
      </c>
      <c r="E519">
        <v>2016</v>
      </c>
      <c r="F519" t="s">
        <v>266</v>
      </c>
      <c r="G519"/>
      <c r="H519" t="s">
        <v>274</v>
      </c>
      <c r="I519"/>
      <c r="J519" t="s">
        <v>252</v>
      </c>
      <c r="K519" t="b">
        <v>0</v>
      </c>
      <c r="L519" t="b">
        <v>0</v>
      </c>
      <c r="M519" t="b">
        <v>0</v>
      </c>
      <c r="N519" t="b">
        <v>0</v>
      </c>
      <c r="O519" t="b">
        <v>0</v>
      </c>
      <c r="P519" t="b">
        <v>0</v>
      </c>
      <c r="Q519" t="b">
        <v>0</v>
      </c>
      <c r="R519" t="b">
        <v>0</v>
      </c>
      <c r="S519" t="b">
        <v>0</v>
      </c>
      <c r="T519" t="b">
        <v>0</v>
      </c>
      <c r="U519" t="b">
        <v>0</v>
      </c>
      <c r="V519" t="b">
        <v>1</v>
      </c>
      <c r="W519" t="b">
        <v>0</v>
      </c>
      <c r="X519" t="b">
        <v>0</v>
      </c>
      <c r="Y519" t="b">
        <v>0</v>
      </c>
      <c r="Z519" t="b">
        <v>0</v>
      </c>
      <c r="AA519" t="b">
        <v>0</v>
      </c>
      <c r="AB519" t="b">
        <v>0</v>
      </c>
      <c r="AC519" t="s">
        <v>171</v>
      </c>
      <c r="AD519" t="s">
        <v>171</v>
      </c>
      <c r="AE519" t="s">
        <v>171</v>
      </c>
      <c r="AF519" t="s">
        <v>171</v>
      </c>
      <c r="AG519" t="s">
        <v>171</v>
      </c>
      <c r="AH519" t="s">
        <v>171</v>
      </c>
      <c r="AI519" t="s">
        <v>171</v>
      </c>
      <c r="AJ519" t="s">
        <v>171</v>
      </c>
      <c r="AK519" t="s">
        <v>171</v>
      </c>
      <c r="AL519" t="s">
        <v>171</v>
      </c>
      <c r="AM519" t="s">
        <v>171</v>
      </c>
      <c r="AN519" t="s">
        <v>171</v>
      </c>
      <c r="AO519" t="s">
        <v>175</v>
      </c>
      <c r="AP519" t="s">
        <v>175</v>
      </c>
      <c r="AQ519" t="s">
        <v>171</v>
      </c>
      <c r="AR519" t="s">
        <v>173</v>
      </c>
      <c r="AS519" t="s">
        <v>171</v>
      </c>
      <c r="AT519" t="s">
        <v>171</v>
      </c>
      <c r="AU519" t="s">
        <v>171</v>
      </c>
      <c r="AV519" t="s">
        <v>171</v>
      </c>
      <c r="AW519" t="s">
        <v>171</v>
      </c>
      <c r="AY519" t="s">
        <v>203</v>
      </c>
    </row>
    <row r="520" hidden="1" spans="1:51">
      <c r="A520">
        <v>519</v>
      </c>
      <c r="B520" t="s">
        <v>259</v>
      </c>
      <c r="C520">
        <v>2022</v>
      </c>
      <c r="D520">
        <v>1986</v>
      </c>
      <c r="E520">
        <v>1997</v>
      </c>
      <c r="F520" t="s">
        <v>256</v>
      </c>
      <c r="G520" t="s">
        <v>257</v>
      </c>
      <c r="H520" t="s">
        <v>261</v>
      </c>
      <c r="I520"/>
      <c r="J520" t="s">
        <v>252</v>
      </c>
      <c r="K520" t="b">
        <v>0</v>
      </c>
      <c r="L520" t="b">
        <v>0</v>
      </c>
      <c r="M520" t="b">
        <v>0</v>
      </c>
      <c r="N520" t="b">
        <v>0</v>
      </c>
      <c r="O520" t="b">
        <v>0</v>
      </c>
      <c r="P520" t="b">
        <v>0</v>
      </c>
      <c r="Q520" t="b">
        <v>0</v>
      </c>
      <c r="R520" t="b">
        <v>0</v>
      </c>
      <c r="S520" t="b">
        <v>0</v>
      </c>
      <c r="T520" t="b">
        <v>0</v>
      </c>
      <c r="U520" t="b">
        <v>0</v>
      </c>
      <c r="V520" t="b">
        <v>0</v>
      </c>
      <c r="W520" t="b">
        <v>0</v>
      </c>
      <c r="X520" t="b">
        <v>0</v>
      </c>
      <c r="Y520" t="b">
        <v>0</v>
      </c>
      <c r="Z520" t="b">
        <v>1</v>
      </c>
      <c r="AA520" t="b">
        <v>1</v>
      </c>
      <c r="AB520" t="b">
        <v>0</v>
      </c>
      <c r="AC520" t="s">
        <v>173</v>
      </c>
      <c r="AD520" t="s">
        <v>173</v>
      </c>
      <c r="AE520" t="s">
        <v>171</v>
      </c>
      <c r="AF520" t="s">
        <v>181</v>
      </c>
      <c r="AG520" t="s">
        <v>173</v>
      </c>
      <c r="AH520" t="s">
        <v>173</v>
      </c>
      <c r="AI520" t="s">
        <v>177</v>
      </c>
      <c r="AJ520" t="s">
        <v>173</v>
      </c>
      <c r="AK520" t="s">
        <v>171</v>
      </c>
      <c r="AL520" t="s">
        <v>171</v>
      </c>
      <c r="AM520" t="s">
        <v>173</v>
      </c>
      <c r="AN520" t="s">
        <v>175</v>
      </c>
      <c r="AO520" t="s">
        <v>173</v>
      </c>
      <c r="AP520" t="s">
        <v>173</v>
      </c>
      <c r="AQ520" t="s">
        <v>171</v>
      </c>
      <c r="AR520" t="s">
        <v>173</v>
      </c>
      <c r="AS520" t="s">
        <v>171</v>
      </c>
      <c r="AT520" t="s">
        <v>171</v>
      </c>
      <c r="AU520" t="s">
        <v>171</v>
      </c>
      <c r="AV520" t="s">
        <v>173</v>
      </c>
      <c r="AW520" t="s">
        <v>171</v>
      </c>
      <c r="AX520" t="s">
        <v>193</v>
      </c>
      <c r="AY520" t="s">
        <v>196</v>
      </c>
    </row>
    <row r="521" hidden="1" spans="1:51">
      <c r="A521">
        <v>520</v>
      </c>
      <c r="B521" t="s">
        <v>259</v>
      </c>
      <c r="C521">
        <v>2023</v>
      </c>
      <c r="D521">
        <v>1979</v>
      </c>
      <c r="E521">
        <v>1987</v>
      </c>
      <c r="F521" t="s">
        <v>256</v>
      </c>
      <c r="G521" t="s">
        <v>257</v>
      </c>
      <c r="H521" t="s">
        <v>258</v>
      </c>
      <c r="I521"/>
      <c r="J521" t="s">
        <v>252</v>
      </c>
      <c r="K521" t="b">
        <v>0</v>
      </c>
      <c r="L521" t="b">
        <v>0</v>
      </c>
      <c r="M521" t="b">
        <v>0</v>
      </c>
      <c r="N521" t="b">
        <v>0</v>
      </c>
      <c r="O521" t="b">
        <v>0</v>
      </c>
      <c r="P521" t="b">
        <v>0</v>
      </c>
      <c r="Q521" t="b">
        <v>0</v>
      </c>
      <c r="R521" t="b">
        <v>0</v>
      </c>
      <c r="S521" t="b">
        <v>0</v>
      </c>
      <c r="T521" t="b">
        <v>0</v>
      </c>
      <c r="U521" t="b">
        <v>0</v>
      </c>
      <c r="V521" t="b">
        <v>0</v>
      </c>
      <c r="W521" t="b">
        <v>0</v>
      </c>
      <c r="X521" t="b">
        <v>0</v>
      </c>
      <c r="Y521" t="b">
        <v>0</v>
      </c>
      <c r="Z521" t="b">
        <v>1</v>
      </c>
      <c r="AA521" t="b">
        <v>0</v>
      </c>
      <c r="AB521" t="b">
        <v>0</v>
      </c>
      <c r="AC521" t="s">
        <v>173</v>
      </c>
      <c r="AD521" t="s">
        <v>173</v>
      </c>
      <c r="AE521" t="s">
        <v>173</v>
      </c>
      <c r="AF521" t="s">
        <v>173</v>
      </c>
      <c r="AG521" t="s">
        <v>173</v>
      </c>
      <c r="AH521" t="s">
        <v>173</v>
      </c>
      <c r="AI521" t="s">
        <v>173</v>
      </c>
      <c r="AJ521" t="s">
        <v>173</v>
      </c>
      <c r="AK521" t="s">
        <v>173</v>
      </c>
      <c r="AL521" t="s">
        <v>171</v>
      </c>
      <c r="AM521" t="s">
        <v>171</v>
      </c>
      <c r="AN521" t="s">
        <v>173</v>
      </c>
      <c r="AO521" t="s">
        <v>181</v>
      </c>
      <c r="AP521" t="s">
        <v>171</v>
      </c>
      <c r="AQ521" t="s">
        <v>171</v>
      </c>
      <c r="AR521" t="s">
        <v>173</v>
      </c>
      <c r="AS521" t="s">
        <v>173</v>
      </c>
      <c r="AT521" t="s">
        <v>173</v>
      </c>
      <c r="AU521" t="s">
        <v>173</v>
      </c>
      <c r="AV521" t="s">
        <v>173</v>
      </c>
      <c r="AW521" t="s">
        <v>173</v>
      </c>
      <c r="AY521" t="s">
        <v>196</v>
      </c>
    </row>
    <row r="522" hidden="1" spans="1:56">
      <c r="A522">
        <v>521</v>
      </c>
      <c r="B522" t="s">
        <v>280</v>
      </c>
      <c r="C522">
        <v>2023</v>
      </c>
      <c r="D522">
        <v>2005</v>
      </c>
      <c r="E522">
        <v>2009</v>
      </c>
      <c r="F522" t="s">
        <v>266</v>
      </c>
      <c r="G522"/>
      <c r="H522" t="s">
        <v>247</v>
      </c>
      <c r="I522"/>
      <c r="J522" t="s">
        <v>265</v>
      </c>
      <c r="K522" t="b">
        <v>0</v>
      </c>
      <c r="L522" t="b">
        <v>0</v>
      </c>
      <c r="M522" t="b">
        <v>0</v>
      </c>
      <c r="N522" t="b">
        <v>0</v>
      </c>
      <c r="O522" t="b">
        <v>0</v>
      </c>
      <c r="P522" t="b">
        <v>0</v>
      </c>
      <c r="Q522" t="b">
        <v>0</v>
      </c>
      <c r="R522" t="b">
        <v>0</v>
      </c>
      <c r="S522" t="b">
        <v>0</v>
      </c>
      <c r="T522" t="b">
        <v>0</v>
      </c>
      <c r="U522" t="b">
        <v>0</v>
      </c>
      <c r="V522" t="b">
        <v>0</v>
      </c>
      <c r="W522" t="b">
        <v>0</v>
      </c>
      <c r="X522" t="b">
        <v>1</v>
      </c>
      <c r="Y522" t="b">
        <v>0</v>
      </c>
      <c r="Z522" t="b">
        <v>0</v>
      </c>
      <c r="AA522" t="b">
        <v>0</v>
      </c>
      <c r="AB522" t="b">
        <v>0</v>
      </c>
      <c r="AC522" t="s">
        <v>173</v>
      </c>
      <c r="AD522" t="s">
        <v>175</v>
      </c>
      <c r="AE522" t="s">
        <v>175</v>
      </c>
      <c r="AF522" t="s">
        <v>175</v>
      </c>
      <c r="AG522" t="s">
        <v>175</v>
      </c>
      <c r="AH522" t="s">
        <v>173</v>
      </c>
      <c r="AI522" t="s">
        <v>175</v>
      </c>
      <c r="AJ522" t="s">
        <v>175</v>
      </c>
      <c r="AK522" t="s">
        <v>173</v>
      </c>
      <c r="AL522" t="s">
        <v>173</v>
      </c>
      <c r="AM522" t="s">
        <v>173</v>
      </c>
      <c r="AN522" t="s">
        <v>173</v>
      </c>
      <c r="AO522" t="s">
        <v>175</v>
      </c>
      <c r="AP522" t="s">
        <v>175</v>
      </c>
      <c r="AQ522" t="s">
        <v>175</v>
      </c>
      <c r="AR522" t="s">
        <v>175</v>
      </c>
      <c r="AS522" t="s">
        <v>173</v>
      </c>
      <c r="AT522" t="s">
        <v>173</v>
      </c>
      <c r="AU522" t="s">
        <v>175</v>
      </c>
      <c r="AV522" t="s">
        <v>175</v>
      </c>
      <c r="AW522" t="s">
        <v>175</v>
      </c>
      <c r="AX522" t="s">
        <v>192</v>
      </c>
      <c r="AY522" t="s">
        <v>197</v>
      </c>
      <c r="AZ522" t="s">
        <v>183</v>
      </c>
      <c r="BA522" t="s">
        <v>183</v>
      </c>
      <c r="BB522" t="s">
        <v>183</v>
      </c>
      <c r="BC522" t="s">
        <v>208</v>
      </c>
      <c r="BD522" t="s">
        <v>183</v>
      </c>
    </row>
    <row r="523" hidden="1" spans="1:51">
      <c r="A523">
        <v>522</v>
      </c>
      <c r="B523" t="s">
        <v>259</v>
      </c>
      <c r="C523">
        <v>2023</v>
      </c>
      <c r="D523">
        <v>1980</v>
      </c>
      <c r="E523">
        <v>1995</v>
      </c>
      <c r="F523" t="s">
        <v>260</v>
      </c>
      <c r="G523"/>
      <c r="H523" t="s">
        <v>264</v>
      </c>
      <c r="I523"/>
      <c r="J523" t="s">
        <v>252</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1</v>
      </c>
      <c r="AC523" t="s">
        <v>173</v>
      </c>
      <c r="AD523" t="s">
        <v>173</v>
      </c>
      <c r="AE523" t="s">
        <v>175</v>
      </c>
      <c r="AF523" t="s">
        <v>173</v>
      </c>
      <c r="AG523" t="s">
        <v>173</v>
      </c>
      <c r="AH523" t="s">
        <v>177</v>
      </c>
      <c r="AI523" t="s">
        <v>175</v>
      </c>
      <c r="AJ523" t="s">
        <v>175</v>
      </c>
      <c r="AK523" t="s">
        <v>173</v>
      </c>
      <c r="AL523" t="s">
        <v>173</v>
      </c>
      <c r="AM523" t="s">
        <v>173</v>
      </c>
      <c r="AN523" t="s">
        <v>173</v>
      </c>
      <c r="AO523" t="s">
        <v>175</v>
      </c>
      <c r="AP523" t="s">
        <v>173</v>
      </c>
      <c r="AQ523" t="s">
        <v>173</v>
      </c>
      <c r="AR523" t="s">
        <v>175</v>
      </c>
      <c r="AS523" t="s">
        <v>173</v>
      </c>
      <c r="AT523" t="s">
        <v>175</v>
      </c>
      <c r="AU523" t="s">
        <v>173</v>
      </c>
      <c r="AV523" t="s">
        <v>175</v>
      </c>
      <c r="AW523" t="s">
        <v>171</v>
      </c>
      <c r="AX523" t="s">
        <v>193</v>
      </c>
      <c r="AY523" t="s">
        <v>196</v>
      </c>
    </row>
    <row r="524" hidden="1" spans="1:56">
      <c r="A524">
        <v>523</v>
      </c>
      <c r="B524" t="s">
        <v>259</v>
      </c>
      <c r="C524">
        <v>2023</v>
      </c>
      <c r="D524">
        <v>2008</v>
      </c>
      <c r="E524">
        <v>2008</v>
      </c>
      <c r="F524" t="s">
        <v>253</v>
      </c>
      <c r="G524"/>
      <c r="H524" t="s">
        <v>267</v>
      </c>
      <c r="I524"/>
      <c r="J524" t="s">
        <v>252</v>
      </c>
      <c r="K524" t="b">
        <v>0</v>
      </c>
      <c r="L524" t="b">
        <v>0</v>
      </c>
      <c r="M524" t="b">
        <v>0</v>
      </c>
      <c r="N524" t="b">
        <v>0</v>
      </c>
      <c r="O524" t="b">
        <v>0</v>
      </c>
      <c r="P524" t="b">
        <v>0</v>
      </c>
      <c r="Q524" t="b">
        <v>0</v>
      </c>
      <c r="R524" t="b">
        <v>0</v>
      </c>
      <c r="S524" t="b">
        <v>0</v>
      </c>
      <c r="T524" t="b">
        <v>0</v>
      </c>
      <c r="U524" t="b">
        <v>0</v>
      </c>
      <c r="V524" t="b">
        <v>0</v>
      </c>
      <c r="W524" t="b">
        <v>0</v>
      </c>
      <c r="X524" t="b">
        <v>0</v>
      </c>
      <c r="Y524" t="b">
        <v>0</v>
      </c>
      <c r="Z524" t="b">
        <v>1</v>
      </c>
      <c r="AA524" t="b">
        <v>0</v>
      </c>
      <c r="AB524" t="b">
        <v>0</v>
      </c>
      <c r="AC524" t="s">
        <v>173</v>
      </c>
      <c r="AD524" t="s">
        <v>183</v>
      </c>
      <c r="AE524" t="s">
        <v>175</v>
      </c>
      <c r="AF524" t="s">
        <v>173</v>
      </c>
      <c r="AG524" t="s">
        <v>173</v>
      </c>
      <c r="AH524" t="s">
        <v>175</v>
      </c>
      <c r="AI524" t="s">
        <v>173</v>
      </c>
      <c r="AJ524" t="s">
        <v>173</v>
      </c>
      <c r="AK524" t="s">
        <v>175</v>
      </c>
      <c r="AL524" t="s">
        <v>173</v>
      </c>
      <c r="AM524" t="s">
        <v>173</v>
      </c>
      <c r="AN524" t="s">
        <v>183</v>
      </c>
      <c r="AO524" t="s">
        <v>175</v>
      </c>
      <c r="AP524" t="s">
        <v>175</v>
      </c>
      <c r="AQ524" t="s">
        <v>173</v>
      </c>
      <c r="AR524" t="s">
        <v>175</v>
      </c>
      <c r="AS524" t="s">
        <v>173</v>
      </c>
      <c r="AT524" t="s">
        <v>173</v>
      </c>
      <c r="AU524" t="s">
        <v>173</v>
      </c>
      <c r="AV524" t="s">
        <v>177</v>
      </c>
      <c r="AW524" t="s">
        <v>173</v>
      </c>
      <c r="AX524" t="s">
        <v>193</v>
      </c>
      <c r="AY524" t="s">
        <v>195</v>
      </c>
      <c r="AZ524" t="s">
        <v>183</v>
      </c>
      <c r="BA524" t="s">
        <v>183</v>
      </c>
      <c r="BB524" t="s">
        <v>183</v>
      </c>
      <c r="BC524" t="s">
        <v>183</v>
      </c>
      <c r="BD524" t="s">
        <v>183</v>
      </c>
    </row>
    <row r="525" hidden="1" spans="1:51">
      <c r="A525">
        <v>524</v>
      </c>
      <c r="B525" t="s">
        <v>259</v>
      </c>
      <c r="C525">
        <v>2023</v>
      </c>
      <c r="D525">
        <v>1983</v>
      </c>
      <c r="E525">
        <v>2008</v>
      </c>
      <c r="F525" t="s">
        <v>256</v>
      </c>
      <c r="G525" t="s">
        <v>257</v>
      </c>
      <c r="H525" t="s">
        <v>274</v>
      </c>
      <c r="I525"/>
      <c r="J525" t="s">
        <v>265</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s">
        <v>171</v>
      </c>
      <c r="AD525" t="s">
        <v>171</v>
      </c>
      <c r="AE525" t="s">
        <v>173</v>
      </c>
      <c r="AF525" t="s">
        <v>171</v>
      </c>
      <c r="AG525" t="s">
        <v>173</v>
      </c>
      <c r="AH525" t="s">
        <v>171</v>
      </c>
      <c r="AI525" t="s">
        <v>171</v>
      </c>
      <c r="AJ525" t="s">
        <v>171</v>
      </c>
      <c r="AK525" t="s">
        <v>171</v>
      </c>
      <c r="AL525" t="s">
        <v>171</v>
      </c>
      <c r="AM525" t="s">
        <v>171</v>
      </c>
      <c r="AN525" t="s">
        <v>171</v>
      </c>
      <c r="AO525" t="s">
        <v>171</v>
      </c>
      <c r="AP525" t="s">
        <v>171</v>
      </c>
      <c r="AQ525" t="s">
        <v>171</v>
      </c>
      <c r="AR525" t="s">
        <v>173</v>
      </c>
      <c r="AS525" t="s">
        <v>171</v>
      </c>
      <c r="AT525" t="s">
        <v>171</v>
      </c>
      <c r="AU525" t="s">
        <v>171</v>
      </c>
      <c r="AV525" t="s">
        <v>171</v>
      </c>
      <c r="AW525" t="s">
        <v>171</v>
      </c>
      <c r="AX525" t="s">
        <v>192</v>
      </c>
      <c r="AY525" t="s">
        <v>196</v>
      </c>
    </row>
    <row r="526" hidden="1" spans="1:51">
      <c r="A526">
        <v>525</v>
      </c>
      <c r="B526" t="s">
        <v>259</v>
      </c>
      <c r="C526">
        <v>2022</v>
      </c>
      <c r="D526">
        <v>1994</v>
      </c>
      <c r="E526">
        <v>2017</v>
      </c>
      <c r="F526" t="s">
        <v>256</v>
      </c>
      <c r="G526" t="s">
        <v>263</v>
      </c>
      <c r="H526" t="s">
        <v>273</v>
      </c>
      <c r="I526"/>
      <c r="J526" t="s">
        <v>252</v>
      </c>
      <c r="K526" t="b">
        <v>0</v>
      </c>
      <c r="L526" t="b">
        <v>0</v>
      </c>
      <c r="M526" t="b">
        <v>0</v>
      </c>
      <c r="N526" t="b">
        <v>0</v>
      </c>
      <c r="O526" t="b">
        <v>0</v>
      </c>
      <c r="P526" t="b">
        <v>0</v>
      </c>
      <c r="Q526" t="b">
        <v>1</v>
      </c>
      <c r="R526" t="b">
        <v>0</v>
      </c>
      <c r="S526" t="b">
        <v>0</v>
      </c>
      <c r="T526" t="b">
        <v>0</v>
      </c>
      <c r="U526" t="b">
        <v>0</v>
      </c>
      <c r="V526" t="b">
        <v>0</v>
      </c>
      <c r="W526" t="b">
        <v>0</v>
      </c>
      <c r="X526" t="b">
        <v>0</v>
      </c>
      <c r="Y526" t="b">
        <v>0</v>
      </c>
      <c r="Z526" t="b">
        <v>1</v>
      </c>
      <c r="AA526" t="b">
        <v>1</v>
      </c>
      <c r="AB526" t="b">
        <v>0</v>
      </c>
      <c r="AC526" t="s">
        <v>171</v>
      </c>
      <c r="AD526" t="s">
        <v>177</v>
      </c>
      <c r="AE526" t="s">
        <v>171</v>
      </c>
      <c r="AF526" t="s">
        <v>177</v>
      </c>
      <c r="AG526" t="s">
        <v>173</v>
      </c>
      <c r="AH526" t="s">
        <v>179</v>
      </c>
      <c r="AI526" t="s">
        <v>179</v>
      </c>
      <c r="AJ526" t="s">
        <v>175</v>
      </c>
      <c r="AK526" t="s">
        <v>173</v>
      </c>
      <c r="AL526" t="s">
        <v>171</v>
      </c>
      <c r="AM526" t="s">
        <v>171</v>
      </c>
      <c r="AN526" t="s">
        <v>179</v>
      </c>
      <c r="AO526" t="s">
        <v>177</v>
      </c>
      <c r="AP526" t="s">
        <v>177</v>
      </c>
      <c r="AQ526" t="s">
        <v>177</v>
      </c>
      <c r="AR526" t="s">
        <v>177</v>
      </c>
      <c r="AS526" t="s">
        <v>177</v>
      </c>
      <c r="AT526" t="s">
        <v>175</v>
      </c>
      <c r="AU526" t="s">
        <v>173</v>
      </c>
      <c r="AV526" t="s">
        <v>179</v>
      </c>
      <c r="AW526" t="s">
        <v>177</v>
      </c>
      <c r="AX526" t="s">
        <v>192</v>
      </c>
      <c r="AY526" t="s">
        <v>195</v>
      </c>
    </row>
    <row r="527" hidden="1" spans="1:51">
      <c r="A527">
        <v>526</v>
      </c>
      <c r="B527" t="s">
        <v>259</v>
      </c>
      <c r="C527">
        <v>2023</v>
      </c>
      <c r="D527">
        <v>2001</v>
      </c>
      <c r="E527">
        <v>2004</v>
      </c>
      <c r="F527" t="s">
        <v>266</v>
      </c>
      <c r="G527"/>
      <c r="H527" t="s">
        <v>274</v>
      </c>
      <c r="I527"/>
      <c r="J527" t="s">
        <v>265</v>
      </c>
      <c r="K527" t="b">
        <v>0</v>
      </c>
      <c r="L527" t="b">
        <v>0</v>
      </c>
      <c r="M527" t="b">
        <v>0</v>
      </c>
      <c r="N527" t="b">
        <v>0</v>
      </c>
      <c r="O527" t="b">
        <v>0</v>
      </c>
      <c r="P527" t="b">
        <v>0</v>
      </c>
      <c r="Q527" t="b">
        <v>0</v>
      </c>
      <c r="R527" t="b">
        <v>0</v>
      </c>
      <c r="S527" t="b">
        <v>0</v>
      </c>
      <c r="T527" t="b">
        <v>0</v>
      </c>
      <c r="U527" t="b">
        <v>0</v>
      </c>
      <c r="V527" t="b">
        <v>0</v>
      </c>
      <c r="W527" t="b">
        <v>0</v>
      </c>
      <c r="X527" t="b">
        <v>0</v>
      </c>
      <c r="Y527" t="b">
        <v>0</v>
      </c>
      <c r="Z527" t="b">
        <v>1</v>
      </c>
      <c r="AA527" t="b">
        <v>0</v>
      </c>
      <c r="AB527" t="b">
        <v>0</v>
      </c>
      <c r="AC527" t="s">
        <v>177</v>
      </c>
      <c r="AD527" t="s">
        <v>183</v>
      </c>
      <c r="AE527" t="s">
        <v>179</v>
      </c>
      <c r="AF527" t="s">
        <v>179</v>
      </c>
      <c r="AG527" t="s">
        <v>173</v>
      </c>
      <c r="AH527" t="s">
        <v>175</v>
      </c>
      <c r="AI527" t="s">
        <v>175</v>
      </c>
      <c r="AJ527" t="s">
        <v>175</v>
      </c>
      <c r="AK527" t="s">
        <v>175</v>
      </c>
      <c r="AL527" t="s">
        <v>175</v>
      </c>
      <c r="AM527" t="s">
        <v>173</v>
      </c>
      <c r="AN527" t="s">
        <v>183</v>
      </c>
      <c r="AO527" t="s">
        <v>183</v>
      </c>
      <c r="AP527" t="s">
        <v>173</v>
      </c>
      <c r="AQ527" t="s">
        <v>177</v>
      </c>
      <c r="AR527" t="s">
        <v>179</v>
      </c>
      <c r="AS527" t="s">
        <v>179</v>
      </c>
      <c r="AT527" t="s">
        <v>179</v>
      </c>
      <c r="AU527" t="s">
        <v>179</v>
      </c>
      <c r="AV527" t="s">
        <v>179</v>
      </c>
      <c r="AW527" t="s">
        <v>183</v>
      </c>
      <c r="AX527" t="s">
        <v>192</v>
      </c>
      <c r="AY527" t="s">
        <v>195</v>
      </c>
    </row>
    <row r="528" hidden="1" spans="1:51">
      <c r="A528">
        <v>527</v>
      </c>
      <c r="B528" t="s">
        <v>259</v>
      </c>
      <c r="C528">
        <v>2023</v>
      </c>
      <c r="D528">
        <v>1979</v>
      </c>
      <c r="E528">
        <v>2021</v>
      </c>
      <c r="F528"/>
      <c r="G528"/>
      <c r="H528" t="s">
        <v>274</v>
      </c>
      <c r="I528"/>
      <c r="J528" t="s">
        <v>252</v>
      </c>
      <c r="K528" t="b">
        <v>0</v>
      </c>
      <c r="L528" t="b">
        <v>0</v>
      </c>
      <c r="M528" t="b">
        <v>0</v>
      </c>
      <c r="N528" t="b">
        <v>0</v>
      </c>
      <c r="O528" t="b">
        <v>0</v>
      </c>
      <c r="P528" t="b">
        <v>0</v>
      </c>
      <c r="Q528" t="b">
        <v>0</v>
      </c>
      <c r="R528" t="b">
        <v>0</v>
      </c>
      <c r="S528" t="b">
        <v>0</v>
      </c>
      <c r="T528" t="b">
        <v>0</v>
      </c>
      <c r="U528" t="b">
        <v>0</v>
      </c>
      <c r="V528" t="b">
        <v>0</v>
      </c>
      <c r="W528" t="b">
        <v>0</v>
      </c>
      <c r="X528" t="b">
        <v>0</v>
      </c>
      <c r="Y528" t="b">
        <v>0</v>
      </c>
      <c r="Z528" t="b">
        <v>1</v>
      </c>
      <c r="AA528" t="b">
        <v>0</v>
      </c>
      <c r="AB528" t="b">
        <v>0</v>
      </c>
      <c r="AC528" t="s">
        <v>173</v>
      </c>
      <c r="AD528" t="s">
        <v>173</v>
      </c>
      <c r="AE528" t="s">
        <v>173</v>
      </c>
      <c r="AF528" t="s">
        <v>175</v>
      </c>
      <c r="AG528" t="s">
        <v>173</v>
      </c>
      <c r="AH528" t="s">
        <v>173</v>
      </c>
      <c r="AI528" t="s">
        <v>173</v>
      </c>
      <c r="AJ528" t="s">
        <v>173</v>
      </c>
      <c r="AK528" t="s">
        <v>175</v>
      </c>
      <c r="AL528" t="s">
        <v>171</v>
      </c>
      <c r="AM528" t="s">
        <v>171</v>
      </c>
      <c r="AN528" t="s">
        <v>173</v>
      </c>
      <c r="AO528" t="s">
        <v>171</v>
      </c>
      <c r="AP528" t="s">
        <v>171</v>
      </c>
      <c r="AQ528" t="s">
        <v>171</v>
      </c>
      <c r="AR528" t="s">
        <v>171</v>
      </c>
      <c r="AS528" t="s">
        <v>171</v>
      </c>
      <c r="AT528" t="s">
        <v>171</v>
      </c>
      <c r="AU528" t="s">
        <v>171</v>
      </c>
      <c r="AV528" t="s">
        <v>173</v>
      </c>
      <c r="AW528" t="s">
        <v>173</v>
      </c>
      <c r="AX528" t="s">
        <v>192</v>
      </c>
      <c r="AY528" t="s">
        <v>195</v>
      </c>
    </row>
    <row r="529" hidden="1" spans="1:56">
      <c r="A529">
        <v>528</v>
      </c>
      <c r="B529" t="s">
        <v>259</v>
      </c>
      <c r="C529">
        <v>2022</v>
      </c>
      <c r="D529">
        <v>1995</v>
      </c>
      <c r="E529">
        <v>1995</v>
      </c>
      <c r="F529" t="s">
        <v>266</v>
      </c>
      <c r="G529"/>
      <c r="H529" t="s">
        <v>258</v>
      </c>
      <c r="I529"/>
      <c r="J529" t="s">
        <v>265</v>
      </c>
      <c r="K529" t="b">
        <v>0</v>
      </c>
      <c r="L529" t="b">
        <v>0</v>
      </c>
      <c r="M529" t="b">
        <v>0</v>
      </c>
      <c r="N529" t="b">
        <v>0</v>
      </c>
      <c r="O529" t="b">
        <v>0</v>
      </c>
      <c r="P529" t="b">
        <v>0</v>
      </c>
      <c r="Q529" t="b">
        <v>0</v>
      </c>
      <c r="R529" t="b">
        <v>0</v>
      </c>
      <c r="S529" t="b">
        <v>0</v>
      </c>
      <c r="T529" t="b">
        <v>0</v>
      </c>
      <c r="U529" t="b">
        <v>0</v>
      </c>
      <c r="V529" t="b">
        <v>0</v>
      </c>
      <c r="W529" t="b">
        <v>0</v>
      </c>
      <c r="X529" t="b">
        <v>0</v>
      </c>
      <c r="Y529" t="b">
        <v>0</v>
      </c>
      <c r="Z529" t="b">
        <v>1</v>
      </c>
      <c r="AA529" t="b">
        <v>0</v>
      </c>
      <c r="AB529" t="b">
        <v>0</v>
      </c>
      <c r="AC529" t="s">
        <v>173</v>
      </c>
      <c r="AD529" t="s">
        <v>175</v>
      </c>
      <c r="AE529" t="s">
        <v>173</v>
      </c>
      <c r="AF529" t="s">
        <v>171</v>
      </c>
      <c r="AG529" t="s">
        <v>173</v>
      </c>
      <c r="AH529" t="s">
        <v>171</v>
      </c>
      <c r="AI529" t="s">
        <v>175</v>
      </c>
      <c r="AJ529" t="s">
        <v>173</v>
      </c>
      <c r="AK529" t="s">
        <v>173</v>
      </c>
      <c r="AL529" t="s">
        <v>173</v>
      </c>
      <c r="AM529" t="s">
        <v>177</v>
      </c>
      <c r="AN529" t="s">
        <v>175</v>
      </c>
      <c r="AO529" t="s">
        <v>175</v>
      </c>
      <c r="AP529" t="s">
        <v>173</v>
      </c>
      <c r="AQ529" t="s">
        <v>175</v>
      </c>
      <c r="AR529" t="s">
        <v>173</v>
      </c>
      <c r="AS529" t="s">
        <v>173</v>
      </c>
      <c r="AT529" t="s">
        <v>173</v>
      </c>
      <c r="AU529" t="s">
        <v>173</v>
      </c>
      <c r="AV529" t="s">
        <v>175</v>
      </c>
      <c r="AW529" t="s">
        <v>173</v>
      </c>
      <c r="AX529" t="s">
        <v>192</v>
      </c>
      <c r="AY529" t="s">
        <v>195</v>
      </c>
      <c r="AZ529" t="s">
        <v>208</v>
      </c>
      <c r="BA529" t="s">
        <v>208</v>
      </c>
      <c r="BB529" t="s">
        <v>208</v>
      </c>
      <c r="BC529" t="s">
        <v>208</v>
      </c>
      <c r="BD529" t="s">
        <v>208</v>
      </c>
    </row>
    <row r="530" hidden="1" spans="1:51">
      <c r="A530">
        <v>529</v>
      </c>
      <c r="B530" t="s">
        <v>280</v>
      </c>
      <c r="C530">
        <v>2022</v>
      </c>
      <c r="D530">
        <v>1978</v>
      </c>
      <c r="E530">
        <v>1999</v>
      </c>
      <c r="F530" t="s">
        <v>256</v>
      </c>
      <c r="G530" t="s">
        <v>257</v>
      </c>
      <c r="H530" t="s">
        <v>268</v>
      </c>
      <c r="I530"/>
      <c r="J530" t="s">
        <v>265</v>
      </c>
      <c r="K530" t="b">
        <v>0</v>
      </c>
      <c r="L530" t="b">
        <v>0</v>
      </c>
      <c r="M530" t="b">
        <v>0</v>
      </c>
      <c r="N530" t="b">
        <v>1</v>
      </c>
      <c r="O530" t="b">
        <v>1</v>
      </c>
      <c r="P530" t="b">
        <v>0</v>
      </c>
      <c r="Q530" t="b">
        <v>0</v>
      </c>
      <c r="R530" t="b">
        <v>0</v>
      </c>
      <c r="S530" t="b">
        <v>0</v>
      </c>
      <c r="T530" t="b">
        <v>0</v>
      </c>
      <c r="U530" t="b">
        <v>0</v>
      </c>
      <c r="V530" t="b">
        <v>0</v>
      </c>
      <c r="W530" t="b">
        <v>0</v>
      </c>
      <c r="X530" t="b">
        <v>1</v>
      </c>
      <c r="Y530" t="b">
        <v>0</v>
      </c>
      <c r="Z530" t="b">
        <v>0</v>
      </c>
      <c r="AA530" t="b">
        <v>0</v>
      </c>
      <c r="AB530" t="b">
        <v>0</v>
      </c>
      <c r="AC530" t="s">
        <v>171</v>
      </c>
      <c r="AD530" t="s">
        <v>171</v>
      </c>
      <c r="AE530" t="s">
        <v>171</v>
      </c>
      <c r="AF530" t="s">
        <v>171</v>
      </c>
      <c r="AG530" t="s">
        <v>171</v>
      </c>
      <c r="AH530" t="s">
        <v>171</v>
      </c>
      <c r="AI530" t="s">
        <v>171</v>
      </c>
      <c r="AJ530" t="s">
        <v>171</v>
      </c>
      <c r="AK530" t="s">
        <v>171</v>
      </c>
      <c r="AL530" t="s">
        <v>171</v>
      </c>
      <c r="AM530" t="s">
        <v>171</v>
      </c>
      <c r="AN530" t="s">
        <v>171</v>
      </c>
      <c r="AO530" t="s">
        <v>173</v>
      </c>
      <c r="AP530" t="s">
        <v>173</v>
      </c>
      <c r="AQ530" t="s">
        <v>173</v>
      </c>
      <c r="AR530" t="s">
        <v>173</v>
      </c>
      <c r="AS530" t="s">
        <v>173</v>
      </c>
      <c r="AT530" t="s">
        <v>173</v>
      </c>
      <c r="AU530" t="s">
        <v>173</v>
      </c>
      <c r="AV530" t="s">
        <v>173</v>
      </c>
      <c r="AW530" t="s">
        <v>173</v>
      </c>
      <c r="AX530" t="s">
        <v>193</v>
      </c>
      <c r="AY530" t="s">
        <v>195</v>
      </c>
    </row>
    <row r="531" hidden="1" spans="1:51">
      <c r="A531">
        <v>530</v>
      </c>
      <c r="B531" t="s">
        <v>259</v>
      </c>
      <c r="C531">
        <v>2023</v>
      </c>
      <c r="D531" t="s">
        <v>247</v>
      </c>
      <c r="E531" t="s">
        <v>247</v>
      </c>
      <c r="F531" t="s">
        <v>253</v>
      </c>
      <c r="G531"/>
      <c r="H531" t="s">
        <v>250</v>
      </c>
      <c r="I531" t="s">
        <v>254</v>
      </c>
      <c r="J531" t="s">
        <v>252</v>
      </c>
      <c r="K531" t="b">
        <v>0</v>
      </c>
      <c r="L531" t="b">
        <v>0</v>
      </c>
      <c r="M531" t="b">
        <v>0</v>
      </c>
      <c r="N531" t="b">
        <v>1</v>
      </c>
      <c r="O531" t="b">
        <v>0</v>
      </c>
      <c r="P531" t="b">
        <v>0</v>
      </c>
      <c r="Q531" t="b">
        <v>0</v>
      </c>
      <c r="R531" t="b">
        <v>0</v>
      </c>
      <c r="S531" t="b">
        <v>0</v>
      </c>
      <c r="T531" t="b">
        <v>0</v>
      </c>
      <c r="U531" t="b">
        <v>0</v>
      </c>
      <c r="V531" t="b">
        <v>0</v>
      </c>
      <c r="W531" t="b">
        <v>0</v>
      </c>
      <c r="X531" t="b">
        <v>0</v>
      </c>
      <c r="Y531" t="b">
        <v>0</v>
      </c>
      <c r="Z531" t="b">
        <v>0</v>
      </c>
      <c r="AA531" t="b">
        <v>0</v>
      </c>
      <c r="AB531" t="b">
        <v>0</v>
      </c>
      <c r="AC531" t="s">
        <v>175</v>
      </c>
      <c r="AD531" t="s">
        <v>175</v>
      </c>
      <c r="AE531" t="s">
        <v>175</v>
      </c>
      <c r="AF531" t="s">
        <v>175</v>
      </c>
      <c r="AG531" t="s">
        <v>175</v>
      </c>
      <c r="AH531" t="s">
        <v>175</v>
      </c>
      <c r="AI531" t="s">
        <v>175</v>
      </c>
      <c r="AJ531" t="s">
        <v>175</v>
      </c>
      <c r="AK531" t="s">
        <v>175</v>
      </c>
      <c r="AL531" t="s">
        <v>175</v>
      </c>
      <c r="AM531" t="s">
        <v>175</v>
      </c>
      <c r="AN531" t="s">
        <v>181</v>
      </c>
      <c r="AO531" t="s">
        <v>177</v>
      </c>
      <c r="AP531" t="s">
        <v>177</v>
      </c>
      <c r="AQ531" t="s">
        <v>177</v>
      </c>
      <c r="AR531" t="s">
        <v>177</v>
      </c>
      <c r="AS531" t="s">
        <v>177</v>
      </c>
      <c r="AT531" t="s">
        <v>175</v>
      </c>
      <c r="AU531" t="s">
        <v>175</v>
      </c>
      <c r="AV531" t="s">
        <v>175</v>
      </c>
      <c r="AW531" t="s">
        <v>175</v>
      </c>
      <c r="AX531" t="s">
        <v>193</v>
      </c>
      <c r="AY531" t="s">
        <v>195</v>
      </c>
    </row>
    <row r="532" hidden="1" spans="1:56">
      <c r="A532">
        <v>531</v>
      </c>
      <c r="B532" t="s">
        <v>259</v>
      </c>
      <c r="C532">
        <v>2023</v>
      </c>
      <c r="D532">
        <v>1984</v>
      </c>
      <c r="E532">
        <v>1984</v>
      </c>
      <c r="F532" t="s">
        <v>256</v>
      </c>
      <c r="G532" t="s">
        <v>257</v>
      </c>
      <c r="H532" t="s">
        <v>274</v>
      </c>
      <c r="I532"/>
      <c r="J532" t="s">
        <v>252</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1</v>
      </c>
      <c r="AC532" t="s">
        <v>171</v>
      </c>
      <c r="AD532" t="s">
        <v>171</v>
      </c>
      <c r="AE532" t="s">
        <v>171</v>
      </c>
      <c r="AF532" t="s">
        <v>171</v>
      </c>
      <c r="AG532" t="s">
        <v>171</v>
      </c>
      <c r="AH532" t="s">
        <v>171</v>
      </c>
      <c r="AI532" t="s">
        <v>171</v>
      </c>
      <c r="AJ532" t="s">
        <v>171</v>
      </c>
      <c r="AK532" t="s">
        <v>171</v>
      </c>
      <c r="AL532" t="s">
        <v>171</v>
      </c>
      <c r="AM532" t="s">
        <v>171</v>
      </c>
      <c r="AN532" t="s">
        <v>171</v>
      </c>
      <c r="AO532" t="s">
        <v>171</v>
      </c>
      <c r="AP532" t="s">
        <v>171</v>
      </c>
      <c r="AQ532" t="s">
        <v>171</v>
      </c>
      <c r="AR532" t="s">
        <v>171</v>
      </c>
      <c r="AS532" t="s">
        <v>171</v>
      </c>
      <c r="AT532" t="s">
        <v>171</v>
      </c>
      <c r="AU532" t="s">
        <v>171</v>
      </c>
      <c r="AV532" t="s">
        <v>171</v>
      </c>
      <c r="AW532" t="s">
        <v>171</v>
      </c>
      <c r="AY532" t="s">
        <v>195</v>
      </c>
      <c r="AZ532" t="s">
        <v>183</v>
      </c>
      <c r="BA532" t="s">
        <v>183</v>
      </c>
      <c r="BB532" t="s">
        <v>183</v>
      </c>
      <c r="BC532" t="s">
        <v>183</v>
      </c>
      <c r="BD532" t="s">
        <v>183</v>
      </c>
    </row>
    <row r="533" hidden="1" spans="1:51">
      <c r="A533">
        <v>532</v>
      </c>
      <c r="B533" t="s">
        <v>255</v>
      </c>
      <c r="C533">
        <v>2023</v>
      </c>
      <c r="D533" t="s">
        <v>247</v>
      </c>
      <c r="E533" t="s">
        <v>247</v>
      </c>
      <c r="F533" t="s">
        <v>275</v>
      </c>
      <c r="G533"/>
      <c r="H533" t="s">
        <v>250</v>
      </c>
      <c r="I533" t="s">
        <v>254</v>
      </c>
      <c r="J533" t="s">
        <v>265</v>
      </c>
      <c r="K533" t="b">
        <v>0</v>
      </c>
      <c r="L533" t="b">
        <v>0</v>
      </c>
      <c r="M533" t="b">
        <v>0</v>
      </c>
      <c r="N533" t="b">
        <v>0</v>
      </c>
      <c r="O533" t="b">
        <v>0</v>
      </c>
      <c r="P533" t="b">
        <v>0</v>
      </c>
      <c r="Q533" t="b">
        <v>0</v>
      </c>
      <c r="R533" t="b">
        <v>0</v>
      </c>
      <c r="S533" t="b">
        <v>0</v>
      </c>
      <c r="T533" t="b">
        <v>0</v>
      </c>
      <c r="U533" t="b">
        <v>1</v>
      </c>
      <c r="V533" t="b">
        <v>0</v>
      </c>
      <c r="W533" t="b">
        <v>0</v>
      </c>
      <c r="X533" t="b">
        <v>0</v>
      </c>
      <c r="Y533" t="b">
        <v>1</v>
      </c>
      <c r="Z533" t="b">
        <v>1</v>
      </c>
      <c r="AA533" t="b">
        <v>0</v>
      </c>
      <c r="AB533" t="b">
        <v>0</v>
      </c>
      <c r="AC533" t="s">
        <v>173</v>
      </c>
      <c r="AD533" t="s">
        <v>173</v>
      </c>
      <c r="AE533" t="s">
        <v>175</v>
      </c>
      <c r="AF533" t="s">
        <v>179</v>
      </c>
      <c r="AG533" t="s">
        <v>173</v>
      </c>
      <c r="AH533" t="s">
        <v>173</v>
      </c>
      <c r="AI533" t="s">
        <v>175</v>
      </c>
      <c r="AJ533" t="s">
        <v>175</v>
      </c>
      <c r="AK533" t="s">
        <v>175</v>
      </c>
      <c r="AL533" t="s">
        <v>173</v>
      </c>
      <c r="AM533" t="s">
        <v>171</v>
      </c>
      <c r="AN533" t="s">
        <v>171</v>
      </c>
      <c r="AO533" t="s">
        <v>179</v>
      </c>
      <c r="AP533" t="s">
        <v>179</v>
      </c>
      <c r="AQ533" t="s">
        <v>173</v>
      </c>
      <c r="AR533" t="s">
        <v>179</v>
      </c>
      <c r="AS533" t="s">
        <v>173</v>
      </c>
      <c r="AT533" t="s">
        <v>173</v>
      </c>
      <c r="AU533" t="s">
        <v>173</v>
      </c>
      <c r="AV533" t="s">
        <v>175</v>
      </c>
      <c r="AW533" t="s">
        <v>175</v>
      </c>
      <c r="AX533" t="s">
        <v>192</v>
      </c>
      <c r="AY533" t="s">
        <v>196</v>
      </c>
    </row>
    <row r="534" spans="1:65">
      <c r="A534">
        <v>533</v>
      </c>
      <c r="B534" t="s">
        <v>296</v>
      </c>
      <c r="C534" s="10">
        <v>2023</v>
      </c>
      <c r="D534" s="10">
        <v>1999</v>
      </c>
      <c r="E534" s="10">
        <v>2004</v>
      </c>
      <c r="F534" s="10" t="s">
        <v>256</v>
      </c>
      <c r="G534" s="10" t="s">
        <v>263</v>
      </c>
      <c r="H534" s="10" t="s">
        <v>243</v>
      </c>
      <c r="I534" s="10" t="s">
        <v>271</v>
      </c>
      <c r="J534" s="10" t="s">
        <v>245</v>
      </c>
      <c r="K534" t="b">
        <v>0</v>
      </c>
      <c r="L534" t="b">
        <v>0</v>
      </c>
      <c r="M534" t="b">
        <v>0</v>
      </c>
      <c r="N534" t="b">
        <v>0</v>
      </c>
      <c r="O534" t="b">
        <v>0</v>
      </c>
      <c r="P534" t="b">
        <v>0</v>
      </c>
      <c r="Q534" t="b">
        <v>0</v>
      </c>
      <c r="R534" t="b">
        <v>0</v>
      </c>
      <c r="S534" t="b">
        <v>0</v>
      </c>
      <c r="T534" t="b">
        <v>0</v>
      </c>
      <c r="U534" t="b">
        <v>0</v>
      </c>
      <c r="V534" t="b">
        <v>0</v>
      </c>
      <c r="W534" t="b">
        <v>0</v>
      </c>
      <c r="X534" t="b">
        <v>0</v>
      </c>
      <c r="Y534" t="b">
        <v>0</v>
      </c>
      <c r="Z534" t="b">
        <v>1</v>
      </c>
      <c r="AA534" t="b">
        <v>1</v>
      </c>
      <c r="AB534" t="b">
        <v>0</v>
      </c>
      <c r="AC534" s="10" t="s">
        <v>173</v>
      </c>
      <c r="AD534" t="s">
        <v>175</v>
      </c>
      <c r="AE534" t="s">
        <v>171</v>
      </c>
      <c r="AF534" t="s">
        <v>173</v>
      </c>
      <c r="AG534" t="s">
        <v>173</v>
      </c>
      <c r="AH534" t="s">
        <v>177</v>
      </c>
      <c r="AI534" t="s">
        <v>177</v>
      </c>
      <c r="AJ534" t="s">
        <v>173</v>
      </c>
      <c r="AK534" t="s">
        <v>173</v>
      </c>
      <c r="AL534" t="s">
        <v>173</v>
      </c>
      <c r="AM534" t="s">
        <v>173</v>
      </c>
      <c r="AN534" t="s">
        <v>173</v>
      </c>
      <c r="AO534" t="s">
        <v>175</v>
      </c>
      <c r="AP534" t="s">
        <v>173</v>
      </c>
      <c r="AQ534" t="s">
        <v>173</v>
      </c>
      <c r="AR534" t="s">
        <v>171</v>
      </c>
      <c r="AS534" t="s">
        <v>171</v>
      </c>
      <c r="AT534" t="s">
        <v>173</v>
      </c>
      <c r="AU534" t="s">
        <v>173</v>
      </c>
      <c r="AV534" t="s">
        <v>173</v>
      </c>
      <c r="AW534" t="s">
        <v>171</v>
      </c>
      <c r="AX534" t="s">
        <v>192</v>
      </c>
      <c r="AY534" t="s">
        <v>196</v>
      </c>
      <c r="BE534" t="str">
        <f>IF(AY534="","Unknown",AY534)</f>
        <v>56-60</v>
      </c>
      <c r="BF534" s="11" t="str">
        <f>IF(AZ534="","unknown",AZ534)</f>
        <v>unknown</v>
      </c>
      <c r="BG534" s="11" t="str">
        <f>IF(BA534="","UNKNOWN",BA534)</f>
        <v>UNKNOWN</v>
      </c>
      <c r="BH534" s="11" t="str">
        <f>IF(BB534="","unknown",BB534)</f>
        <v>unknown</v>
      </c>
      <c r="BI534" s="11" t="str">
        <f>IF(BC534="","Unknon",BC534)</f>
        <v>Unknon</v>
      </c>
      <c r="BJ534" s="11" t="str">
        <f>IF(BD534="","Unknown",BD534)</f>
        <v>Unknown</v>
      </c>
      <c r="BK534" s="11">
        <f>VALUE(C534)-VALUE(D534)</f>
        <v>24</v>
      </c>
      <c r="BM534" s="11"/>
    </row>
    <row r="535" spans="1:65">
      <c r="A535">
        <v>534</v>
      </c>
      <c r="B535" t="s">
        <v>315</v>
      </c>
      <c r="C535" s="10">
        <v>2023</v>
      </c>
      <c r="D535" s="10">
        <v>2008</v>
      </c>
      <c r="E535" s="10">
        <v>2021</v>
      </c>
      <c r="F535" s="10" t="s">
        <v>241</v>
      </c>
      <c r="G535" s="10" t="s">
        <v>301</v>
      </c>
      <c r="H535" s="10" t="s">
        <v>243</v>
      </c>
      <c r="I535" s="10" t="s">
        <v>318</v>
      </c>
      <c r="J535" s="10" t="s">
        <v>245</v>
      </c>
      <c r="K535" t="b">
        <v>0</v>
      </c>
      <c r="L535" t="b">
        <v>1</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s="10" t="s">
        <v>173</v>
      </c>
      <c r="AD535" t="s">
        <v>173</v>
      </c>
      <c r="AE535" t="s">
        <v>173</v>
      </c>
      <c r="AF535" t="s">
        <v>175</v>
      </c>
      <c r="AG535" t="s">
        <v>171</v>
      </c>
      <c r="AH535" t="s">
        <v>173</v>
      </c>
      <c r="AI535" t="s">
        <v>173</v>
      </c>
      <c r="AJ535" t="s">
        <v>171</v>
      </c>
      <c r="AK535" t="s">
        <v>171</v>
      </c>
      <c r="AL535" t="s">
        <v>171</v>
      </c>
      <c r="AM535" t="s">
        <v>171</v>
      </c>
      <c r="AN535" t="s">
        <v>173</v>
      </c>
      <c r="AO535" t="s">
        <v>171</v>
      </c>
      <c r="AP535" t="s">
        <v>171</v>
      </c>
      <c r="AQ535" t="s">
        <v>171</v>
      </c>
      <c r="AR535" t="s">
        <v>173</v>
      </c>
      <c r="AS535" t="s">
        <v>171</v>
      </c>
      <c r="AT535" t="s">
        <v>173</v>
      </c>
      <c r="AU535" t="s">
        <v>171</v>
      </c>
      <c r="AV535" t="s">
        <v>173</v>
      </c>
      <c r="AW535" t="s">
        <v>173</v>
      </c>
      <c r="AX535" t="s">
        <v>193</v>
      </c>
      <c r="AY535" t="s">
        <v>201</v>
      </c>
      <c r="AZ535" t="s">
        <v>208</v>
      </c>
      <c r="BA535" t="s">
        <v>207</v>
      </c>
      <c r="BB535" t="s">
        <v>208</v>
      </c>
      <c r="BC535" t="s">
        <v>207</v>
      </c>
      <c r="BD535" t="s">
        <v>207</v>
      </c>
      <c r="BE535" t="str">
        <f>IF(AY535="","Unknown",AY535)</f>
        <v>36-40</v>
      </c>
      <c r="BF535" s="11" t="str">
        <f>IF(AZ535="","unknown",AZ535)</f>
        <v>Yes</v>
      </c>
      <c r="BG535" s="11" t="str">
        <f>IF(BA535="","UNKNOWN",BA535)</f>
        <v>NO</v>
      </c>
      <c r="BH535" s="11" t="str">
        <f>IF(BB535="","unknown",BB535)</f>
        <v>Yes</v>
      </c>
      <c r="BI535" s="11" t="str">
        <f>IF(BC535="","Unknon",BC535)</f>
        <v>NO</v>
      </c>
      <c r="BJ535" s="11" t="str">
        <f>IF(BD535="","Unknown",BD535)</f>
        <v>NO</v>
      </c>
      <c r="BK535" s="11">
        <f>VALUE(C535)-VALUE(D535)</f>
        <v>15</v>
      </c>
      <c r="BM535" s="11"/>
    </row>
    <row r="536" hidden="1" spans="1:56">
      <c r="A536">
        <v>535</v>
      </c>
      <c r="B536" t="s">
        <v>255</v>
      </c>
      <c r="C536">
        <v>2022</v>
      </c>
      <c r="D536">
        <v>2017</v>
      </c>
      <c r="E536">
        <v>2017</v>
      </c>
      <c r="F536" t="s">
        <v>275</v>
      </c>
      <c r="G536"/>
      <c r="H536" t="s">
        <v>267</v>
      </c>
      <c r="I536"/>
      <c r="J536" t="s">
        <v>265</v>
      </c>
      <c r="K536" t="b">
        <v>0</v>
      </c>
      <c r="L536" t="b">
        <v>0</v>
      </c>
      <c r="M536" t="b">
        <v>0</v>
      </c>
      <c r="N536" t="b">
        <v>0</v>
      </c>
      <c r="O536" t="b">
        <v>0</v>
      </c>
      <c r="P536" t="b">
        <v>0</v>
      </c>
      <c r="Q536" t="b">
        <v>0</v>
      </c>
      <c r="R536" t="b">
        <v>0</v>
      </c>
      <c r="S536" t="b">
        <v>0</v>
      </c>
      <c r="T536" t="b">
        <v>0</v>
      </c>
      <c r="U536" t="b">
        <v>0</v>
      </c>
      <c r="V536" t="b">
        <v>0</v>
      </c>
      <c r="W536" t="b">
        <v>0</v>
      </c>
      <c r="X536" t="b">
        <v>1</v>
      </c>
      <c r="Y536" t="b">
        <v>0</v>
      </c>
      <c r="Z536" t="b">
        <v>0</v>
      </c>
      <c r="AA536" t="b">
        <v>0</v>
      </c>
      <c r="AB536" t="b">
        <v>0</v>
      </c>
      <c r="AC536" t="s">
        <v>173</v>
      </c>
      <c r="AD536" t="s">
        <v>173</v>
      </c>
      <c r="AE536" t="s">
        <v>175</v>
      </c>
      <c r="AF536" t="s">
        <v>177</v>
      </c>
      <c r="AG536" t="s">
        <v>173</v>
      </c>
      <c r="AH536" t="s">
        <v>177</v>
      </c>
      <c r="AI536" t="s">
        <v>177</v>
      </c>
      <c r="AJ536" t="s">
        <v>173</v>
      </c>
      <c r="AK536" t="s">
        <v>173</v>
      </c>
      <c r="AL536" t="s">
        <v>173</v>
      </c>
      <c r="AM536" t="s">
        <v>173</v>
      </c>
      <c r="AN536" t="s">
        <v>175</v>
      </c>
      <c r="AO536" t="s">
        <v>173</v>
      </c>
      <c r="AP536" t="s">
        <v>173</v>
      </c>
      <c r="AQ536" t="s">
        <v>173</v>
      </c>
      <c r="AR536" t="s">
        <v>173</v>
      </c>
      <c r="AS536" t="s">
        <v>173</v>
      </c>
      <c r="AT536" t="s">
        <v>173</v>
      </c>
      <c r="AU536" t="s">
        <v>173</v>
      </c>
      <c r="AV536" t="s">
        <v>181</v>
      </c>
      <c r="AW536" t="s">
        <v>181</v>
      </c>
      <c r="AX536" t="s">
        <v>192</v>
      </c>
      <c r="AY536" t="s">
        <v>196</v>
      </c>
      <c r="AZ536" t="s">
        <v>183</v>
      </c>
      <c r="BA536" t="s">
        <v>183</v>
      </c>
      <c r="BB536" t="s">
        <v>183</v>
      </c>
      <c r="BC536" t="s">
        <v>208</v>
      </c>
      <c r="BD536" t="s">
        <v>208</v>
      </c>
    </row>
    <row r="537" hidden="1" spans="1:51">
      <c r="A537">
        <v>536</v>
      </c>
      <c r="B537" t="s">
        <v>259</v>
      </c>
      <c r="C537">
        <v>2023</v>
      </c>
      <c r="D537">
        <v>1983</v>
      </c>
      <c r="E537">
        <v>2006</v>
      </c>
      <c r="F537" t="s">
        <v>256</v>
      </c>
      <c r="G537" t="s">
        <v>257</v>
      </c>
      <c r="H537" t="s">
        <v>267</v>
      </c>
      <c r="I537"/>
      <c r="J537" t="s">
        <v>252</v>
      </c>
      <c r="K537" t="b">
        <v>0</v>
      </c>
      <c r="L537" t="b">
        <v>0</v>
      </c>
      <c r="M537" t="b">
        <v>0</v>
      </c>
      <c r="N537" t="b">
        <v>0</v>
      </c>
      <c r="O537" t="b">
        <v>1</v>
      </c>
      <c r="P537" t="b">
        <v>0</v>
      </c>
      <c r="Q537" t="b">
        <v>0</v>
      </c>
      <c r="R537" t="b">
        <v>0</v>
      </c>
      <c r="S537" t="b">
        <v>0</v>
      </c>
      <c r="T537" t="b">
        <v>0</v>
      </c>
      <c r="U537" t="b">
        <v>1</v>
      </c>
      <c r="V537" t="b">
        <v>0</v>
      </c>
      <c r="W537" t="b">
        <v>0</v>
      </c>
      <c r="X537" t="b">
        <v>0</v>
      </c>
      <c r="Y537" t="b">
        <v>1</v>
      </c>
      <c r="Z537" t="b">
        <v>0</v>
      </c>
      <c r="AA537" t="b">
        <v>0</v>
      </c>
      <c r="AB537" t="b">
        <v>0</v>
      </c>
      <c r="AC537" t="s">
        <v>171</v>
      </c>
      <c r="AD537" t="s">
        <v>173</v>
      </c>
      <c r="AE537" t="s">
        <v>173</v>
      </c>
      <c r="AF537" t="s">
        <v>173</v>
      </c>
      <c r="AG537" t="s">
        <v>173</v>
      </c>
      <c r="AH537" t="s">
        <v>173</v>
      </c>
      <c r="AI537" t="s">
        <v>173</v>
      </c>
      <c r="AJ537" t="s">
        <v>171</v>
      </c>
      <c r="AK537" t="s">
        <v>173</v>
      </c>
      <c r="AL537" t="s">
        <v>173</v>
      </c>
      <c r="AM537" t="s">
        <v>173</v>
      </c>
      <c r="AN537" t="s">
        <v>173</v>
      </c>
      <c r="AO537" t="s">
        <v>173</v>
      </c>
      <c r="AP537" t="s">
        <v>173</v>
      </c>
      <c r="AQ537" t="s">
        <v>173</v>
      </c>
      <c r="AR537" t="s">
        <v>173</v>
      </c>
      <c r="AS537" t="s">
        <v>173</v>
      </c>
      <c r="AT537" t="s">
        <v>173</v>
      </c>
      <c r="AU537" t="s">
        <v>173</v>
      </c>
      <c r="AV537" t="s">
        <v>175</v>
      </c>
      <c r="AW537" t="s">
        <v>173</v>
      </c>
      <c r="AX537" t="s">
        <v>192</v>
      </c>
      <c r="AY537" t="s">
        <v>196</v>
      </c>
    </row>
    <row r="538" hidden="1" spans="1:51">
      <c r="A538">
        <v>537</v>
      </c>
      <c r="B538" t="s">
        <v>255</v>
      </c>
      <c r="C538">
        <v>2023</v>
      </c>
      <c r="D538">
        <v>2016</v>
      </c>
      <c r="E538">
        <v>2021</v>
      </c>
      <c r="F538" t="s">
        <v>266</v>
      </c>
      <c r="G538"/>
      <c r="H538" t="s">
        <v>274</v>
      </c>
      <c r="I538" t="s">
        <v>254</v>
      </c>
      <c r="J538" t="s">
        <v>252</v>
      </c>
      <c r="K538" t="b">
        <v>0</v>
      </c>
      <c r="L538" t="b">
        <v>0</v>
      </c>
      <c r="M538" t="b">
        <v>0</v>
      </c>
      <c r="N538" t="b">
        <v>0</v>
      </c>
      <c r="O538" t="b">
        <v>0</v>
      </c>
      <c r="P538" t="b">
        <v>0</v>
      </c>
      <c r="Q538" t="b">
        <v>1</v>
      </c>
      <c r="R538" t="b">
        <v>0</v>
      </c>
      <c r="S538" t="b">
        <v>0</v>
      </c>
      <c r="T538" t="b">
        <v>0</v>
      </c>
      <c r="U538" t="b">
        <v>0</v>
      </c>
      <c r="V538" t="b">
        <v>1</v>
      </c>
      <c r="W538" t="b">
        <v>0</v>
      </c>
      <c r="X538" t="b">
        <v>0</v>
      </c>
      <c r="Y538" t="b">
        <v>0</v>
      </c>
      <c r="Z538" t="b">
        <v>0</v>
      </c>
      <c r="AA538" t="b">
        <v>0</v>
      </c>
      <c r="AB538" t="b">
        <v>0</v>
      </c>
      <c r="AC538" t="s">
        <v>173</v>
      </c>
      <c r="AD538" t="s">
        <v>177</v>
      </c>
      <c r="AE538" t="s">
        <v>175</v>
      </c>
      <c r="AF538" t="s">
        <v>175</v>
      </c>
      <c r="AG538" t="s">
        <v>171</v>
      </c>
      <c r="AH538" t="s">
        <v>173</v>
      </c>
      <c r="AI538" t="s">
        <v>175</v>
      </c>
      <c r="AJ538" t="s">
        <v>175</v>
      </c>
      <c r="AK538" t="s">
        <v>175</v>
      </c>
      <c r="AL538" t="s">
        <v>173</v>
      </c>
      <c r="AM538" t="s">
        <v>171</v>
      </c>
      <c r="AN538" t="s">
        <v>177</v>
      </c>
      <c r="AO538" t="s">
        <v>175</v>
      </c>
      <c r="AP538" t="s">
        <v>173</v>
      </c>
      <c r="AQ538" t="s">
        <v>175</v>
      </c>
      <c r="AR538" t="s">
        <v>173</v>
      </c>
      <c r="AS538" t="s">
        <v>175</v>
      </c>
      <c r="AT538" t="s">
        <v>175</v>
      </c>
      <c r="AU538" t="s">
        <v>173</v>
      </c>
      <c r="AV538" t="s">
        <v>173</v>
      </c>
      <c r="AW538" t="s">
        <v>173</v>
      </c>
      <c r="AX538" t="s">
        <v>192</v>
      </c>
      <c r="AY538" t="s">
        <v>198</v>
      </c>
    </row>
    <row r="539" hidden="1" spans="1:51">
      <c r="A539">
        <v>538</v>
      </c>
      <c r="B539" t="s">
        <v>246</v>
      </c>
      <c r="C539">
        <v>2023</v>
      </c>
      <c r="D539">
        <v>2004</v>
      </c>
      <c r="E539">
        <v>2005</v>
      </c>
      <c r="F539" t="s">
        <v>266</v>
      </c>
      <c r="G539"/>
      <c r="H539" t="s">
        <v>273</v>
      </c>
      <c r="I539"/>
      <c r="J539" t="s">
        <v>265</v>
      </c>
      <c r="K539" t="b">
        <v>0</v>
      </c>
      <c r="L539" t="b">
        <v>0</v>
      </c>
      <c r="M539" t="b">
        <v>0</v>
      </c>
      <c r="N539" t="b">
        <v>0</v>
      </c>
      <c r="O539" t="b">
        <v>0</v>
      </c>
      <c r="P539" t="b">
        <v>0</v>
      </c>
      <c r="Q539" t="b">
        <v>0</v>
      </c>
      <c r="R539" t="b">
        <v>0</v>
      </c>
      <c r="S539" t="b">
        <v>0</v>
      </c>
      <c r="T539" t="b">
        <v>0</v>
      </c>
      <c r="U539" t="b">
        <v>0</v>
      </c>
      <c r="V539" t="b">
        <v>0</v>
      </c>
      <c r="W539" t="b">
        <v>0</v>
      </c>
      <c r="X539" t="b">
        <v>0</v>
      </c>
      <c r="Y539" t="b">
        <v>0</v>
      </c>
      <c r="Z539" t="b">
        <v>1</v>
      </c>
      <c r="AA539" t="b">
        <v>0</v>
      </c>
      <c r="AB539" t="b">
        <v>0</v>
      </c>
      <c r="AC539" t="s">
        <v>171</v>
      </c>
      <c r="AD539" t="s">
        <v>171</v>
      </c>
      <c r="AE539" t="s">
        <v>171</v>
      </c>
      <c r="AF539" t="s">
        <v>171</v>
      </c>
      <c r="AG539" t="s">
        <v>171</v>
      </c>
      <c r="AH539" t="s">
        <v>171</v>
      </c>
      <c r="AI539" t="s">
        <v>171</v>
      </c>
      <c r="AJ539" t="s">
        <v>171</v>
      </c>
      <c r="AK539" t="s">
        <v>171</v>
      </c>
      <c r="AL539" t="s">
        <v>171</v>
      </c>
      <c r="AM539" t="s">
        <v>171</v>
      </c>
      <c r="AN539" t="s">
        <v>171</v>
      </c>
      <c r="AO539" t="s">
        <v>171</v>
      </c>
      <c r="AP539" t="s">
        <v>171</v>
      </c>
      <c r="AQ539" t="s">
        <v>171</v>
      </c>
      <c r="AR539" t="s">
        <v>171</v>
      </c>
      <c r="AS539" t="s">
        <v>171</v>
      </c>
      <c r="AT539" t="s">
        <v>171</v>
      </c>
      <c r="AU539" t="s">
        <v>171</v>
      </c>
      <c r="AV539" t="s">
        <v>173</v>
      </c>
      <c r="AW539" t="s">
        <v>171</v>
      </c>
      <c r="AX539" t="s">
        <v>192</v>
      </c>
      <c r="AY539" t="s">
        <v>196</v>
      </c>
    </row>
    <row r="540" hidden="1" spans="1:51">
      <c r="A540">
        <v>539</v>
      </c>
      <c r="B540" t="s">
        <v>255</v>
      </c>
      <c r="C540">
        <v>2023</v>
      </c>
      <c r="D540" t="s">
        <v>247</v>
      </c>
      <c r="E540" t="s">
        <v>247</v>
      </c>
      <c r="F540" t="s">
        <v>256</v>
      </c>
      <c r="G540" t="s">
        <v>257</v>
      </c>
      <c r="H540" t="s">
        <v>264</v>
      </c>
      <c r="I540"/>
      <c r="J540" t="s">
        <v>252</v>
      </c>
      <c r="K540" t="b">
        <v>0</v>
      </c>
      <c r="L540" t="b">
        <v>0</v>
      </c>
      <c r="M540" t="b">
        <v>0</v>
      </c>
      <c r="N540" t="b">
        <v>0</v>
      </c>
      <c r="O540" t="b">
        <v>0</v>
      </c>
      <c r="P540" t="b">
        <v>0</v>
      </c>
      <c r="Q540" t="b">
        <v>0</v>
      </c>
      <c r="R540" t="b">
        <v>0</v>
      </c>
      <c r="S540" t="b">
        <v>0</v>
      </c>
      <c r="T540" t="b">
        <v>0</v>
      </c>
      <c r="U540" t="b">
        <v>0</v>
      </c>
      <c r="V540" t="b">
        <v>0</v>
      </c>
      <c r="W540" t="b">
        <v>0</v>
      </c>
      <c r="X540" t="b">
        <v>0</v>
      </c>
      <c r="Y540" t="b">
        <v>0</v>
      </c>
      <c r="Z540" t="b">
        <v>1</v>
      </c>
      <c r="AA540" t="b">
        <v>0</v>
      </c>
      <c r="AB540" t="b">
        <v>0</v>
      </c>
      <c r="AC540" t="s">
        <v>173</v>
      </c>
      <c r="AD540" t="s">
        <v>173</v>
      </c>
      <c r="AE540" t="s">
        <v>175</v>
      </c>
      <c r="AF540" t="s">
        <v>173</v>
      </c>
      <c r="AG540" t="s">
        <v>173</v>
      </c>
      <c r="AH540" t="s">
        <v>175</v>
      </c>
      <c r="AI540" t="s">
        <v>175</v>
      </c>
      <c r="AJ540" t="s">
        <v>173</v>
      </c>
      <c r="AK540" t="s">
        <v>173</v>
      </c>
      <c r="AL540" t="s">
        <v>173</v>
      </c>
      <c r="AM540" t="s">
        <v>173</v>
      </c>
      <c r="AN540" t="s">
        <v>173</v>
      </c>
      <c r="AO540" t="s">
        <v>173</v>
      </c>
      <c r="AP540" t="s">
        <v>173</v>
      </c>
      <c r="AQ540" t="s">
        <v>173</v>
      </c>
      <c r="AR540" t="s">
        <v>173</v>
      </c>
      <c r="AS540" t="s">
        <v>173</v>
      </c>
      <c r="AT540" t="s">
        <v>173</v>
      </c>
      <c r="AU540" t="s">
        <v>173</v>
      </c>
      <c r="AV540" t="s">
        <v>173</v>
      </c>
      <c r="AW540" t="s">
        <v>173</v>
      </c>
      <c r="AX540" t="s">
        <v>193</v>
      </c>
      <c r="AY540" t="s">
        <v>200</v>
      </c>
    </row>
    <row r="541" hidden="1" spans="1:51">
      <c r="A541">
        <v>540</v>
      </c>
      <c r="B541" t="s">
        <v>255</v>
      </c>
      <c r="C541">
        <v>2023</v>
      </c>
      <c r="D541">
        <v>2016</v>
      </c>
      <c r="E541">
        <v>2018</v>
      </c>
      <c r="F541" t="s">
        <v>248</v>
      </c>
      <c r="G541" t="s">
        <v>242</v>
      </c>
      <c r="H541" t="s">
        <v>267</v>
      </c>
      <c r="I541"/>
      <c r="J541" t="s">
        <v>252</v>
      </c>
      <c r="K541" t="b">
        <v>0</v>
      </c>
      <c r="L541" t="b">
        <v>0</v>
      </c>
      <c r="M541" t="b">
        <v>0</v>
      </c>
      <c r="N541" t="b">
        <v>0</v>
      </c>
      <c r="O541" t="b">
        <v>0</v>
      </c>
      <c r="P541" t="b">
        <v>0</v>
      </c>
      <c r="Q541" t="b">
        <v>0</v>
      </c>
      <c r="R541" t="b">
        <v>0</v>
      </c>
      <c r="S541" t="b">
        <v>0</v>
      </c>
      <c r="T541" t="b">
        <v>0</v>
      </c>
      <c r="U541" t="b">
        <v>0</v>
      </c>
      <c r="V541" t="b">
        <v>1</v>
      </c>
      <c r="W541" t="b">
        <v>0</v>
      </c>
      <c r="X541" t="b">
        <v>0</v>
      </c>
      <c r="Y541" t="b">
        <v>0</v>
      </c>
      <c r="Z541" t="b">
        <v>0</v>
      </c>
      <c r="AA541" t="b">
        <v>0</v>
      </c>
      <c r="AB541" t="b">
        <v>0</v>
      </c>
      <c r="AC541" t="s">
        <v>171</v>
      </c>
      <c r="AD541" t="s">
        <v>171</v>
      </c>
      <c r="AE541" t="s">
        <v>171</v>
      </c>
      <c r="AF541" t="s">
        <v>171</v>
      </c>
      <c r="AG541" t="s">
        <v>171</v>
      </c>
      <c r="AH541" t="s">
        <v>171</v>
      </c>
      <c r="AI541" t="s">
        <v>171</v>
      </c>
      <c r="AJ541" t="s">
        <v>171</v>
      </c>
      <c r="AK541" t="s">
        <v>171</v>
      </c>
      <c r="AL541" t="s">
        <v>171</v>
      </c>
      <c r="AM541" t="s">
        <v>171</v>
      </c>
      <c r="AN541" t="s">
        <v>181</v>
      </c>
      <c r="AO541" t="s">
        <v>173</v>
      </c>
      <c r="AP541" t="s">
        <v>173</v>
      </c>
      <c r="AQ541" t="s">
        <v>173</v>
      </c>
      <c r="AR541" t="s">
        <v>171</v>
      </c>
      <c r="AS541" t="s">
        <v>171</v>
      </c>
      <c r="AT541" t="s">
        <v>171</v>
      </c>
      <c r="AU541" t="s">
        <v>171</v>
      </c>
      <c r="AV541" t="s">
        <v>171</v>
      </c>
      <c r="AW541" t="s">
        <v>171</v>
      </c>
      <c r="AX541" t="s">
        <v>192</v>
      </c>
      <c r="AY541" t="s">
        <v>197</v>
      </c>
    </row>
    <row r="542" hidden="1" spans="1:56">
      <c r="A542">
        <v>541</v>
      </c>
      <c r="B542" t="s">
        <v>280</v>
      </c>
      <c r="C542">
        <v>2023</v>
      </c>
      <c r="D542">
        <v>2007</v>
      </c>
      <c r="E542">
        <v>2015</v>
      </c>
      <c r="F542" t="s">
        <v>266</v>
      </c>
      <c r="G542"/>
      <c r="H542" t="s">
        <v>250</v>
      </c>
      <c r="I542" t="s">
        <v>254</v>
      </c>
      <c r="J542" t="s">
        <v>265</v>
      </c>
      <c r="K542" t="b">
        <v>0</v>
      </c>
      <c r="L542" t="b">
        <v>0</v>
      </c>
      <c r="M542" t="b">
        <v>0</v>
      </c>
      <c r="N542" t="b">
        <v>0</v>
      </c>
      <c r="O542" t="b">
        <v>0</v>
      </c>
      <c r="P542" t="b">
        <v>0</v>
      </c>
      <c r="Q542" t="b">
        <v>0</v>
      </c>
      <c r="R542" t="b">
        <v>0</v>
      </c>
      <c r="S542" t="b">
        <v>0</v>
      </c>
      <c r="T542" t="b">
        <v>0</v>
      </c>
      <c r="U542" t="b">
        <v>0</v>
      </c>
      <c r="V542" t="b">
        <v>0</v>
      </c>
      <c r="W542" t="b">
        <v>0</v>
      </c>
      <c r="X542" t="b">
        <v>1</v>
      </c>
      <c r="Y542" t="b">
        <v>0</v>
      </c>
      <c r="Z542" t="b">
        <v>0</v>
      </c>
      <c r="AA542" t="b">
        <v>0</v>
      </c>
      <c r="AB542" t="b">
        <v>0</v>
      </c>
      <c r="AC542" t="s">
        <v>173</v>
      </c>
      <c r="AD542" t="s">
        <v>173</v>
      </c>
      <c r="AE542" t="s">
        <v>173</v>
      </c>
      <c r="AF542" t="s">
        <v>173</v>
      </c>
      <c r="AG542" t="s">
        <v>173</v>
      </c>
      <c r="AH542" t="s">
        <v>173</v>
      </c>
      <c r="AI542" t="s">
        <v>173</v>
      </c>
      <c r="AJ542" t="s">
        <v>173</v>
      </c>
      <c r="AK542" t="s">
        <v>173</v>
      </c>
      <c r="AL542" t="s">
        <v>173</v>
      </c>
      <c r="AM542" t="s">
        <v>173</v>
      </c>
      <c r="AN542" t="s">
        <v>173</v>
      </c>
      <c r="AO542" t="s">
        <v>173</v>
      </c>
      <c r="AP542" t="s">
        <v>173</v>
      </c>
      <c r="AQ542" t="s">
        <v>173</v>
      </c>
      <c r="AR542" t="s">
        <v>173</v>
      </c>
      <c r="AS542" t="s">
        <v>173</v>
      </c>
      <c r="AT542" t="s">
        <v>173</v>
      </c>
      <c r="AU542" t="s">
        <v>173</v>
      </c>
      <c r="AV542" t="s">
        <v>173</v>
      </c>
      <c r="AW542" t="s">
        <v>173</v>
      </c>
      <c r="AX542" t="s">
        <v>192</v>
      </c>
      <c r="AY542" t="s">
        <v>198</v>
      </c>
      <c r="AZ542" t="s">
        <v>183</v>
      </c>
      <c r="BA542" t="s">
        <v>183</v>
      </c>
      <c r="BB542" t="s">
        <v>183</v>
      </c>
      <c r="BC542" t="s">
        <v>208</v>
      </c>
      <c r="BD542" t="s">
        <v>183</v>
      </c>
    </row>
    <row r="543" hidden="1" spans="1:51">
      <c r="A543">
        <v>542</v>
      </c>
      <c r="B543" t="s">
        <v>255</v>
      </c>
      <c r="C543">
        <v>2023</v>
      </c>
      <c r="D543">
        <v>2005</v>
      </c>
      <c r="E543">
        <v>2021</v>
      </c>
      <c r="F543" t="s">
        <v>248</v>
      </c>
      <c r="G543" t="s">
        <v>242</v>
      </c>
      <c r="H543" t="s">
        <v>261</v>
      </c>
      <c r="I543"/>
      <c r="J543" t="s">
        <v>265</v>
      </c>
      <c r="K543" t="b">
        <v>0</v>
      </c>
      <c r="L543" t="b">
        <v>0</v>
      </c>
      <c r="M543" t="b">
        <v>0</v>
      </c>
      <c r="N543" t="b">
        <v>1</v>
      </c>
      <c r="O543" t="b">
        <v>0</v>
      </c>
      <c r="P543" t="b">
        <v>0</v>
      </c>
      <c r="Q543" t="b">
        <v>1</v>
      </c>
      <c r="R543" t="b">
        <v>0</v>
      </c>
      <c r="S543" t="b">
        <v>0</v>
      </c>
      <c r="T543" t="b">
        <v>1</v>
      </c>
      <c r="U543" t="b">
        <v>0</v>
      </c>
      <c r="V543" t="b">
        <v>0</v>
      </c>
      <c r="W543" t="b">
        <v>0</v>
      </c>
      <c r="X543" t="b">
        <v>0</v>
      </c>
      <c r="Y543" t="b">
        <v>0</v>
      </c>
      <c r="Z543" t="b">
        <v>0</v>
      </c>
      <c r="AA543" t="b">
        <v>0</v>
      </c>
      <c r="AB543" t="b">
        <v>0</v>
      </c>
      <c r="AC543" t="s">
        <v>177</v>
      </c>
      <c r="AD543" t="s">
        <v>177</v>
      </c>
      <c r="AE543" t="s">
        <v>177</v>
      </c>
      <c r="AF543" t="s">
        <v>175</v>
      </c>
      <c r="AG543" t="s">
        <v>175</v>
      </c>
      <c r="AH543" t="s">
        <v>173</v>
      </c>
      <c r="AI543" t="s">
        <v>181</v>
      </c>
      <c r="AJ543" t="s">
        <v>179</v>
      </c>
      <c r="AK543" t="s">
        <v>177</v>
      </c>
      <c r="AL543" t="s">
        <v>173</v>
      </c>
      <c r="AM543" t="s">
        <v>179</v>
      </c>
      <c r="AN543" t="s">
        <v>177</v>
      </c>
      <c r="AO543" t="s">
        <v>177</v>
      </c>
      <c r="AP543" t="s">
        <v>177</v>
      </c>
      <c r="AQ543" t="s">
        <v>177</v>
      </c>
      <c r="AR543" t="s">
        <v>175</v>
      </c>
      <c r="AS543" t="s">
        <v>175</v>
      </c>
      <c r="AT543" t="s">
        <v>175</v>
      </c>
      <c r="AU543" t="s">
        <v>179</v>
      </c>
      <c r="AV543" t="s">
        <v>175</v>
      </c>
      <c r="AW543" t="s">
        <v>175</v>
      </c>
      <c r="AX543" t="s">
        <v>192</v>
      </c>
      <c r="AY543" t="s">
        <v>199</v>
      </c>
    </row>
    <row r="544" hidden="1" spans="1:51">
      <c r="A544">
        <v>543</v>
      </c>
      <c r="B544" t="s">
        <v>259</v>
      </c>
      <c r="C544">
        <v>2023</v>
      </c>
      <c r="D544">
        <v>2015</v>
      </c>
      <c r="E544">
        <v>2016</v>
      </c>
      <c r="F544" t="s">
        <v>275</v>
      </c>
      <c r="G544"/>
      <c r="H544" t="s">
        <v>258</v>
      </c>
      <c r="I544"/>
      <c r="J544" t="s">
        <v>265</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1</v>
      </c>
      <c r="AC544" t="s">
        <v>173</v>
      </c>
      <c r="AD544" t="s">
        <v>183</v>
      </c>
      <c r="AE544" t="s">
        <v>173</v>
      </c>
      <c r="AF544" t="s">
        <v>173</v>
      </c>
      <c r="AG544" t="s">
        <v>173</v>
      </c>
      <c r="AH544" t="s">
        <v>173</v>
      </c>
      <c r="AI544" t="s">
        <v>183</v>
      </c>
      <c r="AJ544" t="s">
        <v>183</v>
      </c>
      <c r="AK544" t="s">
        <v>173</v>
      </c>
      <c r="AL544" t="s">
        <v>173</v>
      </c>
      <c r="AM544" t="s">
        <v>173</v>
      </c>
      <c r="AN544" t="s">
        <v>181</v>
      </c>
      <c r="AO544" t="s">
        <v>183</v>
      </c>
      <c r="AP544" t="s">
        <v>183</v>
      </c>
      <c r="AQ544" t="s">
        <v>183</v>
      </c>
      <c r="AR544" t="s">
        <v>173</v>
      </c>
      <c r="AS544" t="s">
        <v>173</v>
      </c>
      <c r="AT544" t="s">
        <v>173</v>
      </c>
      <c r="AU544" t="s">
        <v>173</v>
      </c>
      <c r="AV544" t="s">
        <v>181</v>
      </c>
      <c r="AW544" t="s">
        <v>173</v>
      </c>
      <c r="AX544" t="s">
        <v>192</v>
      </c>
      <c r="AY544" t="s">
        <v>195</v>
      </c>
    </row>
    <row r="545" hidden="1" spans="1:51">
      <c r="A545">
        <v>544</v>
      </c>
      <c r="B545" t="s">
        <v>269</v>
      </c>
      <c r="C545">
        <v>2023</v>
      </c>
      <c r="D545">
        <v>2020</v>
      </c>
      <c r="E545">
        <v>2020</v>
      </c>
      <c r="F545" t="s">
        <v>304</v>
      </c>
      <c r="G545" t="s">
        <v>298</v>
      </c>
      <c r="H545" t="s">
        <v>261</v>
      </c>
      <c r="I545"/>
      <c r="J545" t="s">
        <v>252</v>
      </c>
      <c r="K545" t="b">
        <v>1</v>
      </c>
      <c r="L545" t="b">
        <v>0</v>
      </c>
      <c r="M545" t="b">
        <v>0</v>
      </c>
      <c r="N545" t="b">
        <v>0</v>
      </c>
      <c r="O545" t="b">
        <v>0</v>
      </c>
      <c r="P545" t="b">
        <v>0</v>
      </c>
      <c r="Q545" t="b">
        <v>0</v>
      </c>
      <c r="R545" t="b">
        <v>0</v>
      </c>
      <c r="S545" t="b">
        <v>0</v>
      </c>
      <c r="T545" t="b">
        <v>0</v>
      </c>
      <c r="U545" t="b">
        <v>1</v>
      </c>
      <c r="V545" t="b">
        <v>0</v>
      </c>
      <c r="W545" t="b">
        <v>0</v>
      </c>
      <c r="X545" t="b">
        <v>0</v>
      </c>
      <c r="Y545" t="b">
        <v>0</v>
      </c>
      <c r="Z545" t="b">
        <v>0</v>
      </c>
      <c r="AA545" t="b">
        <v>0</v>
      </c>
      <c r="AB545" t="b">
        <v>0</v>
      </c>
      <c r="AC545" t="s">
        <v>171</v>
      </c>
      <c r="AD545" t="s">
        <v>175</v>
      </c>
      <c r="AE545" t="s">
        <v>173</v>
      </c>
      <c r="AF545" t="s">
        <v>183</v>
      </c>
      <c r="AG545" t="s">
        <v>177</v>
      </c>
      <c r="AH545" t="s">
        <v>175</v>
      </c>
      <c r="AI545" t="s">
        <v>171</v>
      </c>
      <c r="AJ545" t="s">
        <v>173</v>
      </c>
      <c r="AK545" t="s">
        <v>171</v>
      </c>
      <c r="AL545" t="s">
        <v>171</v>
      </c>
      <c r="AM545" t="s">
        <v>171</v>
      </c>
      <c r="AN545" t="s">
        <v>173</v>
      </c>
      <c r="AO545" t="s">
        <v>173</v>
      </c>
      <c r="AP545" t="s">
        <v>175</v>
      </c>
      <c r="AQ545" t="s">
        <v>171</v>
      </c>
      <c r="AR545" t="s">
        <v>171</v>
      </c>
      <c r="AS545" t="s">
        <v>173</v>
      </c>
      <c r="AT545" t="s">
        <v>173</v>
      </c>
      <c r="AU545" t="s">
        <v>171</v>
      </c>
      <c r="AV545" t="s">
        <v>173</v>
      </c>
      <c r="AW545" t="s">
        <v>175</v>
      </c>
      <c r="AX545" t="s">
        <v>192</v>
      </c>
      <c r="AY545" t="s">
        <v>202</v>
      </c>
    </row>
    <row r="546" hidden="1" spans="1:51">
      <c r="A546">
        <v>545</v>
      </c>
      <c r="B546" t="s">
        <v>259</v>
      </c>
      <c r="C546">
        <v>2023</v>
      </c>
      <c r="D546">
        <v>2000</v>
      </c>
      <c r="E546">
        <v>2018</v>
      </c>
      <c r="F546" t="s">
        <v>275</v>
      </c>
      <c r="G546"/>
      <c r="H546" t="s">
        <v>261</v>
      </c>
      <c r="I546"/>
      <c r="J546" t="s">
        <v>265</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1</v>
      </c>
      <c r="AC546" t="s">
        <v>173</v>
      </c>
      <c r="AD546" t="s">
        <v>175</v>
      </c>
      <c r="AE546" t="s">
        <v>177</v>
      </c>
      <c r="AF546" t="s">
        <v>175</v>
      </c>
      <c r="AG546" t="s">
        <v>175</v>
      </c>
      <c r="AH546" t="s">
        <v>175</v>
      </c>
      <c r="AI546" t="s">
        <v>177</v>
      </c>
      <c r="AJ546" t="s">
        <v>175</v>
      </c>
      <c r="AK546" t="s">
        <v>177</v>
      </c>
      <c r="AL546" t="s">
        <v>173</v>
      </c>
      <c r="AM546" t="s">
        <v>175</v>
      </c>
      <c r="AN546" t="s">
        <v>175</v>
      </c>
      <c r="AO546" t="s">
        <v>173</v>
      </c>
      <c r="AP546" t="s">
        <v>173</v>
      </c>
      <c r="AQ546" t="s">
        <v>175</v>
      </c>
      <c r="AR546" t="s">
        <v>175</v>
      </c>
      <c r="AS546" t="s">
        <v>173</v>
      </c>
      <c r="AT546" t="s">
        <v>173</v>
      </c>
      <c r="AU546" t="s">
        <v>173</v>
      </c>
      <c r="AV546" t="s">
        <v>173</v>
      </c>
      <c r="AW546" t="s">
        <v>173</v>
      </c>
      <c r="AX546" t="s">
        <v>192</v>
      </c>
      <c r="AY546" t="s">
        <v>197</v>
      </c>
    </row>
    <row r="547" hidden="1" spans="1:51">
      <c r="A547">
        <v>546</v>
      </c>
      <c r="B547" t="s">
        <v>259</v>
      </c>
      <c r="C547">
        <v>2023</v>
      </c>
      <c r="D547">
        <v>1984</v>
      </c>
      <c r="E547">
        <v>2010</v>
      </c>
      <c r="F547" t="s">
        <v>256</v>
      </c>
      <c r="G547" t="s">
        <v>257</v>
      </c>
      <c r="H547" t="s">
        <v>258</v>
      </c>
      <c r="I547"/>
      <c r="J547" t="s">
        <v>252</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1</v>
      </c>
      <c r="AB547" t="b">
        <v>0</v>
      </c>
      <c r="AC547" t="s">
        <v>175</v>
      </c>
      <c r="AD547" t="s">
        <v>171</v>
      </c>
      <c r="AE547" t="s">
        <v>173</v>
      </c>
      <c r="AF547" t="s">
        <v>171</v>
      </c>
      <c r="AG547" t="s">
        <v>171</v>
      </c>
      <c r="AH547" t="s">
        <v>171</v>
      </c>
      <c r="AI547" t="s">
        <v>173</v>
      </c>
      <c r="AJ547" t="s">
        <v>171</v>
      </c>
      <c r="AK547" t="s">
        <v>171</v>
      </c>
      <c r="AL547" t="s">
        <v>171</v>
      </c>
      <c r="AM547" t="s">
        <v>171</v>
      </c>
      <c r="AN547" t="s">
        <v>171</v>
      </c>
      <c r="AO547" t="s">
        <v>175</v>
      </c>
      <c r="AP547" t="s">
        <v>173</v>
      </c>
      <c r="AQ547" t="s">
        <v>173</v>
      </c>
      <c r="AR547" t="s">
        <v>171</v>
      </c>
      <c r="AS547" t="s">
        <v>171</v>
      </c>
      <c r="AT547" t="s">
        <v>171</v>
      </c>
      <c r="AU547" t="s">
        <v>171</v>
      </c>
      <c r="AV547" t="s">
        <v>171</v>
      </c>
      <c r="AW547" t="s">
        <v>171</v>
      </c>
      <c r="AX547" t="s">
        <v>193</v>
      </c>
      <c r="AY547" t="s">
        <v>196</v>
      </c>
    </row>
    <row r="548" hidden="1" spans="1:51">
      <c r="A548">
        <v>547</v>
      </c>
      <c r="B548" t="s">
        <v>282</v>
      </c>
      <c r="C548">
        <v>2023</v>
      </c>
      <c r="D548">
        <v>2018</v>
      </c>
      <c r="E548">
        <v>2018</v>
      </c>
      <c r="F548" t="s">
        <v>275</v>
      </c>
      <c r="G548"/>
      <c r="H548" t="s">
        <v>264</v>
      </c>
      <c r="I548"/>
      <c r="J548" t="s">
        <v>265</v>
      </c>
      <c r="K548" t="b">
        <v>0</v>
      </c>
      <c r="L548" t="b">
        <v>0</v>
      </c>
      <c r="M548" t="b">
        <v>0</v>
      </c>
      <c r="N548" t="b">
        <v>0</v>
      </c>
      <c r="O548" t="b">
        <v>0</v>
      </c>
      <c r="P548" t="b">
        <v>0</v>
      </c>
      <c r="Q548" t="b">
        <v>0</v>
      </c>
      <c r="R548" t="b">
        <v>0</v>
      </c>
      <c r="S548" t="b">
        <v>0</v>
      </c>
      <c r="T548" t="b">
        <v>0</v>
      </c>
      <c r="U548" t="b">
        <v>1</v>
      </c>
      <c r="V548" t="b">
        <v>0</v>
      </c>
      <c r="W548" t="b">
        <v>0</v>
      </c>
      <c r="X548" t="b">
        <v>1</v>
      </c>
      <c r="Y548" t="b">
        <v>0</v>
      </c>
      <c r="Z548" t="b">
        <v>0</v>
      </c>
      <c r="AA548" t="b">
        <v>0</v>
      </c>
      <c r="AB548" t="b">
        <v>0</v>
      </c>
      <c r="AC548" t="s">
        <v>173</v>
      </c>
      <c r="AD548" t="s">
        <v>173</v>
      </c>
      <c r="AE548" t="s">
        <v>173</v>
      </c>
      <c r="AF548" t="s">
        <v>173</v>
      </c>
      <c r="AG548" t="s">
        <v>173</v>
      </c>
      <c r="AH548" t="s">
        <v>173</v>
      </c>
      <c r="AI548" t="s">
        <v>173</v>
      </c>
      <c r="AJ548" t="s">
        <v>171</v>
      </c>
      <c r="AK548" t="s">
        <v>171</v>
      </c>
      <c r="AL548" t="s">
        <v>171</v>
      </c>
      <c r="AM548" t="s">
        <v>171</v>
      </c>
      <c r="AN548" t="s">
        <v>173</v>
      </c>
      <c r="AO548" t="s">
        <v>171</v>
      </c>
      <c r="AP548" t="s">
        <v>171</v>
      </c>
      <c r="AQ548" t="s">
        <v>171</v>
      </c>
      <c r="AR548" t="s">
        <v>171</v>
      </c>
      <c r="AS548" t="s">
        <v>171</v>
      </c>
      <c r="AT548" t="s">
        <v>171</v>
      </c>
      <c r="AU548" t="s">
        <v>171</v>
      </c>
      <c r="AV548" t="s">
        <v>171</v>
      </c>
      <c r="AW548" t="s">
        <v>171</v>
      </c>
      <c r="AX548" t="s">
        <v>193</v>
      </c>
      <c r="AY548" t="s">
        <v>195</v>
      </c>
    </row>
    <row r="549" hidden="1" spans="1:51">
      <c r="A549">
        <v>548</v>
      </c>
      <c r="B549" t="s">
        <v>269</v>
      </c>
      <c r="C549">
        <v>2023</v>
      </c>
      <c r="D549">
        <v>2019</v>
      </c>
      <c r="E549">
        <v>2021</v>
      </c>
      <c r="F549" t="s">
        <v>266</v>
      </c>
      <c r="G549"/>
      <c r="H549" t="s">
        <v>274</v>
      </c>
      <c r="I549"/>
      <c r="J549" t="s">
        <v>252</v>
      </c>
      <c r="K549" t="b">
        <v>1</v>
      </c>
      <c r="L549" t="b">
        <v>0</v>
      </c>
      <c r="M549" t="b">
        <v>0</v>
      </c>
      <c r="N549" t="b">
        <v>1</v>
      </c>
      <c r="O549" t="b">
        <v>1</v>
      </c>
      <c r="P549" t="b">
        <v>0</v>
      </c>
      <c r="Q549" t="b">
        <v>0</v>
      </c>
      <c r="R549" t="b">
        <v>0</v>
      </c>
      <c r="S549" t="b">
        <v>0</v>
      </c>
      <c r="T549" t="b">
        <v>0</v>
      </c>
      <c r="U549" t="b">
        <v>0</v>
      </c>
      <c r="V549" t="b">
        <v>0</v>
      </c>
      <c r="W549" t="b">
        <v>0</v>
      </c>
      <c r="X549" t="b">
        <v>0</v>
      </c>
      <c r="Y549" t="b">
        <v>0</v>
      </c>
      <c r="Z549" t="b">
        <v>0</v>
      </c>
      <c r="AA549" t="b">
        <v>0</v>
      </c>
      <c r="AB549" t="b">
        <v>0</v>
      </c>
      <c r="AC549" t="s">
        <v>177</v>
      </c>
      <c r="AD549" t="s">
        <v>179</v>
      </c>
      <c r="AE549" t="s">
        <v>177</v>
      </c>
      <c r="AF549" t="s">
        <v>175</v>
      </c>
      <c r="AG549" t="s">
        <v>173</v>
      </c>
      <c r="AH549" t="s">
        <v>173</v>
      </c>
      <c r="AI549" t="s">
        <v>171</v>
      </c>
      <c r="AJ549" t="s">
        <v>173</v>
      </c>
      <c r="AK549" t="s">
        <v>173</v>
      </c>
      <c r="AL549" t="s">
        <v>177</v>
      </c>
      <c r="AM549" t="s">
        <v>179</v>
      </c>
      <c r="AN549" t="s">
        <v>177</v>
      </c>
      <c r="AO549" t="s">
        <v>177</v>
      </c>
      <c r="AP549" t="s">
        <v>177</v>
      </c>
      <c r="AQ549" t="s">
        <v>177</v>
      </c>
      <c r="AR549" t="s">
        <v>179</v>
      </c>
      <c r="AS549" t="s">
        <v>179</v>
      </c>
      <c r="AT549" t="s">
        <v>173</v>
      </c>
      <c r="AU549" t="s">
        <v>177</v>
      </c>
      <c r="AV549" t="s">
        <v>177</v>
      </c>
      <c r="AW549" t="s">
        <v>173</v>
      </c>
      <c r="AX549" t="s">
        <v>192</v>
      </c>
      <c r="AY549" t="s">
        <v>199</v>
      </c>
    </row>
    <row r="550" hidden="1" spans="1:51">
      <c r="A550">
        <v>549</v>
      </c>
      <c r="B550" t="s">
        <v>259</v>
      </c>
      <c r="C550">
        <v>2023</v>
      </c>
      <c r="D550">
        <v>1983</v>
      </c>
      <c r="E550">
        <v>1995</v>
      </c>
      <c r="F550" t="s">
        <v>256</v>
      </c>
      <c r="G550" t="s">
        <v>263</v>
      </c>
      <c r="H550" t="s">
        <v>258</v>
      </c>
      <c r="I550"/>
      <c r="J550" t="s">
        <v>265</v>
      </c>
      <c r="K550" t="b">
        <v>0</v>
      </c>
      <c r="L550" t="b">
        <v>0</v>
      </c>
      <c r="M550" t="b">
        <v>0</v>
      </c>
      <c r="N550" t="b">
        <v>0</v>
      </c>
      <c r="O550" t="b">
        <v>0</v>
      </c>
      <c r="P550" t="b">
        <v>0</v>
      </c>
      <c r="Q550" t="b">
        <v>0</v>
      </c>
      <c r="R550" t="b">
        <v>0</v>
      </c>
      <c r="S550" t="b">
        <v>0</v>
      </c>
      <c r="T550" t="b">
        <v>0</v>
      </c>
      <c r="U550" t="b">
        <v>0</v>
      </c>
      <c r="V550" t="b">
        <v>0</v>
      </c>
      <c r="W550" t="b">
        <v>0</v>
      </c>
      <c r="X550" t="b">
        <v>0</v>
      </c>
      <c r="Y550" t="b">
        <v>0</v>
      </c>
      <c r="Z550" t="b">
        <v>1</v>
      </c>
      <c r="AA550" t="b">
        <v>0</v>
      </c>
      <c r="AB550" t="b">
        <v>0</v>
      </c>
      <c r="AC550" t="s">
        <v>173</v>
      </c>
      <c r="AD550" t="s">
        <v>173</v>
      </c>
      <c r="AE550" t="s">
        <v>173</v>
      </c>
      <c r="AF550" t="s">
        <v>173</v>
      </c>
      <c r="AG550" t="s">
        <v>173</v>
      </c>
      <c r="AH550" t="s">
        <v>175</v>
      </c>
      <c r="AI550" t="s">
        <v>175</v>
      </c>
      <c r="AJ550" t="s">
        <v>171</v>
      </c>
      <c r="AK550" t="s">
        <v>171</v>
      </c>
      <c r="AL550" t="s">
        <v>171</v>
      </c>
      <c r="AM550" t="s">
        <v>171</v>
      </c>
      <c r="AN550" t="s">
        <v>171</v>
      </c>
      <c r="AO550" t="s">
        <v>173</v>
      </c>
      <c r="AP550" t="s">
        <v>173</v>
      </c>
      <c r="AQ550" t="s">
        <v>173</v>
      </c>
      <c r="AR550" t="s">
        <v>173</v>
      </c>
      <c r="AS550" t="s">
        <v>171</v>
      </c>
      <c r="AT550" t="s">
        <v>171</v>
      </c>
      <c r="AU550" t="s">
        <v>171</v>
      </c>
      <c r="AV550" t="s">
        <v>173</v>
      </c>
      <c r="AW550" t="s">
        <v>173</v>
      </c>
      <c r="AX550" t="s">
        <v>192</v>
      </c>
      <c r="AY550" t="s">
        <v>195</v>
      </c>
    </row>
    <row r="551" hidden="1" spans="1:51">
      <c r="A551">
        <v>550</v>
      </c>
      <c r="B551" t="s">
        <v>259</v>
      </c>
      <c r="C551">
        <v>2023</v>
      </c>
      <c r="D551">
        <v>1988</v>
      </c>
      <c r="E551">
        <v>1988</v>
      </c>
      <c r="F551" t="s">
        <v>256</v>
      </c>
      <c r="G551" t="s">
        <v>263</v>
      </c>
      <c r="H551" t="s">
        <v>264</v>
      </c>
      <c r="I551"/>
      <c r="J551" t="s">
        <v>252</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1</v>
      </c>
      <c r="AC551" t="s">
        <v>175</v>
      </c>
      <c r="AD551" t="s">
        <v>173</v>
      </c>
      <c r="AE551" t="s">
        <v>173</v>
      </c>
      <c r="AF551" t="s">
        <v>173</v>
      </c>
      <c r="AG551" t="s">
        <v>173</v>
      </c>
      <c r="AH551" t="s">
        <v>175</v>
      </c>
      <c r="AI551" t="s">
        <v>175</v>
      </c>
      <c r="AJ551" t="s">
        <v>173</v>
      </c>
      <c r="AK551" t="s">
        <v>173</v>
      </c>
      <c r="AL551" t="s">
        <v>173</v>
      </c>
      <c r="AM551" t="s">
        <v>173</v>
      </c>
      <c r="AN551" t="s">
        <v>177</v>
      </c>
      <c r="AO551" t="s">
        <v>175</v>
      </c>
      <c r="AP551" t="s">
        <v>175</v>
      </c>
      <c r="AQ551" t="s">
        <v>175</v>
      </c>
      <c r="AR551" t="s">
        <v>173</v>
      </c>
      <c r="AS551" t="s">
        <v>173</v>
      </c>
      <c r="AT551" t="s">
        <v>173</v>
      </c>
      <c r="AU551" t="s">
        <v>173</v>
      </c>
      <c r="AV551" t="s">
        <v>177</v>
      </c>
      <c r="AW551" t="s">
        <v>173</v>
      </c>
      <c r="AX551" t="s">
        <v>193</v>
      </c>
      <c r="AY551" t="s">
        <v>197</v>
      </c>
    </row>
    <row r="552" hidden="1" spans="1:51">
      <c r="A552">
        <v>551</v>
      </c>
      <c r="B552" t="s">
        <v>255</v>
      </c>
      <c r="C552">
        <v>2023</v>
      </c>
      <c r="D552">
        <v>2009</v>
      </c>
      <c r="E552">
        <v>2014</v>
      </c>
      <c r="F552" t="s">
        <v>256</v>
      </c>
      <c r="G552" t="s">
        <v>257</v>
      </c>
      <c r="H552" t="s">
        <v>261</v>
      </c>
      <c r="I552"/>
      <c r="J552" t="s">
        <v>252</v>
      </c>
      <c r="K552" t="b">
        <v>0</v>
      </c>
      <c r="L552" t="b">
        <v>0</v>
      </c>
      <c r="M552" t="b">
        <v>0</v>
      </c>
      <c r="N552" t="b">
        <v>0</v>
      </c>
      <c r="O552" t="b">
        <v>0</v>
      </c>
      <c r="P552" t="b">
        <v>0</v>
      </c>
      <c r="Q552" t="b">
        <v>0</v>
      </c>
      <c r="R552" t="b">
        <v>0</v>
      </c>
      <c r="S552" t="b">
        <v>0</v>
      </c>
      <c r="T552" t="b">
        <v>0</v>
      </c>
      <c r="U552" t="b">
        <v>1</v>
      </c>
      <c r="V552" t="b">
        <v>0</v>
      </c>
      <c r="W552" t="b">
        <v>0</v>
      </c>
      <c r="X552" t="b">
        <v>0</v>
      </c>
      <c r="Y552" t="b">
        <v>0</v>
      </c>
      <c r="Z552" t="b">
        <v>0</v>
      </c>
      <c r="AA552" t="b">
        <v>0</v>
      </c>
      <c r="AB552" t="b">
        <v>0</v>
      </c>
      <c r="AC552" t="s">
        <v>173</v>
      </c>
      <c r="AD552" t="s">
        <v>173</v>
      </c>
      <c r="AE552" t="s">
        <v>173</v>
      </c>
      <c r="AF552" t="s">
        <v>173</v>
      </c>
      <c r="AG552" t="s">
        <v>173</v>
      </c>
      <c r="AH552" t="s">
        <v>171</v>
      </c>
      <c r="AI552" t="s">
        <v>171</v>
      </c>
      <c r="AJ552" t="s">
        <v>173</v>
      </c>
      <c r="AK552" t="s">
        <v>173</v>
      </c>
      <c r="AL552" t="s">
        <v>173</v>
      </c>
      <c r="AM552" t="s">
        <v>173</v>
      </c>
      <c r="AN552" t="s">
        <v>171</v>
      </c>
      <c r="AO552" t="s">
        <v>171</v>
      </c>
      <c r="AP552" t="s">
        <v>171</v>
      </c>
      <c r="AQ552" t="s">
        <v>171</v>
      </c>
      <c r="AR552" t="s">
        <v>171</v>
      </c>
      <c r="AS552" t="s">
        <v>173</v>
      </c>
      <c r="AT552" t="s">
        <v>173</v>
      </c>
      <c r="AU552" t="s">
        <v>173</v>
      </c>
      <c r="AV552" t="s">
        <v>173</v>
      </c>
      <c r="AW552" t="s">
        <v>173</v>
      </c>
      <c r="AX552" t="s">
        <v>193</v>
      </c>
      <c r="AY552" t="s">
        <v>201</v>
      </c>
    </row>
    <row r="553" hidden="1" spans="1:51">
      <c r="A553">
        <v>552</v>
      </c>
      <c r="B553" t="s">
        <v>272</v>
      </c>
      <c r="C553">
        <v>2023</v>
      </c>
      <c r="D553">
        <v>2020</v>
      </c>
      <c r="E553">
        <v>2020</v>
      </c>
      <c r="F553" t="s">
        <v>253</v>
      </c>
      <c r="G553"/>
      <c r="H553" t="s">
        <v>250</v>
      </c>
      <c r="I553" t="s">
        <v>254</v>
      </c>
      <c r="J553" t="s">
        <v>252</v>
      </c>
      <c r="K553" t="b">
        <v>0</v>
      </c>
      <c r="L553" t="b">
        <v>0</v>
      </c>
      <c r="M553" t="b">
        <v>0</v>
      </c>
      <c r="N553" t="b">
        <v>0</v>
      </c>
      <c r="O553" t="b">
        <v>0</v>
      </c>
      <c r="P553" t="b">
        <v>0</v>
      </c>
      <c r="Q553" t="b">
        <v>0</v>
      </c>
      <c r="R553" t="b">
        <v>0</v>
      </c>
      <c r="S553" t="b">
        <v>0</v>
      </c>
      <c r="T553" t="b">
        <v>0</v>
      </c>
      <c r="U553" t="b">
        <v>0</v>
      </c>
      <c r="V553" t="b">
        <v>1</v>
      </c>
      <c r="W553" t="b">
        <v>0</v>
      </c>
      <c r="X553" t="b">
        <v>0</v>
      </c>
      <c r="Y553" t="b">
        <v>0</v>
      </c>
      <c r="Z553" t="b">
        <v>0</v>
      </c>
      <c r="AA553" t="b">
        <v>0</v>
      </c>
      <c r="AB553" t="b">
        <v>0</v>
      </c>
      <c r="AC553" t="s">
        <v>175</v>
      </c>
      <c r="AD553" t="s">
        <v>177</v>
      </c>
      <c r="AE553" t="s">
        <v>175</v>
      </c>
      <c r="AF553" t="s">
        <v>175</v>
      </c>
      <c r="AG553" t="s">
        <v>175</v>
      </c>
      <c r="AH553" t="s">
        <v>175</v>
      </c>
      <c r="AI553" t="s">
        <v>175</v>
      </c>
      <c r="AJ553" t="s">
        <v>175</v>
      </c>
      <c r="AK553" t="s">
        <v>175</v>
      </c>
      <c r="AL553" t="s">
        <v>175</v>
      </c>
      <c r="AM553" t="s">
        <v>175</v>
      </c>
      <c r="AN553" t="s">
        <v>177</v>
      </c>
      <c r="AO553" t="s">
        <v>175</v>
      </c>
      <c r="AP553" t="s">
        <v>175</v>
      </c>
      <c r="AQ553" t="s">
        <v>175</v>
      </c>
      <c r="AR553" t="s">
        <v>175</v>
      </c>
      <c r="AS553" t="s">
        <v>175</v>
      </c>
      <c r="AT553" t="s">
        <v>175</v>
      </c>
      <c r="AU553" t="s">
        <v>175</v>
      </c>
      <c r="AV553" t="s">
        <v>175</v>
      </c>
      <c r="AW553" t="s">
        <v>175</v>
      </c>
      <c r="AX553" t="s">
        <v>193</v>
      </c>
      <c r="AY553" t="s">
        <v>199</v>
      </c>
    </row>
    <row r="554" hidden="1" spans="1:56">
      <c r="A554">
        <v>553</v>
      </c>
      <c r="B554" t="s">
        <v>255</v>
      </c>
      <c r="C554">
        <v>2023</v>
      </c>
      <c r="D554">
        <v>2014</v>
      </c>
      <c r="E554">
        <v>2022</v>
      </c>
      <c r="F554" t="s">
        <v>256</v>
      </c>
      <c r="G554" t="s">
        <v>279</v>
      </c>
      <c r="H554" t="s">
        <v>258</v>
      </c>
      <c r="I554"/>
      <c r="J554" t="s">
        <v>265</v>
      </c>
      <c r="K554" t="b">
        <v>0</v>
      </c>
      <c r="L554" t="b">
        <v>0</v>
      </c>
      <c r="M554" t="b">
        <v>0</v>
      </c>
      <c r="N554" t="b">
        <v>0</v>
      </c>
      <c r="O554" t="b">
        <v>1</v>
      </c>
      <c r="P554" t="b">
        <v>0</v>
      </c>
      <c r="Q554" t="b">
        <v>0</v>
      </c>
      <c r="R554" t="b">
        <v>0</v>
      </c>
      <c r="S554" t="b">
        <v>0</v>
      </c>
      <c r="T554" t="b">
        <v>0</v>
      </c>
      <c r="U554" t="b">
        <v>0</v>
      </c>
      <c r="V554" t="b">
        <v>0</v>
      </c>
      <c r="W554" t="b">
        <v>0</v>
      </c>
      <c r="X554" t="b">
        <v>0</v>
      </c>
      <c r="Y554" t="b">
        <v>0</v>
      </c>
      <c r="Z554" t="b">
        <v>1</v>
      </c>
      <c r="AA554" t="b">
        <v>1</v>
      </c>
      <c r="AB554" t="b">
        <v>0</v>
      </c>
      <c r="AC554" t="s">
        <v>171</v>
      </c>
      <c r="AD554" t="s">
        <v>175</v>
      </c>
      <c r="AE554" t="s">
        <v>179</v>
      </c>
      <c r="AF554" t="s">
        <v>177</v>
      </c>
      <c r="AG554" t="s">
        <v>177</v>
      </c>
      <c r="AH554" t="s">
        <v>179</v>
      </c>
      <c r="AI554" t="s">
        <v>179</v>
      </c>
      <c r="AJ554" t="s">
        <v>177</v>
      </c>
      <c r="AK554" t="s">
        <v>173</v>
      </c>
      <c r="AL554" t="s">
        <v>175</v>
      </c>
      <c r="AM554" t="s">
        <v>173</v>
      </c>
      <c r="AN554" t="s">
        <v>173</v>
      </c>
      <c r="AO554" t="s">
        <v>173</v>
      </c>
      <c r="AP554" t="s">
        <v>173</v>
      </c>
      <c r="AQ554" t="s">
        <v>173</v>
      </c>
      <c r="AR554" t="s">
        <v>175</v>
      </c>
      <c r="AS554" t="s">
        <v>173</v>
      </c>
      <c r="AT554" t="s">
        <v>173</v>
      </c>
      <c r="AU554" t="s">
        <v>173</v>
      </c>
      <c r="AV554" t="s">
        <v>181</v>
      </c>
      <c r="AW554" t="s">
        <v>173</v>
      </c>
      <c r="AX554" t="s">
        <v>192</v>
      </c>
      <c r="AY554" t="s">
        <v>196</v>
      </c>
      <c r="AZ554" t="s">
        <v>183</v>
      </c>
      <c r="BA554" t="s">
        <v>183</v>
      </c>
      <c r="BB554" t="s">
        <v>183</v>
      </c>
      <c r="BC554" t="s">
        <v>183</v>
      </c>
      <c r="BD554" t="s">
        <v>183</v>
      </c>
    </row>
    <row r="555" hidden="1" spans="1:51">
      <c r="A555">
        <v>554</v>
      </c>
      <c r="B555" t="s">
        <v>259</v>
      </c>
      <c r="C555">
        <v>2023</v>
      </c>
      <c r="D555">
        <v>1977</v>
      </c>
      <c r="E555">
        <v>2007</v>
      </c>
      <c r="F555" t="s">
        <v>256</v>
      </c>
      <c r="G555" t="s">
        <v>279</v>
      </c>
      <c r="H555" t="s">
        <v>264</v>
      </c>
      <c r="I555"/>
      <c r="J555" t="s">
        <v>252</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1</v>
      </c>
      <c r="AC555" t="s">
        <v>173</v>
      </c>
      <c r="AD555" t="s">
        <v>173</v>
      </c>
      <c r="AE555" t="s">
        <v>173</v>
      </c>
      <c r="AF555" t="s">
        <v>173</v>
      </c>
      <c r="AG555" t="s">
        <v>173</v>
      </c>
      <c r="AH555" t="s">
        <v>173</v>
      </c>
      <c r="AI555" t="s">
        <v>173</v>
      </c>
      <c r="AJ555" t="s">
        <v>173</v>
      </c>
      <c r="AK555" t="s">
        <v>173</v>
      </c>
      <c r="AL555" t="s">
        <v>173</v>
      </c>
      <c r="AM555" t="s">
        <v>173</v>
      </c>
      <c r="AN555" t="s">
        <v>173</v>
      </c>
      <c r="AO555" t="s">
        <v>175</v>
      </c>
      <c r="AP555" t="s">
        <v>175</v>
      </c>
      <c r="AQ555" t="s">
        <v>175</v>
      </c>
      <c r="AR555" t="s">
        <v>175</v>
      </c>
      <c r="AS555" t="s">
        <v>175</v>
      </c>
      <c r="AT555" t="s">
        <v>175</v>
      </c>
      <c r="AU555" t="s">
        <v>175</v>
      </c>
      <c r="AV555" t="s">
        <v>175</v>
      </c>
      <c r="AW555" t="s">
        <v>173</v>
      </c>
      <c r="AX555" t="s">
        <v>192</v>
      </c>
      <c r="AY555" t="s">
        <v>195</v>
      </c>
    </row>
    <row r="556" hidden="1" spans="1:51">
      <c r="A556">
        <v>555</v>
      </c>
      <c r="B556" t="s">
        <v>259</v>
      </c>
      <c r="C556">
        <v>2022</v>
      </c>
      <c r="D556" t="s">
        <v>247</v>
      </c>
      <c r="E556" t="s">
        <v>247</v>
      </c>
      <c r="F556" t="s">
        <v>256</v>
      </c>
      <c r="G556" t="s">
        <v>263</v>
      </c>
      <c r="H556" t="s">
        <v>264</v>
      </c>
      <c r="I556"/>
      <c r="J556" t="s">
        <v>265</v>
      </c>
      <c r="K556" t="b">
        <v>0</v>
      </c>
      <c r="L556" t="b">
        <v>0</v>
      </c>
      <c r="M556" t="b">
        <v>0</v>
      </c>
      <c r="N556" t="b">
        <v>0</v>
      </c>
      <c r="O556" t="b">
        <v>0</v>
      </c>
      <c r="P556" t="b">
        <v>0</v>
      </c>
      <c r="Q556" t="b">
        <v>0</v>
      </c>
      <c r="R556" t="b">
        <v>0</v>
      </c>
      <c r="S556" t="b">
        <v>0</v>
      </c>
      <c r="T556" t="b">
        <v>0</v>
      </c>
      <c r="U556" t="b">
        <v>0</v>
      </c>
      <c r="V556" t="b">
        <v>0</v>
      </c>
      <c r="W556" t="b">
        <v>0</v>
      </c>
      <c r="X556" t="b">
        <v>0</v>
      </c>
      <c r="Y556" t="b">
        <v>0</v>
      </c>
      <c r="Z556" t="b">
        <v>1</v>
      </c>
      <c r="AA556" t="b">
        <v>0</v>
      </c>
      <c r="AB556" t="b">
        <v>0</v>
      </c>
      <c r="AC556" t="s">
        <v>177</v>
      </c>
      <c r="AD556" t="s">
        <v>175</v>
      </c>
      <c r="AE556" t="s">
        <v>175</v>
      </c>
      <c r="AF556" t="s">
        <v>175</v>
      </c>
      <c r="AG556" t="s">
        <v>173</v>
      </c>
      <c r="AH556" t="s">
        <v>173</v>
      </c>
      <c r="AI556" t="s">
        <v>173</v>
      </c>
      <c r="AJ556" t="s">
        <v>173</v>
      </c>
      <c r="AK556" t="s">
        <v>173</v>
      </c>
      <c r="AL556" t="s">
        <v>173</v>
      </c>
      <c r="AM556" t="s">
        <v>173</v>
      </c>
      <c r="AN556" t="s">
        <v>175</v>
      </c>
      <c r="AO556" t="s">
        <v>175</v>
      </c>
      <c r="AP556" t="s">
        <v>173</v>
      </c>
      <c r="AQ556" t="s">
        <v>175</v>
      </c>
      <c r="AR556" t="s">
        <v>173</v>
      </c>
      <c r="AS556" t="s">
        <v>173</v>
      </c>
      <c r="AT556" t="s">
        <v>173</v>
      </c>
      <c r="AU556" t="s">
        <v>173</v>
      </c>
      <c r="AV556" t="s">
        <v>177</v>
      </c>
      <c r="AW556" t="s">
        <v>173</v>
      </c>
      <c r="AX556" t="s">
        <v>192</v>
      </c>
      <c r="AY556" t="s">
        <v>195</v>
      </c>
    </row>
    <row r="557" hidden="1" spans="1:51">
      <c r="A557">
        <v>556</v>
      </c>
      <c r="B557" t="s">
        <v>259</v>
      </c>
      <c r="C557">
        <v>2023</v>
      </c>
      <c r="D557">
        <v>1984</v>
      </c>
      <c r="E557">
        <v>1984</v>
      </c>
      <c r="F557" t="s">
        <v>266</v>
      </c>
      <c r="G557" t="s">
        <v>257</v>
      </c>
      <c r="H557" t="s">
        <v>247</v>
      </c>
      <c r="I557"/>
      <c r="J557" t="s">
        <v>265</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1</v>
      </c>
      <c r="AC557" t="s">
        <v>171</v>
      </c>
      <c r="AD557" t="s">
        <v>183</v>
      </c>
      <c r="AE557" t="s">
        <v>173</v>
      </c>
      <c r="AF557" t="s">
        <v>173</v>
      </c>
      <c r="AG557" t="s">
        <v>173</v>
      </c>
      <c r="AH557" t="s">
        <v>171</v>
      </c>
      <c r="AI557" t="s">
        <v>173</v>
      </c>
      <c r="AJ557" t="s">
        <v>171</v>
      </c>
      <c r="AK557" t="s">
        <v>171</v>
      </c>
      <c r="AL557" t="s">
        <v>171</v>
      </c>
      <c r="AM557" t="s">
        <v>171</v>
      </c>
      <c r="AN557" t="s">
        <v>171</v>
      </c>
      <c r="AO557" t="s">
        <v>173</v>
      </c>
      <c r="AP557" t="s">
        <v>171</v>
      </c>
      <c r="AQ557" t="s">
        <v>173</v>
      </c>
      <c r="AR557" t="s">
        <v>171</v>
      </c>
      <c r="AS557" t="s">
        <v>171</v>
      </c>
      <c r="AT557" t="s">
        <v>171</v>
      </c>
      <c r="AU557" t="s">
        <v>171</v>
      </c>
      <c r="AV557" t="s">
        <v>173</v>
      </c>
      <c r="AW557" t="s">
        <v>171</v>
      </c>
      <c r="AX557" t="s">
        <v>192</v>
      </c>
      <c r="AY557" t="s">
        <v>195</v>
      </c>
    </row>
    <row r="558" hidden="1" spans="1:51">
      <c r="A558">
        <v>557</v>
      </c>
      <c r="B558" t="s">
        <v>259</v>
      </c>
      <c r="C558">
        <v>2023</v>
      </c>
      <c r="D558">
        <v>1987</v>
      </c>
      <c r="E558">
        <v>2019</v>
      </c>
      <c r="F558" t="s">
        <v>260</v>
      </c>
      <c r="G558"/>
      <c r="H558" t="s">
        <v>258</v>
      </c>
      <c r="I558"/>
      <c r="J558" t="s">
        <v>252</v>
      </c>
      <c r="K558" t="b">
        <v>0</v>
      </c>
      <c r="L558" t="b">
        <v>0</v>
      </c>
      <c r="M558" t="b">
        <v>0</v>
      </c>
      <c r="N558" t="b">
        <v>0</v>
      </c>
      <c r="O558" t="b">
        <v>0</v>
      </c>
      <c r="P558" t="b">
        <v>0</v>
      </c>
      <c r="Q558" t="b">
        <v>0</v>
      </c>
      <c r="R558" t="b">
        <v>0</v>
      </c>
      <c r="S558" t="b">
        <v>0</v>
      </c>
      <c r="T558" t="b">
        <v>0</v>
      </c>
      <c r="U558" t="b">
        <v>0</v>
      </c>
      <c r="V558" t="b">
        <v>0</v>
      </c>
      <c r="W558" t="b">
        <v>0</v>
      </c>
      <c r="X558" t="b">
        <v>1</v>
      </c>
      <c r="Y558" t="b">
        <v>0</v>
      </c>
      <c r="Z558" t="b">
        <v>1</v>
      </c>
      <c r="AA558" t="b">
        <v>0</v>
      </c>
      <c r="AB558" t="b">
        <v>0</v>
      </c>
      <c r="AC558" t="s">
        <v>171</v>
      </c>
      <c r="AD558" t="s">
        <v>173</v>
      </c>
      <c r="AE558" t="s">
        <v>173</v>
      </c>
      <c r="AF558" t="s">
        <v>173</v>
      </c>
      <c r="AG558" t="s">
        <v>173</v>
      </c>
      <c r="AH558" t="s">
        <v>177</v>
      </c>
      <c r="AI558" t="s">
        <v>177</v>
      </c>
      <c r="AJ558" t="s">
        <v>173</v>
      </c>
      <c r="AK558" t="s">
        <v>171</v>
      </c>
      <c r="AL558" t="s">
        <v>171</v>
      </c>
      <c r="AM558" t="s">
        <v>171</v>
      </c>
      <c r="AN558" t="s">
        <v>171</v>
      </c>
      <c r="AO558" t="s">
        <v>171</v>
      </c>
      <c r="AP558" t="s">
        <v>171</v>
      </c>
      <c r="AQ558" t="s">
        <v>173</v>
      </c>
      <c r="AR558" t="s">
        <v>173</v>
      </c>
      <c r="AS558" t="s">
        <v>173</v>
      </c>
      <c r="AT558" t="s">
        <v>173</v>
      </c>
      <c r="AU558" t="s">
        <v>173</v>
      </c>
      <c r="AV558" t="s">
        <v>173</v>
      </c>
      <c r="AW558" t="s">
        <v>173</v>
      </c>
      <c r="AX558" t="s">
        <v>192</v>
      </c>
      <c r="AY558" t="s">
        <v>196</v>
      </c>
    </row>
    <row r="559" hidden="1" spans="1:51">
      <c r="A559">
        <v>558</v>
      </c>
      <c r="B559" t="s">
        <v>272</v>
      </c>
      <c r="C559">
        <v>2023</v>
      </c>
      <c r="D559">
        <v>2020</v>
      </c>
      <c r="E559">
        <v>2020</v>
      </c>
      <c r="F559" t="s">
        <v>256</v>
      </c>
      <c r="G559" t="s">
        <v>314</v>
      </c>
      <c r="H559" t="s">
        <v>268</v>
      </c>
      <c r="I559"/>
      <c r="J559" t="s">
        <v>252</v>
      </c>
      <c r="K559" t="b">
        <v>0</v>
      </c>
      <c r="L559" t="b">
        <v>0</v>
      </c>
      <c r="M559" t="b">
        <v>0</v>
      </c>
      <c r="N559" t="b">
        <v>0</v>
      </c>
      <c r="O559" t="b">
        <v>0</v>
      </c>
      <c r="P559" t="b">
        <v>0</v>
      </c>
      <c r="Q559" t="b">
        <v>1</v>
      </c>
      <c r="R559" t="b">
        <v>0</v>
      </c>
      <c r="S559" t="b">
        <v>0</v>
      </c>
      <c r="T559" t="b">
        <v>0</v>
      </c>
      <c r="U559" t="b">
        <v>0</v>
      </c>
      <c r="V559" t="b">
        <v>0</v>
      </c>
      <c r="W559" t="b">
        <v>0</v>
      </c>
      <c r="X559" t="b">
        <v>0</v>
      </c>
      <c r="Y559" t="b">
        <v>0</v>
      </c>
      <c r="Z559" t="b">
        <v>1</v>
      </c>
      <c r="AA559" t="b">
        <v>1</v>
      </c>
      <c r="AB559" t="b">
        <v>0</v>
      </c>
      <c r="AC559" t="s">
        <v>179</v>
      </c>
      <c r="AD559" t="s">
        <v>179</v>
      </c>
      <c r="AE559" t="s">
        <v>179</v>
      </c>
      <c r="AF559" t="s">
        <v>179</v>
      </c>
      <c r="AG559" t="s">
        <v>173</v>
      </c>
      <c r="AH559" t="s">
        <v>179</v>
      </c>
      <c r="AI559" t="s">
        <v>179</v>
      </c>
      <c r="AJ559" t="s">
        <v>179</v>
      </c>
      <c r="AK559" t="s">
        <v>175</v>
      </c>
      <c r="AL559" t="s">
        <v>177</v>
      </c>
      <c r="AM559" t="s">
        <v>177</v>
      </c>
      <c r="AN559" t="s">
        <v>177</v>
      </c>
      <c r="AO559" t="s">
        <v>173</v>
      </c>
      <c r="AP559" t="s">
        <v>173</v>
      </c>
      <c r="AQ559" t="s">
        <v>173</v>
      </c>
      <c r="AR559" t="s">
        <v>177</v>
      </c>
      <c r="AS559" t="s">
        <v>179</v>
      </c>
      <c r="AT559" t="s">
        <v>179</v>
      </c>
      <c r="AU559" t="s">
        <v>179</v>
      </c>
      <c r="AV559" t="s">
        <v>179</v>
      </c>
      <c r="AW559" t="s">
        <v>179</v>
      </c>
      <c r="AX559" t="s">
        <v>192</v>
      </c>
      <c r="AY559" t="s">
        <v>202</v>
      </c>
    </row>
    <row r="560" hidden="1" spans="1:51">
      <c r="A560">
        <v>559</v>
      </c>
      <c r="B560" t="s">
        <v>259</v>
      </c>
      <c r="C560">
        <v>2023</v>
      </c>
      <c r="D560">
        <v>2015</v>
      </c>
      <c r="E560">
        <v>2015</v>
      </c>
      <c r="F560" t="s">
        <v>256</v>
      </c>
      <c r="G560" t="s">
        <v>257</v>
      </c>
      <c r="H560" t="s">
        <v>261</v>
      </c>
      <c r="I560"/>
      <c r="J560" t="s">
        <v>265</v>
      </c>
      <c r="K560" t="b">
        <v>0</v>
      </c>
      <c r="L560" t="b">
        <v>0</v>
      </c>
      <c r="M560" t="b">
        <v>0</v>
      </c>
      <c r="N560" t="b">
        <v>0</v>
      </c>
      <c r="O560" t="b">
        <v>1</v>
      </c>
      <c r="P560" t="b">
        <v>0</v>
      </c>
      <c r="Q560" t="b">
        <v>0</v>
      </c>
      <c r="R560" t="b">
        <v>1</v>
      </c>
      <c r="S560" t="b">
        <v>0</v>
      </c>
      <c r="T560" t="b">
        <v>0</v>
      </c>
      <c r="U560" t="b">
        <v>0</v>
      </c>
      <c r="V560" t="b">
        <v>0</v>
      </c>
      <c r="W560" t="b">
        <v>0</v>
      </c>
      <c r="X560" t="b">
        <v>0</v>
      </c>
      <c r="Y560" t="b">
        <v>0</v>
      </c>
      <c r="Z560" t="b">
        <v>0</v>
      </c>
      <c r="AA560" t="b">
        <v>0</v>
      </c>
      <c r="AB560" t="b">
        <v>0</v>
      </c>
      <c r="AC560" t="s">
        <v>177</v>
      </c>
      <c r="AD560" t="s">
        <v>177</v>
      </c>
      <c r="AE560" t="s">
        <v>175</v>
      </c>
      <c r="AF560" t="s">
        <v>177</v>
      </c>
      <c r="AG560" t="s">
        <v>173</v>
      </c>
      <c r="AH560" t="s">
        <v>173</v>
      </c>
      <c r="AI560" t="s">
        <v>173</v>
      </c>
      <c r="AJ560" t="s">
        <v>175</v>
      </c>
      <c r="AK560" t="s">
        <v>173</v>
      </c>
      <c r="AL560" t="s">
        <v>173</v>
      </c>
      <c r="AM560" t="s">
        <v>171</v>
      </c>
      <c r="AN560" t="s">
        <v>175</v>
      </c>
      <c r="AO560" t="s">
        <v>177</v>
      </c>
      <c r="AP560" t="s">
        <v>173</v>
      </c>
      <c r="AQ560" t="s">
        <v>177</v>
      </c>
      <c r="AR560" t="s">
        <v>173</v>
      </c>
      <c r="AS560" t="s">
        <v>175</v>
      </c>
      <c r="AT560" t="s">
        <v>173</v>
      </c>
      <c r="AU560" t="s">
        <v>173</v>
      </c>
      <c r="AV560" t="s">
        <v>177</v>
      </c>
      <c r="AW560" t="s">
        <v>175</v>
      </c>
      <c r="AX560" t="s">
        <v>193</v>
      </c>
      <c r="AY560" t="s">
        <v>195</v>
      </c>
    </row>
    <row r="561" hidden="1" spans="1:51">
      <c r="A561">
        <v>560</v>
      </c>
      <c r="B561" t="s">
        <v>246</v>
      </c>
      <c r="C561">
        <v>2023</v>
      </c>
      <c r="D561">
        <v>2010</v>
      </c>
      <c r="E561">
        <v>2010</v>
      </c>
      <c r="F561" t="s">
        <v>266</v>
      </c>
      <c r="G561"/>
      <c r="H561" t="s">
        <v>274</v>
      </c>
      <c r="I561"/>
      <c r="J561" t="s">
        <v>265</v>
      </c>
      <c r="K561" t="b">
        <v>0</v>
      </c>
      <c r="L561" t="b">
        <v>0</v>
      </c>
      <c r="M561" t="b">
        <v>1</v>
      </c>
      <c r="N561" t="b">
        <v>0</v>
      </c>
      <c r="O561" t="b">
        <v>0</v>
      </c>
      <c r="P561" t="b">
        <v>0</v>
      </c>
      <c r="Q561" t="b">
        <v>0</v>
      </c>
      <c r="R561" t="b">
        <v>0</v>
      </c>
      <c r="S561" t="b">
        <v>0</v>
      </c>
      <c r="T561" t="b">
        <v>0</v>
      </c>
      <c r="U561" t="b">
        <v>0</v>
      </c>
      <c r="V561" t="b">
        <v>0</v>
      </c>
      <c r="W561" t="b">
        <v>0</v>
      </c>
      <c r="X561" t="b">
        <v>0</v>
      </c>
      <c r="Y561" t="b">
        <v>0</v>
      </c>
      <c r="Z561" t="b">
        <v>0</v>
      </c>
      <c r="AA561" t="b">
        <v>0</v>
      </c>
      <c r="AB561" t="b">
        <v>0</v>
      </c>
      <c r="AC561" t="s">
        <v>171</v>
      </c>
      <c r="AD561" t="s">
        <v>183</v>
      </c>
      <c r="AE561" t="s">
        <v>171</v>
      </c>
      <c r="AF561" t="s">
        <v>171</v>
      </c>
      <c r="AG561" t="s">
        <v>171</v>
      </c>
      <c r="AH561" t="s">
        <v>171</v>
      </c>
      <c r="AI561" t="s">
        <v>171</v>
      </c>
      <c r="AJ561" t="s">
        <v>171</v>
      </c>
      <c r="AK561" t="s">
        <v>171</v>
      </c>
      <c r="AL561" t="s">
        <v>171</v>
      </c>
      <c r="AM561" t="s">
        <v>171</v>
      </c>
      <c r="AN561" t="s">
        <v>183</v>
      </c>
      <c r="AO561" t="s">
        <v>183</v>
      </c>
      <c r="AP561" t="s">
        <v>171</v>
      </c>
      <c r="AQ561" t="s">
        <v>171</v>
      </c>
      <c r="AR561" t="s">
        <v>171</v>
      </c>
      <c r="AS561" t="s">
        <v>171</v>
      </c>
      <c r="AT561" t="s">
        <v>171</v>
      </c>
      <c r="AU561" t="s">
        <v>171</v>
      </c>
      <c r="AV561" t="s">
        <v>171</v>
      </c>
      <c r="AW561" t="s">
        <v>171</v>
      </c>
      <c r="AX561" t="s">
        <v>192</v>
      </c>
      <c r="AY561" t="s">
        <v>195</v>
      </c>
    </row>
    <row r="562" hidden="1" spans="1:51">
      <c r="A562">
        <v>561</v>
      </c>
      <c r="B562" t="s">
        <v>259</v>
      </c>
      <c r="C562">
        <v>2023</v>
      </c>
      <c r="D562">
        <v>1998</v>
      </c>
      <c r="E562">
        <v>2021</v>
      </c>
      <c r="F562" t="s">
        <v>248</v>
      </c>
      <c r="G562" t="s">
        <v>249</v>
      </c>
      <c r="H562" t="s">
        <v>264</v>
      </c>
      <c r="I562"/>
      <c r="J562" t="s">
        <v>252</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1</v>
      </c>
      <c r="AC562" t="s">
        <v>173</v>
      </c>
      <c r="AD562" t="s">
        <v>179</v>
      </c>
      <c r="AE562" t="s">
        <v>175</v>
      </c>
      <c r="AF562" t="s">
        <v>175</v>
      </c>
      <c r="AG562" t="s">
        <v>173</v>
      </c>
      <c r="AH562" t="s">
        <v>171</v>
      </c>
      <c r="AI562" t="s">
        <v>175</v>
      </c>
      <c r="AJ562" t="s">
        <v>175</v>
      </c>
      <c r="AK562" t="s">
        <v>175</v>
      </c>
      <c r="AL562" t="s">
        <v>175</v>
      </c>
      <c r="AM562" t="s">
        <v>173</v>
      </c>
      <c r="AN562" t="s">
        <v>175</v>
      </c>
      <c r="AO562" t="s">
        <v>177</v>
      </c>
      <c r="AP562" t="s">
        <v>173</v>
      </c>
      <c r="AQ562" t="s">
        <v>173</v>
      </c>
      <c r="AR562" t="s">
        <v>173</v>
      </c>
      <c r="AS562" t="s">
        <v>173</v>
      </c>
      <c r="AT562" t="s">
        <v>173</v>
      </c>
      <c r="AU562" t="s">
        <v>173</v>
      </c>
      <c r="AV562" t="s">
        <v>173</v>
      </c>
      <c r="AW562" t="s">
        <v>175</v>
      </c>
      <c r="AX562" t="s">
        <v>192</v>
      </c>
      <c r="AY562" t="s">
        <v>196</v>
      </c>
    </row>
    <row r="563" hidden="1" spans="1:51">
      <c r="A563">
        <v>562</v>
      </c>
      <c r="B563" t="s">
        <v>246</v>
      </c>
      <c r="C563">
        <v>2023</v>
      </c>
      <c r="D563">
        <v>1988</v>
      </c>
      <c r="E563">
        <v>2009</v>
      </c>
      <c r="F563" t="s">
        <v>260</v>
      </c>
      <c r="G563"/>
      <c r="H563" t="s">
        <v>267</v>
      </c>
      <c r="I563"/>
      <c r="J563" t="s">
        <v>252</v>
      </c>
      <c r="K563" t="b">
        <v>0</v>
      </c>
      <c r="L563" t="b">
        <v>0</v>
      </c>
      <c r="M563" t="b">
        <v>1</v>
      </c>
      <c r="N563" t="b">
        <v>0</v>
      </c>
      <c r="O563" t="b">
        <v>0</v>
      </c>
      <c r="P563" t="b">
        <v>0</v>
      </c>
      <c r="Q563" t="b">
        <v>1</v>
      </c>
      <c r="R563" t="b">
        <v>0</v>
      </c>
      <c r="S563" t="b">
        <v>0</v>
      </c>
      <c r="T563" t="b">
        <v>1</v>
      </c>
      <c r="U563" t="b">
        <v>0</v>
      </c>
      <c r="V563" t="b">
        <v>0</v>
      </c>
      <c r="W563" t="b">
        <v>0</v>
      </c>
      <c r="X563" t="b">
        <v>0</v>
      </c>
      <c r="Y563" t="b">
        <v>0</v>
      </c>
      <c r="Z563" t="b">
        <v>1</v>
      </c>
      <c r="AA563" t="b">
        <v>1</v>
      </c>
      <c r="AB563" t="b">
        <v>0</v>
      </c>
      <c r="AC563" t="s">
        <v>173</v>
      </c>
      <c r="AD563" t="s">
        <v>173</v>
      </c>
      <c r="AE563" t="s">
        <v>177</v>
      </c>
      <c r="AF563" t="s">
        <v>179</v>
      </c>
      <c r="AG563" t="s">
        <v>177</v>
      </c>
      <c r="AH563" t="s">
        <v>177</v>
      </c>
      <c r="AI563" t="s">
        <v>179</v>
      </c>
      <c r="AJ563" t="s">
        <v>177</v>
      </c>
      <c r="AK563" t="s">
        <v>173</v>
      </c>
      <c r="AL563" t="s">
        <v>175</v>
      </c>
      <c r="AM563" t="s">
        <v>177</v>
      </c>
      <c r="AN563" t="s">
        <v>173</v>
      </c>
      <c r="AO563" t="s">
        <v>173</v>
      </c>
      <c r="AP563" t="s">
        <v>173</v>
      </c>
      <c r="AQ563" t="s">
        <v>175</v>
      </c>
      <c r="AR563" t="s">
        <v>177</v>
      </c>
      <c r="AS563" t="s">
        <v>175</v>
      </c>
      <c r="AT563" t="s">
        <v>175</v>
      </c>
      <c r="AU563" t="s">
        <v>175</v>
      </c>
      <c r="AV563" t="s">
        <v>175</v>
      </c>
      <c r="AW563" t="s">
        <v>173</v>
      </c>
      <c r="AX563" t="s">
        <v>193</v>
      </c>
      <c r="AY563" t="s">
        <v>196</v>
      </c>
    </row>
    <row r="564" hidden="1" spans="1:51">
      <c r="A564">
        <v>563</v>
      </c>
      <c r="B564" t="s">
        <v>272</v>
      </c>
      <c r="C564">
        <v>2023</v>
      </c>
      <c r="D564">
        <v>2021</v>
      </c>
      <c r="E564">
        <v>2021</v>
      </c>
      <c r="F564" t="s">
        <v>275</v>
      </c>
      <c r="G564"/>
      <c r="H564" t="s">
        <v>250</v>
      </c>
      <c r="I564" t="s">
        <v>254</v>
      </c>
      <c r="J564" t="s">
        <v>265</v>
      </c>
      <c r="K564" t="b">
        <v>0</v>
      </c>
      <c r="L564" t="b">
        <v>1</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s">
        <v>173</v>
      </c>
      <c r="AD564" t="s">
        <v>177</v>
      </c>
      <c r="AE564" t="s">
        <v>173</v>
      </c>
      <c r="AF564" t="s">
        <v>173</v>
      </c>
      <c r="AG564" t="s">
        <v>173</v>
      </c>
      <c r="AH564" t="s">
        <v>173</v>
      </c>
      <c r="AI564" t="s">
        <v>173</v>
      </c>
      <c r="AJ564" t="s">
        <v>173</v>
      </c>
      <c r="AK564" t="s">
        <v>173</v>
      </c>
      <c r="AL564" t="s">
        <v>173</v>
      </c>
      <c r="AM564" t="s">
        <v>173</v>
      </c>
      <c r="AN564" t="s">
        <v>173</v>
      </c>
      <c r="AO564" t="s">
        <v>173</v>
      </c>
      <c r="AP564" t="s">
        <v>173</v>
      </c>
      <c r="AQ564" t="s">
        <v>173</v>
      </c>
      <c r="AR564" t="s">
        <v>173</v>
      </c>
      <c r="AS564" t="s">
        <v>173</v>
      </c>
      <c r="AT564" t="s">
        <v>173</v>
      </c>
      <c r="AU564" t="s">
        <v>173</v>
      </c>
      <c r="AV564" t="s">
        <v>173</v>
      </c>
      <c r="AW564" t="s">
        <v>173</v>
      </c>
      <c r="AX564" t="s">
        <v>192</v>
      </c>
      <c r="AY564" t="s">
        <v>199</v>
      </c>
    </row>
    <row r="565" hidden="1" spans="1:51">
      <c r="A565">
        <v>564</v>
      </c>
      <c r="B565" t="s">
        <v>255</v>
      </c>
      <c r="C565">
        <v>2023</v>
      </c>
      <c r="D565">
        <v>1999</v>
      </c>
      <c r="E565">
        <v>2020</v>
      </c>
      <c r="F565" t="s">
        <v>256</v>
      </c>
      <c r="G565" t="s">
        <v>263</v>
      </c>
      <c r="H565" t="s">
        <v>268</v>
      </c>
      <c r="I565"/>
      <c r="J565" t="s">
        <v>252</v>
      </c>
      <c r="K565" t="b">
        <v>0</v>
      </c>
      <c r="L565" t="b">
        <v>0</v>
      </c>
      <c r="M565" t="b">
        <v>0</v>
      </c>
      <c r="N565" t="b">
        <v>0</v>
      </c>
      <c r="O565" t="b">
        <v>1</v>
      </c>
      <c r="P565" t="b">
        <v>0</v>
      </c>
      <c r="Q565" t="b">
        <v>1</v>
      </c>
      <c r="R565" t="b">
        <v>0</v>
      </c>
      <c r="S565" t="b">
        <v>0</v>
      </c>
      <c r="T565" t="b">
        <v>0</v>
      </c>
      <c r="U565" t="b">
        <v>0</v>
      </c>
      <c r="V565" t="b">
        <v>0</v>
      </c>
      <c r="W565" t="b">
        <v>0</v>
      </c>
      <c r="X565" t="b">
        <v>0</v>
      </c>
      <c r="Y565" t="b">
        <v>0</v>
      </c>
      <c r="Z565" t="b">
        <v>1</v>
      </c>
      <c r="AA565" t="b">
        <v>1</v>
      </c>
      <c r="AB565" t="b">
        <v>0</v>
      </c>
      <c r="AC565" t="s">
        <v>179</v>
      </c>
      <c r="AD565" t="s">
        <v>183</v>
      </c>
      <c r="AE565" t="s">
        <v>179</v>
      </c>
      <c r="AF565" t="s">
        <v>183</v>
      </c>
      <c r="AG565" t="s">
        <v>177</v>
      </c>
      <c r="AH565" t="s">
        <v>179</v>
      </c>
      <c r="AI565" t="s">
        <v>179</v>
      </c>
      <c r="AJ565" t="s">
        <v>179</v>
      </c>
      <c r="AK565" t="s">
        <v>171</v>
      </c>
      <c r="AL565" t="s">
        <v>171</v>
      </c>
      <c r="AM565" t="s">
        <v>173</v>
      </c>
      <c r="AN565" t="s">
        <v>171</v>
      </c>
      <c r="AO565" t="s">
        <v>173</v>
      </c>
      <c r="AP565" t="s">
        <v>173</v>
      </c>
      <c r="AQ565" t="s">
        <v>177</v>
      </c>
      <c r="AR565" t="s">
        <v>171</v>
      </c>
      <c r="AS565" t="s">
        <v>179</v>
      </c>
      <c r="AT565" t="s">
        <v>173</v>
      </c>
      <c r="AU565" t="s">
        <v>177</v>
      </c>
      <c r="AV565" t="s">
        <v>175</v>
      </c>
      <c r="AW565" t="s">
        <v>175</v>
      </c>
      <c r="AX565" t="s">
        <v>192</v>
      </c>
      <c r="AY565" t="s">
        <v>199</v>
      </c>
    </row>
    <row r="566" spans="1:65">
      <c r="A566">
        <v>565</v>
      </c>
      <c r="B566" t="s">
        <v>296</v>
      </c>
      <c r="C566" s="10">
        <v>2023</v>
      </c>
      <c r="D566" s="10">
        <v>1990</v>
      </c>
      <c r="E566" s="10">
        <v>2005</v>
      </c>
      <c r="F566" s="10" t="s">
        <v>256</v>
      </c>
      <c r="G566" s="10" t="s">
        <v>263</v>
      </c>
      <c r="H566" s="10" t="s">
        <v>243</v>
      </c>
      <c r="I566" s="10" t="s">
        <v>271</v>
      </c>
      <c r="J566" s="10" t="s">
        <v>302</v>
      </c>
      <c r="K566" t="b">
        <v>0</v>
      </c>
      <c r="L566" t="b">
        <v>0</v>
      </c>
      <c r="M566" t="b">
        <v>0</v>
      </c>
      <c r="N566" t="b">
        <v>0</v>
      </c>
      <c r="O566" t="b">
        <v>0</v>
      </c>
      <c r="P566" t="b">
        <v>0</v>
      </c>
      <c r="Q566" t="b">
        <v>0</v>
      </c>
      <c r="R566" t="b">
        <v>0</v>
      </c>
      <c r="S566" t="b">
        <v>0</v>
      </c>
      <c r="T566" t="b">
        <v>0</v>
      </c>
      <c r="U566" t="b">
        <v>0</v>
      </c>
      <c r="V566" t="b">
        <v>0</v>
      </c>
      <c r="W566" t="b">
        <v>0</v>
      </c>
      <c r="X566" t="b">
        <v>0</v>
      </c>
      <c r="Y566" t="b">
        <v>0</v>
      </c>
      <c r="Z566" t="b">
        <v>1</v>
      </c>
      <c r="AA566" t="b">
        <v>0</v>
      </c>
      <c r="AB566" t="b">
        <v>0</v>
      </c>
      <c r="AC566" s="10" t="s">
        <v>171</v>
      </c>
      <c r="AD566" t="s">
        <v>171</v>
      </c>
      <c r="AE566" t="s">
        <v>171</v>
      </c>
      <c r="AF566" t="s">
        <v>173</v>
      </c>
      <c r="AG566" t="s">
        <v>173</v>
      </c>
      <c r="AH566" t="s">
        <v>173</v>
      </c>
      <c r="AI566" t="s">
        <v>171</v>
      </c>
      <c r="AJ566" t="s">
        <v>171</v>
      </c>
      <c r="AK566" t="s">
        <v>171</v>
      </c>
      <c r="AL566" t="s">
        <v>171</v>
      </c>
      <c r="AM566" t="s">
        <v>171</v>
      </c>
      <c r="AN566" t="s">
        <v>171</v>
      </c>
      <c r="AP566" t="s">
        <v>173</v>
      </c>
      <c r="AQ566" t="s">
        <v>173</v>
      </c>
      <c r="AR566" t="s">
        <v>173</v>
      </c>
      <c r="AS566" t="s">
        <v>173</v>
      </c>
      <c r="AT566" t="s">
        <v>173</v>
      </c>
      <c r="AU566" t="s">
        <v>173</v>
      </c>
      <c r="AW566" t="s">
        <v>173</v>
      </c>
      <c r="AX566" t="s">
        <v>192</v>
      </c>
      <c r="AY566" t="s">
        <v>197</v>
      </c>
      <c r="BE566" t="str">
        <f>IF(AY566="","Unknown",AY566)</f>
        <v>51-55</v>
      </c>
      <c r="BF566" s="11" t="str">
        <f>IF(AZ566="","unknown",AZ566)</f>
        <v>unknown</v>
      </c>
      <c r="BG566" s="11" t="str">
        <f>IF(BA566="","UNKNOWN",BA566)</f>
        <v>UNKNOWN</v>
      </c>
      <c r="BH566" s="11" t="str">
        <f>IF(BB566="","unknown",BB566)</f>
        <v>unknown</v>
      </c>
      <c r="BI566" s="11" t="str">
        <f>IF(BC566="","Unknon",BC566)</f>
        <v>Unknon</v>
      </c>
      <c r="BJ566" s="11" t="str">
        <f>IF(BD566="","Unknown",BD566)</f>
        <v>Unknown</v>
      </c>
      <c r="BK566" s="11">
        <f>VALUE(C566)-VALUE(D566)</f>
        <v>33</v>
      </c>
      <c r="BM566" s="11"/>
    </row>
    <row r="567" hidden="1" spans="1:51">
      <c r="A567">
        <v>566</v>
      </c>
      <c r="B567" t="s">
        <v>259</v>
      </c>
      <c r="C567">
        <v>2023</v>
      </c>
      <c r="D567">
        <v>1987</v>
      </c>
      <c r="E567">
        <v>2005</v>
      </c>
      <c r="F567" t="s">
        <v>256</v>
      </c>
      <c r="G567" t="s">
        <v>263</v>
      </c>
      <c r="H567" t="s">
        <v>258</v>
      </c>
      <c r="I567"/>
      <c r="J567" t="s">
        <v>252</v>
      </c>
      <c r="K567" t="b">
        <v>0</v>
      </c>
      <c r="L567" t="b">
        <v>0</v>
      </c>
      <c r="M567" t="b">
        <v>0</v>
      </c>
      <c r="N567" t="b">
        <v>0</v>
      </c>
      <c r="O567" t="b">
        <v>0</v>
      </c>
      <c r="P567" t="b">
        <v>0</v>
      </c>
      <c r="Q567" t="b">
        <v>0</v>
      </c>
      <c r="R567" t="b">
        <v>0</v>
      </c>
      <c r="S567" t="b">
        <v>0</v>
      </c>
      <c r="T567" t="b">
        <v>0</v>
      </c>
      <c r="U567" t="b">
        <v>0</v>
      </c>
      <c r="V567" t="b">
        <v>0</v>
      </c>
      <c r="W567" t="b">
        <v>0</v>
      </c>
      <c r="X567" t="b">
        <v>0</v>
      </c>
      <c r="Y567" t="b">
        <v>0</v>
      </c>
      <c r="Z567" t="b">
        <v>1</v>
      </c>
      <c r="AA567" t="b">
        <v>1</v>
      </c>
      <c r="AB567" t="b">
        <v>0</v>
      </c>
      <c r="AC567" t="s">
        <v>171</v>
      </c>
      <c r="AD567" t="s">
        <v>173</v>
      </c>
      <c r="AE567" t="s">
        <v>173</v>
      </c>
      <c r="AF567" t="s">
        <v>173</v>
      </c>
      <c r="AG567" t="s">
        <v>173</v>
      </c>
      <c r="AH567" t="s">
        <v>177</v>
      </c>
      <c r="AI567" t="s">
        <v>173</v>
      </c>
      <c r="AJ567" t="s">
        <v>171</v>
      </c>
      <c r="AK567" t="s">
        <v>171</v>
      </c>
      <c r="AL567" t="s">
        <v>173</v>
      </c>
      <c r="AM567" t="s">
        <v>173</v>
      </c>
      <c r="AN567" t="s">
        <v>171</v>
      </c>
      <c r="AO567" t="s">
        <v>173</v>
      </c>
      <c r="AP567" t="s">
        <v>173</v>
      </c>
      <c r="AQ567" t="s">
        <v>173</v>
      </c>
      <c r="AR567" t="s">
        <v>173</v>
      </c>
      <c r="AS567" t="s">
        <v>173</v>
      </c>
      <c r="AT567" t="s">
        <v>173</v>
      </c>
      <c r="AU567" t="s">
        <v>173</v>
      </c>
      <c r="AV567" t="s">
        <v>173</v>
      </c>
      <c r="AW567" t="s">
        <v>171</v>
      </c>
      <c r="AX567" t="s">
        <v>192</v>
      </c>
      <c r="AY567" t="s">
        <v>197</v>
      </c>
    </row>
    <row r="568" hidden="1" spans="1:51">
      <c r="A568">
        <v>567</v>
      </c>
      <c r="B568" t="s">
        <v>259</v>
      </c>
      <c r="C568">
        <v>2023</v>
      </c>
      <c r="D568">
        <v>1989</v>
      </c>
      <c r="E568">
        <v>1994</v>
      </c>
      <c r="F568" t="s">
        <v>260</v>
      </c>
      <c r="G568"/>
      <c r="H568" t="s">
        <v>247</v>
      </c>
      <c r="I568"/>
      <c r="J568" t="s">
        <v>252</v>
      </c>
      <c r="K568" t="b">
        <v>0</v>
      </c>
      <c r="L568" t="b">
        <v>0</v>
      </c>
      <c r="M568" t="b">
        <v>0</v>
      </c>
      <c r="N568" t="b">
        <v>1</v>
      </c>
      <c r="O568" t="b">
        <v>0</v>
      </c>
      <c r="P568" t="b">
        <v>0</v>
      </c>
      <c r="Q568" t="b">
        <v>0</v>
      </c>
      <c r="R568" t="b">
        <v>0</v>
      </c>
      <c r="S568" t="b">
        <v>0</v>
      </c>
      <c r="T568" t="b">
        <v>0</v>
      </c>
      <c r="U568" t="b">
        <v>0</v>
      </c>
      <c r="V568" t="b">
        <v>0</v>
      </c>
      <c r="W568" t="b">
        <v>0</v>
      </c>
      <c r="X568" t="b">
        <v>0</v>
      </c>
      <c r="Y568" t="b">
        <v>0</v>
      </c>
      <c r="Z568" t="b">
        <v>1</v>
      </c>
      <c r="AA568" t="b">
        <v>0</v>
      </c>
      <c r="AB568" t="b">
        <v>0</v>
      </c>
      <c r="AC568" t="s">
        <v>175</v>
      </c>
      <c r="AD568" t="s">
        <v>173</v>
      </c>
      <c r="AE568" t="s">
        <v>173</v>
      </c>
      <c r="AF568" t="s">
        <v>177</v>
      </c>
      <c r="AG568" t="s">
        <v>171</v>
      </c>
      <c r="AH568" t="s">
        <v>173</v>
      </c>
      <c r="AI568" t="s">
        <v>173</v>
      </c>
      <c r="AJ568" t="s">
        <v>177</v>
      </c>
      <c r="AK568" t="s">
        <v>171</v>
      </c>
      <c r="AL568" t="s">
        <v>177</v>
      </c>
      <c r="AM568" t="s">
        <v>177</v>
      </c>
      <c r="AN568" t="s">
        <v>171</v>
      </c>
      <c r="AO568" t="s">
        <v>175</v>
      </c>
      <c r="AP568" t="s">
        <v>173</v>
      </c>
      <c r="AQ568" t="s">
        <v>175</v>
      </c>
      <c r="AR568" t="s">
        <v>177</v>
      </c>
      <c r="AS568" t="s">
        <v>173</v>
      </c>
      <c r="AT568" t="s">
        <v>175</v>
      </c>
      <c r="AU568" t="s">
        <v>173</v>
      </c>
      <c r="AV568" t="s">
        <v>175</v>
      </c>
      <c r="AW568" t="s">
        <v>173</v>
      </c>
      <c r="AX568" t="s">
        <v>193</v>
      </c>
      <c r="AY568" t="s">
        <v>196</v>
      </c>
    </row>
    <row r="569" hidden="1" spans="1:51">
      <c r="A569">
        <v>568</v>
      </c>
      <c r="B569" t="s">
        <v>259</v>
      </c>
      <c r="C569">
        <v>2023</v>
      </c>
      <c r="D569" t="s">
        <v>247</v>
      </c>
      <c r="E569">
        <v>2020</v>
      </c>
      <c r="F569" t="s">
        <v>256</v>
      </c>
      <c r="G569" t="s">
        <v>257</v>
      </c>
      <c r="H569" t="s">
        <v>274</v>
      </c>
      <c r="I569"/>
      <c r="J569" t="s">
        <v>265</v>
      </c>
      <c r="K569" t="b">
        <v>0</v>
      </c>
      <c r="L569" t="b">
        <v>0</v>
      </c>
      <c r="M569" t="b">
        <v>0</v>
      </c>
      <c r="N569" t="b">
        <v>0</v>
      </c>
      <c r="O569" t="b">
        <v>0</v>
      </c>
      <c r="P569" t="b">
        <v>0</v>
      </c>
      <c r="Q569" t="b">
        <v>0</v>
      </c>
      <c r="R569" t="b">
        <v>0</v>
      </c>
      <c r="S569" t="b">
        <v>0</v>
      </c>
      <c r="T569" t="b">
        <v>0</v>
      </c>
      <c r="U569" t="b">
        <v>0</v>
      </c>
      <c r="V569" t="b">
        <v>0</v>
      </c>
      <c r="W569" t="b">
        <v>0</v>
      </c>
      <c r="X569" t="b">
        <v>1</v>
      </c>
      <c r="Y569" t="b">
        <v>0</v>
      </c>
      <c r="Z569" t="b">
        <v>0</v>
      </c>
      <c r="AA569" t="b">
        <v>0</v>
      </c>
      <c r="AB569" t="b">
        <v>0</v>
      </c>
      <c r="AC569" t="s">
        <v>173</v>
      </c>
      <c r="AD569" t="s">
        <v>181</v>
      </c>
      <c r="AE569" t="s">
        <v>181</v>
      </c>
      <c r="AF569" t="s">
        <v>173</v>
      </c>
      <c r="AG569" t="s">
        <v>173</v>
      </c>
      <c r="AH569" t="s">
        <v>171</v>
      </c>
      <c r="AI569" t="s">
        <v>173</v>
      </c>
      <c r="AJ569" t="s">
        <v>171</v>
      </c>
      <c r="AK569" t="s">
        <v>171</v>
      </c>
      <c r="AL569" t="s">
        <v>171</v>
      </c>
      <c r="AM569" t="s">
        <v>171</v>
      </c>
      <c r="AN569" t="s">
        <v>171</v>
      </c>
      <c r="AO569" t="s">
        <v>171</v>
      </c>
      <c r="AP569" t="s">
        <v>171</v>
      </c>
      <c r="AQ569" t="s">
        <v>171</v>
      </c>
      <c r="AR569" t="s">
        <v>173</v>
      </c>
      <c r="AS569" t="s">
        <v>171</v>
      </c>
      <c r="AT569" t="s">
        <v>173</v>
      </c>
      <c r="AU569" t="s">
        <v>171</v>
      </c>
      <c r="AV569" t="s">
        <v>173</v>
      </c>
      <c r="AW569" t="s">
        <v>173</v>
      </c>
      <c r="AX569" t="s">
        <v>193</v>
      </c>
      <c r="AY569" t="s">
        <v>195</v>
      </c>
    </row>
    <row r="570" hidden="1" spans="1:51">
      <c r="A570">
        <v>569</v>
      </c>
      <c r="B570" t="s">
        <v>255</v>
      </c>
      <c r="C570">
        <v>2023</v>
      </c>
      <c r="D570">
        <v>2009</v>
      </c>
      <c r="E570" t="s">
        <v>247</v>
      </c>
      <c r="F570" t="s">
        <v>266</v>
      </c>
      <c r="G570"/>
      <c r="H570" t="s">
        <v>250</v>
      </c>
      <c r="I570" t="s">
        <v>254</v>
      </c>
      <c r="J570" t="s">
        <v>265</v>
      </c>
      <c r="K570" t="b">
        <v>0</v>
      </c>
      <c r="L570" t="b">
        <v>1</v>
      </c>
      <c r="M570" t="b">
        <v>0</v>
      </c>
      <c r="N570" t="b">
        <v>0</v>
      </c>
      <c r="O570" t="b">
        <v>0</v>
      </c>
      <c r="P570" t="b">
        <v>0</v>
      </c>
      <c r="Q570" t="b">
        <v>0</v>
      </c>
      <c r="R570" t="b">
        <v>0</v>
      </c>
      <c r="S570" t="b">
        <v>0</v>
      </c>
      <c r="T570" t="b">
        <v>0</v>
      </c>
      <c r="U570" t="b">
        <v>1</v>
      </c>
      <c r="V570" t="b">
        <v>0</v>
      </c>
      <c r="W570" t="b">
        <v>0</v>
      </c>
      <c r="X570" t="b">
        <v>0</v>
      </c>
      <c r="Y570" t="b">
        <v>0</v>
      </c>
      <c r="Z570" t="b">
        <v>1</v>
      </c>
      <c r="AA570" t="b">
        <v>0</v>
      </c>
      <c r="AB570" t="b">
        <v>0</v>
      </c>
      <c r="AC570" t="s">
        <v>173</v>
      </c>
      <c r="AD570" t="s">
        <v>175</v>
      </c>
      <c r="AE570" t="s">
        <v>173</v>
      </c>
      <c r="AF570" t="s">
        <v>173</v>
      </c>
      <c r="AG570" t="s">
        <v>173</v>
      </c>
      <c r="AH570" t="s">
        <v>175</v>
      </c>
      <c r="AI570" t="s">
        <v>173</v>
      </c>
      <c r="AJ570" t="s">
        <v>173</v>
      </c>
      <c r="AK570" t="s">
        <v>173</v>
      </c>
      <c r="AL570" t="s">
        <v>173</v>
      </c>
      <c r="AM570" t="s">
        <v>173</v>
      </c>
      <c r="AN570" t="s">
        <v>173</v>
      </c>
      <c r="AO570" t="s">
        <v>173</v>
      </c>
      <c r="AP570" t="s">
        <v>173</v>
      </c>
      <c r="AQ570" t="s">
        <v>173</v>
      </c>
      <c r="AR570" t="s">
        <v>173</v>
      </c>
      <c r="AS570" t="s">
        <v>173</v>
      </c>
      <c r="AT570" t="s">
        <v>173</v>
      </c>
      <c r="AU570" t="s">
        <v>173</v>
      </c>
      <c r="AV570" t="s">
        <v>175</v>
      </c>
      <c r="AW570" t="s">
        <v>173</v>
      </c>
      <c r="AX570" t="s">
        <v>192</v>
      </c>
      <c r="AY570" t="s">
        <v>198</v>
      </c>
    </row>
    <row r="571" hidden="1" spans="1:51">
      <c r="A571">
        <v>570</v>
      </c>
      <c r="B571" t="s">
        <v>255</v>
      </c>
      <c r="C571">
        <v>2023</v>
      </c>
      <c r="D571">
        <v>2019</v>
      </c>
      <c r="E571">
        <v>2019</v>
      </c>
      <c r="F571" t="s">
        <v>253</v>
      </c>
      <c r="G571"/>
      <c r="H571" t="s">
        <v>268</v>
      </c>
      <c r="I571"/>
      <c r="J571" t="s">
        <v>252</v>
      </c>
      <c r="K571" t="b">
        <v>0</v>
      </c>
      <c r="L571" t="b">
        <v>0</v>
      </c>
      <c r="M571" t="b">
        <v>0</v>
      </c>
      <c r="N571" t="b">
        <v>0</v>
      </c>
      <c r="O571" t="b">
        <v>0</v>
      </c>
      <c r="P571" t="b">
        <v>0</v>
      </c>
      <c r="Q571" t="b">
        <v>0</v>
      </c>
      <c r="R571" t="b">
        <v>0</v>
      </c>
      <c r="S571" t="b">
        <v>0</v>
      </c>
      <c r="T571" t="b">
        <v>0</v>
      </c>
      <c r="U571" t="b">
        <v>0</v>
      </c>
      <c r="V571" t="b">
        <v>0</v>
      </c>
      <c r="W571" t="b">
        <v>0</v>
      </c>
      <c r="X571" t="b">
        <v>0</v>
      </c>
      <c r="Y571" t="b">
        <v>0</v>
      </c>
      <c r="Z571" t="b">
        <v>1</v>
      </c>
      <c r="AA571" t="b">
        <v>0</v>
      </c>
      <c r="AB571" t="b">
        <v>0</v>
      </c>
      <c r="AC571" t="s">
        <v>173</v>
      </c>
      <c r="AD571" t="s">
        <v>177</v>
      </c>
      <c r="AE571" t="s">
        <v>175</v>
      </c>
      <c r="AF571" t="s">
        <v>175</v>
      </c>
      <c r="AG571" t="s">
        <v>173</v>
      </c>
      <c r="AH571" t="s">
        <v>175</v>
      </c>
      <c r="AI571" t="s">
        <v>175</v>
      </c>
      <c r="AJ571" t="s">
        <v>173</v>
      </c>
      <c r="AK571" t="s">
        <v>173</v>
      </c>
      <c r="AL571" t="s">
        <v>173</v>
      </c>
      <c r="AM571" t="s">
        <v>175</v>
      </c>
      <c r="AN571" t="s">
        <v>177</v>
      </c>
      <c r="AO571" t="s">
        <v>175</v>
      </c>
      <c r="AP571" t="s">
        <v>173</v>
      </c>
      <c r="AQ571" t="s">
        <v>175</v>
      </c>
      <c r="AR571" t="s">
        <v>175</v>
      </c>
      <c r="AS571" t="s">
        <v>175</v>
      </c>
      <c r="AT571" t="s">
        <v>175</v>
      </c>
      <c r="AU571" t="s">
        <v>175</v>
      </c>
      <c r="AV571" t="s">
        <v>175</v>
      </c>
      <c r="AW571" t="s">
        <v>173</v>
      </c>
      <c r="AX571" t="s">
        <v>193</v>
      </c>
      <c r="AY571" t="s">
        <v>203</v>
      </c>
    </row>
    <row r="572" hidden="1" spans="1:51">
      <c r="A572">
        <v>571</v>
      </c>
      <c r="B572" t="s">
        <v>282</v>
      </c>
      <c r="C572">
        <v>2023</v>
      </c>
      <c r="D572">
        <v>2014</v>
      </c>
      <c r="E572">
        <v>2014</v>
      </c>
      <c r="F572" t="s">
        <v>266</v>
      </c>
      <c r="G572"/>
      <c r="H572" t="s">
        <v>258</v>
      </c>
      <c r="I572"/>
      <c r="J572" t="s">
        <v>265</v>
      </c>
      <c r="K572" t="b">
        <v>0</v>
      </c>
      <c r="L572" t="b">
        <v>0</v>
      </c>
      <c r="M572" t="b">
        <v>0</v>
      </c>
      <c r="N572" t="b">
        <v>0</v>
      </c>
      <c r="O572" t="b">
        <v>0</v>
      </c>
      <c r="P572" t="b">
        <v>0</v>
      </c>
      <c r="Q572" t="b">
        <v>0</v>
      </c>
      <c r="R572" t="b">
        <v>0</v>
      </c>
      <c r="S572" t="b">
        <v>0</v>
      </c>
      <c r="T572" t="b">
        <v>0</v>
      </c>
      <c r="U572" t="b">
        <v>0</v>
      </c>
      <c r="V572" t="b">
        <v>0</v>
      </c>
      <c r="W572" t="b">
        <v>0</v>
      </c>
      <c r="X572" t="b">
        <v>0</v>
      </c>
      <c r="Y572" t="b">
        <v>0</v>
      </c>
      <c r="Z572" t="b">
        <v>1</v>
      </c>
      <c r="AA572" t="b">
        <v>0</v>
      </c>
      <c r="AB572" t="b">
        <v>0</v>
      </c>
      <c r="AC572" t="s">
        <v>173</v>
      </c>
      <c r="AD572" t="s">
        <v>173</v>
      </c>
      <c r="AE572" t="s">
        <v>171</v>
      </c>
      <c r="AF572" t="s">
        <v>171</v>
      </c>
      <c r="AG572" t="s">
        <v>171</v>
      </c>
      <c r="AH572" t="s">
        <v>171</v>
      </c>
      <c r="AI572" t="s">
        <v>171</v>
      </c>
      <c r="AJ572" t="s">
        <v>171</v>
      </c>
      <c r="AK572" t="s">
        <v>171</v>
      </c>
      <c r="AL572" t="s">
        <v>171</v>
      </c>
      <c r="AM572" t="s">
        <v>171</v>
      </c>
      <c r="AN572" t="s">
        <v>183</v>
      </c>
      <c r="AO572" t="s">
        <v>173</v>
      </c>
      <c r="AP572" t="s">
        <v>171</v>
      </c>
      <c r="AQ572" t="s">
        <v>173</v>
      </c>
      <c r="AR572" t="s">
        <v>171</v>
      </c>
      <c r="AS572" t="s">
        <v>171</v>
      </c>
      <c r="AT572" t="s">
        <v>171</v>
      </c>
      <c r="AU572" t="s">
        <v>171</v>
      </c>
      <c r="AV572" t="s">
        <v>173</v>
      </c>
      <c r="AW572" t="s">
        <v>171</v>
      </c>
      <c r="AX572" t="s">
        <v>192</v>
      </c>
      <c r="AY572" t="s">
        <v>199</v>
      </c>
    </row>
    <row r="573" hidden="1" spans="1:51">
      <c r="A573">
        <v>572</v>
      </c>
      <c r="B573" t="s">
        <v>255</v>
      </c>
      <c r="C573">
        <v>2023</v>
      </c>
      <c r="D573">
        <v>2007</v>
      </c>
      <c r="E573">
        <v>2017</v>
      </c>
      <c r="F573" t="s">
        <v>294</v>
      </c>
      <c r="G573"/>
      <c r="H573" t="s">
        <v>264</v>
      </c>
      <c r="I573"/>
      <c r="J573" t="s">
        <v>252</v>
      </c>
      <c r="K573" t="b">
        <v>1</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s">
        <v>171</v>
      </c>
      <c r="AD573" t="s">
        <v>171</v>
      </c>
      <c r="AE573" t="s">
        <v>173</v>
      </c>
      <c r="AF573" t="s">
        <v>171</v>
      </c>
      <c r="AG573" t="s">
        <v>171</v>
      </c>
      <c r="AH573" t="s">
        <v>175</v>
      </c>
      <c r="AI573" t="s">
        <v>175</v>
      </c>
      <c r="AJ573" t="s">
        <v>173</v>
      </c>
      <c r="AK573" t="s">
        <v>175</v>
      </c>
      <c r="AL573" t="s">
        <v>171</v>
      </c>
      <c r="AM573" t="s">
        <v>171</v>
      </c>
      <c r="AN573" t="s">
        <v>175</v>
      </c>
      <c r="AO573" t="s">
        <v>171</v>
      </c>
      <c r="AP573" t="s">
        <v>171</v>
      </c>
      <c r="AQ573" t="s">
        <v>171</v>
      </c>
      <c r="AR573" t="s">
        <v>171</v>
      </c>
      <c r="AS573" t="s">
        <v>171</v>
      </c>
      <c r="AT573" t="s">
        <v>171</v>
      </c>
      <c r="AU573" t="s">
        <v>171</v>
      </c>
      <c r="AV573" t="s">
        <v>175</v>
      </c>
      <c r="AW573" t="s">
        <v>175</v>
      </c>
      <c r="AX573" t="s">
        <v>192</v>
      </c>
      <c r="AY573" t="s">
        <v>199</v>
      </c>
    </row>
    <row r="574" hidden="1" spans="1:51">
      <c r="A574">
        <v>573</v>
      </c>
      <c r="B574" t="s">
        <v>286</v>
      </c>
      <c r="C574">
        <v>2023</v>
      </c>
      <c r="D574" t="s">
        <v>247</v>
      </c>
      <c r="E574" t="s">
        <v>247</v>
      </c>
      <c r="F574" t="s">
        <v>275</v>
      </c>
      <c r="G574"/>
      <c r="H574" t="s">
        <v>250</v>
      </c>
      <c r="I574"/>
      <c r="J574" t="s">
        <v>265</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1</v>
      </c>
      <c r="AC574" t="s">
        <v>179</v>
      </c>
      <c r="AD574" t="s">
        <v>179</v>
      </c>
      <c r="AE574" t="s">
        <v>179</v>
      </c>
      <c r="AF574" t="s">
        <v>179</v>
      </c>
      <c r="AG574" t="s">
        <v>179</v>
      </c>
      <c r="AH574" t="s">
        <v>179</v>
      </c>
      <c r="AI574" t="s">
        <v>179</v>
      </c>
      <c r="AJ574" t="s">
        <v>179</v>
      </c>
      <c r="AK574" t="s">
        <v>179</v>
      </c>
      <c r="AL574" t="s">
        <v>179</v>
      </c>
      <c r="AM574" t="s">
        <v>179</v>
      </c>
      <c r="AN574" t="s">
        <v>179</v>
      </c>
      <c r="AO574" t="s">
        <v>179</v>
      </c>
      <c r="AP574" t="s">
        <v>179</v>
      </c>
      <c r="AQ574" t="s">
        <v>179</v>
      </c>
      <c r="AR574" t="s">
        <v>179</v>
      </c>
      <c r="AS574" t="s">
        <v>179</v>
      </c>
      <c r="AT574" t="s">
        <v>179</v>
      </c>
      <c r="AU574" t="s">
        <v>179</v>
      </c>
      <c r="AV574" t="s">
        <v>183</v>
      </c>
      <c r="AW574" t="s">
        <v>183</v>
      </c>
      <c r="AX574" t="s">
        <v>193</v>
      </c>
      <c r="AY574" t="s">
        <v>196</v>
      </c>
    </row>
    <row r="575" hidden="1" spans="1:51">
      <c r="A575">
        <v>574</v>
      </c>
      <c r="B575" t="s">
        <v>280</v>
      </c>
      <c r="C575">
        <v>2023</v>
      </c>
      <c r="D575">
        <v>2018</v>
      </c>
      <c r="E575">
        <v>2020</v>
      </c>
      <c r="F575" t="s">
        <v>275</v>
      </c>
      <c r="G575"/>
      <c r="H575" t="s">
        <v>247</v>
      </c>
      <c r="I575"/>
      <c r="J575" t="s">
        <v>265</v>
      </c>
      <c r="K575" t="b">
        <v>0</v>
      </c>
      <c r="L575" t="b">
        <v>0</v>
      </c>
      <c r="M575" t="b">
        <v>0</v>
      </c>
      <c r="N575" t="b">
        <v>0</v>
      </c>
      <c r="O575" t="b">
        <v>1</v>
      </c>
      <c r="P575" t="b">
        <v>1</v>
      </c>
      <c r="Q575" t="b">
        <v>0</v>
      </c>
      <c r="R575" t="b">
        <v>0</v>
      </c>
      <c r="S575" t="b">
        <v>0</v>
      </c>
      <c r="T575" t="b">
        <v>0</v>
      </c>
      <c r="U575" t="b">
        <v>0</v>
      </c>
      <c r="V575" t="b">
        <v>0</v>
      </c>
      <c r="W575" t="b">
        <v>0</v>
      </c>
      <c r="X575" t="b">
        <v>1</v>
      </c>
      <c r="Y575" t="b">
        <v>0</v>
      </c>
      <c r="Z575" t="b">
        <v>0</v>
      </c>
      <c r="AA575" t="b">
        <v>0</v>
      </c>
      <c r="AB575" t="b">
        <v>0</v>
      </c>
      <c r="AC575" t="s">
        <v>173</v>
      </c>
      <c r="AD575" t="s">
        <v>183</v>
      </c>
      <c r="AE575" t="s">
        <v>179</v>
      </c>
      <c r="AF575" t="s">
        <v>179</v>
      </c>
      <c r="AG575" t="s">
        <v>179</v>
      </c>
      <c r="AH575" t="s">
        <v>173</v>
      </c>
      <c r="AI575" t="s">
        <v>179</v>
      </c>
      <c r="AJ575" t="s">
        <v>179</v>
      </c>
      <c r="AK575" t="s">
        <v>177</v>
      </c>
      <c r="AL575" t="s">
        <v>177</v>
      </c>
      <c r="AM575" t="s">
        <v>175</v>
      </c>
      <c r="AN575" t="s">
        <v>183</v>
      </c>
      <c r="AO575" t="s">
        <v>177</v>
      </c>
      <c r="AP575" t="s">
        <v>177</v>
      </c>
      <c r="AQ575" t="s">
        <v>177</v>
      </c>
      <c r="AR575" t="s">
        <v>179</v>
      </c>
      <c r="AS575" t="s">
        <v>179</v>
      </c>
      <c r="AT575" t="s">
        <v>179</v>
      </c>
      <c r="AU575" t="s">
        <v>179</v>
      </c>
      <c r="AV575" t="s">
        <v>179</v>
      </c>
      <c r="AW575" t="s">
        <v>179</v>
      </c>
      <c r="AX575" t="s">
        <v>192</v>
      </c>
      <c r="AY575" t="s">
        <v>199</v>
      </c>
    </row>
    <row r="576" spans="1:65">
      <c r="A576">
        <v>575</v>
      </c>
      <c r="B576" t="s">
        <v>296</v>
      </c>
      <c r="C576" s="10">
        <v>2023</v>
      </c>
      <c r="D576" s="10">
        <v>1999</v>
      </c>
      <c r="E576" s="10">
        <v>2016</v>
      </c>
      <c r="F576" s="10" t="s">
        <v>241</v>
      </c>
      <c r="G576" s="10" t="s">
        <v>249</v>
      </c>
      <c r="H576" s="10" t="s">
        <v>243</v>
      </c>
      <c r="I576" s="10" t="s">
        <v>271</v>
      </c>
      <c r="J576" s="10" t="s">
        <v>245</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1</v>
      </c>
      <c r="AC576" s="10" t="s">
        <v>173</v>
      </c>
      <c r="AD576" t="s">
        <v>173</v>
      </c>
      <c r="AE576" t="s">
        <v>173</v>
      </c>
      <c r="AF576" t="s">
        <v>173</v>
      </c>
      <c r="AG576" t="s">
        <v>173</v>
      </c>
      <c r="AH576" t="s">
        <v>173</v>
      </c>
      <c r="AI576" t="s">
        <v>173</v>
      </c>
      <c r="AJ576" t="s">
        <v>171</v>
      </c>
      <c r="AK576" t="s">
        <v>173</v>
      </c>
      <c r="AL576" t="s">
        <v>171</v>
      </c>
      <c r="AM576" t="s">
        <v>171</v>
      </c>
      <c r="AN576" t="s">
        <v>171</v>
      </c>
      <c r="AO576" t="s">
        <v>173</v>
      </c>
      <c r="AP576" t="s">
        <v>171</v>
      </c>
      <c r="AQ576" t="s">
        <v>171</v>
      </c>
      <c r="AR576" t="s">
        <v>173</v>
      </c>
      <c r="AS576" t="s">
        <v>171</v>
      </c>
      <c r="AT576" t="s">
        <v>171</v>
      </c>
      <c r="AU576" t="s">
        <v>171</v>
      </c>
      <c r="AV576" t="s">
        <v>173</v>
      </c>
      <c r="AW576" t="s">
        <v>173</v>
      </c>
      <c r="AX576" t="s">
        <v>192</v>
      </c>
      <c r="AY576" t="s">
        <v>197</v>
      </c>
      <c r="AZ576" t="s">
        <v>207</v>
      </c>
      <c r="BA576" t="s">
        <v>207</v>
      </c>
      <c r="BB576" t="s">
        <v>207</v>
      </c>
      <c r="BC576" t="s">
        <v>207</v>
      </c>
      <c r="BD576" t="s">
        <v>207</v>
      </c>
      <c r="BE576" t="str">
        <f>IF(AY576="","Unknown",AY576)</f>
        <v>51-55</v>
      </c>
      <c r="BF576" s="11" t="str">
        <f>IF(AZ576="","unknown",AZ576)</f>
        <v>NO</v>
      </c>
      <c r="BG576" s="11" t="str">
        <f>IF(BA576="","UNKNOWN",BA576)</f>
        <v>NO</v>
      </c>
      <c r="BH576" s="11" t="str">
        <f>IF(BB576="","unknown",BB576)</f>
        <v>NO</v>
      </c>
      <c r="BI576" s="11" t="str">
        <f>IF(BC576="","Unknon",BC576)</f>
        <v>NO</v>
      </c>
      <c r="BJ576" s="11" t="str">
        <f>IF(BD576="","Unknown",BD576)</f>
        <v>NO</v>
      </c>
      <c r="BK576" s="11">
        <f>VALUE(C576)-VALUE(D576)</f>
        <v>24</v>
      </c>
      <c r="BM576" s="11"/>
    </row>
    <row r="577" spans="1:65">
      <c r="A577">
        <v>576</v>
      </c>
      <c r="B577" t="s">
        <v>319</v>
      </c>
      <c r="C577" s="10">
        <v>2023</v>
      </c>
      <c r="D577" s="10">
        <v>2013</v>
      </c>
      <c r="E577" s="10">
        <v>2014</v>
      </c>
      <c r="F577" s="10" t="s">
        <v>241</v>
      </c>
      <c r="G577" s="10" t="s">
        <v>249</v>
      </c>
      <c r="H577" s="10" t="s">
        <v>243</v>
      </c>
      <c r="I577" s="10" t="s">
        <v>271</v>
      </c>
      <c r="J577" s="10" t="s">
        <v>245</v>
      </c>
      <c r="K577" t="b">
        <v>0</v>
      </c>
      <c r="L577" t="b">
        <v>0</v>
      </c>
      <c r="M577" t="b">
        <v>0</v>
      </c>
      <c r="N577" t="b">
        <v>0</v>
      </c>
      <c r="O577" t="b">
        <v>0</v>
      </c>
      <c r="P577" t="b">
        <v>0</v>
      </c>
      <c r="Q577" t="b">
        <v>0</v>
      </c>
      <c r="R577" t="b">
        <v>0</v>
      </c>
      <c r="S577" t="b">
        <v>1</v>
      </c>
      <c r="T577" t="b">
        <v>0</v>
      </c>
      <c r="U577" t="b">
        <v>1</v>
      </c>
      <c r="V577" t="b">
        <v>0</v>
      </c>
      <c r="W577" t="b">
        <v>0</v>
      </c>
      <c r="X577" t="b">
        <v>0</v>
      </c>
      <c r="Y577" t="b">
        <v>0</v>
      </c>
      <c r="Z577" t="b">
        <v>1</v>
      </c>
      <c r="AA577" t="b">
        <v>0</v>
      </c>
      <c r="AB577" t="b">
        <v>0</v>
      </c>
      <c r="AC577" s="10" t="s">
        <v>177</v>
      </c>
      <c r="AD577" t="s">
        <v>177</v>
      </c>
      <c r="AE577" t="s">
        <v>171</v>
      </c>
      <c r="AF577" t="s">
        <v>177</v>
      </c>
      <c r="AG577" t="s">
        <v>173</v>
      </c>
      <c r="AH577" t="s">
        <v>171</v>
      </c>
      <c r="AI577" t="s">
        <v>177</v>
      </c>
      <c r="AJ577" t="s">
        <v>177</v>
      </c>
      <c r="AK577" t="s">
        <v>173</v>
      </c>
      <c r="AL577" t="s">
        <v>173</v>
      </c>
      <c r="AM577" t="s">
        <v>173</v>
      </c>
      <c r="AN577" t="s">
        <v>173</v>
      </c>
      <c r="AO577" t="s">
        <v>177</v>
      </c>
      <c r="AP577" t="s">
        <v>173</v>
      </c>
      <c r="AQ577" t="s">
        <v>177</v>
      </c>
      <c r="AR577" t="s">
        <v>177</v>
      </c>
      <c r="AS577" t="s">
        <v>173</v>
      </c>
      <c r="AT577" t="s">
        <v>173</v>
      </c>
      <c r="AU577" t="s">
        <v>177</v>
      </c>
      <c r="AV577" t="s">
        <v>173</v>
      </c>
      <c r="AW577" t="s">
        <v>177</v>
      </c>
      <c r="AX577" t="s">
        <v>192</v>
      </c>
      <c r="AY577" t="s">
        <v>203</v>
      </c>
      <c r="BE577" t="str">
        <f>IF(AY577="","Unknown",AY577)</f>
        <v>31-35</v>
      </c>
      <c r="BF577" s="11" t="str">
        <f>IF(AZ577="","unknown",AZ577)</f>
        <v>unknown</v>
      </c>
      <c r="BG577" s="11" t="str">
        <f>IF(BA577="","UNKNOWN",BA577)</f>
        <v>UNKNOWN</v>
      </c>
      <c r="BH577" s="11" t="str">
        <f>IF(BB577="","unknown",BB577)</f>
        <v>unknown</v>
      </c>
      <c r="BI577" s="11" t="str">
        <f>IF(BC577="","Unknon",BC577)</f>
        <v>Unknon</v>
      </c>
      <c r="BJ577" s="11" t="str">
        <f>IF(BD577="","Unknown",BD577)</f>
        <v>Unknown</v>
      </c>
      <c r="BK577" s="11">
        <f>VALUE(C577)-VALUE(D577)</f>
        <v>10</v>
      </c>
      <c r="BM577" s="11"/>
    </row>
    <row r="578" hidden="1" spans="1:51">
      <c r="A578">
        <v>577</v>
      </c>
      <c r="B578" t="s">
        <v>255</v>
      </c>
      <c r="C578">
        <v>2023</v>
      </c>
      <c r="D578">
        <v>2013</v>
      </c>
      <c r="E578" t="s">
        <v>247</v>
      </c>
      <c r="F578" t="s">
        <v>266</v>
      </c>
      <c r="G578"/>
      <c r="H578" t="s">
        <v>247</v>
      </c>
      <c r="I578"/>
      <c r="J578" t="s">
        <v>265</v>
      </c>
      <c r="K578" t="b">
        <v>0</v>
      </c>
      <c r="L578" t="b">
        <v>1</v>
      </c>
      <c r="M578" t="b">
        <v>0</v>
      </c>
      <c r="N578" t="b">
        <v>0</v>
      </c>
      <c r="O578" t="b">
        <v>0</v>
      </c>
      <c r="P578" t="b">
        <v>0</v>
      </c>
      <c r="Q578" t="b">
        <v>0</v>
      </c>
      <c r="R578" t="b">
        <v>0</v>
      </c>
      <c r="S578" t="b">
        <v>1</v>
      </c>
      <c r="T578" t="b">
        <v>0</v>
      </c>
      <c r="U578" t="b">
        <v>1</v>
      </c>
      <c r="V578" t="b">
        <v>0</v>
      </c>
      <c r="W578" t="b">
        <v>0</v>
      </c>
      <c r="X578" t="b">
        <v>0</v>
      </c>
      <c r="Y578" t="b">
        <v>0</v>
      </c>
      <c r="Z578" t="b">
        <v>0</v>
      </c>
      <c r="AA578" t="b">
        <v>0</v>
      </c>
      <c r="AB578" t="b">
        <v>0</v>
      </c>
      <c r="AC578" t="s">
        <v>173</v>
      </c>
      <c r="AD578" t="s">
        <v>173</v>
      </c>
      <c r="AE578" t="s">
        <v>171</v>
      </c>
      <c r="AF578" t="s">
        <v>173</v>
      </c>
      <c r="AG578" t="s">
        <v>173</v>
      </c>
      <c r="AH578" t="s">
        <v>171</v>
      </c>
      <c r="AI578" t="s">
        <v>171</v>
      </c>
      <c r="AJ578" t="s">
        <v>173</v>
      </c>
      <c r="AK578" t="s">
        <v>171</v>
      </c>
      <c r="AL578" t="s">
        <v>173</v>
      </c>
      <c r="AM578" t="s">
        <v>175</v>
      </c>
      <c r="AN578" t="s">
        <v>175</v>
      </c>
      <c r="AO578" t="s">
        <v>171</v>
      </c>
      <c r="AP578" t="s">
        <v>171</v>
      </c>
      <c r="AQ578" t="s">
        <v>171</v>
      </c>
      <c r="AR578" t="s">
        <v>171</v>
      </c>
      <c r="AS578" t="s">
        <v>171</v>
      </c>
      <c r="AT578" t="s">
        <v>171</v>
      </c>
      <c r="AU578" t="s">
        <v>171</v>
      </c>
      <c r="AV578" t="s">
        <v>171</v>
      </c>
      <c r="AW578" t="s">
        <v>171</v>
      </c>
      <c r="AX578" t="s">
        <v>192</v>
      </c>
      <c r="AY578" t="s">
        <v>200</v>
      </c>
    </row>
    <row r="579" hidden="1" spans="1:51">
      <c r="A579">
        <v>578</v>
      </c>
      <c r="B579" t="s">
        <v>269</v>
      </c>
      <c r="C579">
        <v>2023</v>
      </c>
      <c r="D579">
        <v>2003</v>
      </c>
      <c r="E579">
        <v>2007</v>
      </c>
      <c r="F579" t="s">
        <v>256</v>
      </c>
      <c r="G579" t="s">
        <v>257</v>
      </c>
      <c r="H579" t="s">
        <v>268</v>
      </c>
      <c r="I579"/>
      <c r="J579" t="s">
        <v>252</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1</v>
      </c>
      <c r="AC579" t="s">
        <v>173</v>
      </c>
      <c r="AD579" t="s">
        <v>175</v>
      </c>
      <c r="AE579" t="s">
        <v>173</v>
      </c>
      <c r="AF579" t="s">
        <v>173</v>
      </c>
      <c r="AG579" t="s">
        <v>173</v>
      </c>
      <c r="AH579" t="s">
        <v>175</v>
      </c>
      <c r="AI579" t="s">
        <v>175</v>
      </c>
      <c r="AJ579" t="s">
        <v>173</v>
      </c>
      <c r="AK579" t="s">
        <v>173</v>
      </c>
      <c r="AL579" t="s">
        <v>173</v>
      </c>
      <c r="AM579" t="s">
        <v>173</v>
      </c>
      <c r="AN579" t="s">
        <v>173</v>
      </c>
      <c r="AO579" t="s">
        <v>175</v>
      </c>
      <c r="AP579" t="s">
        <v>173</v>
      </c>
      <c r="AQ579" t="s">
        <v>175</v>
      </c>
      <c r="AR579" t="s">
        <v>175</v>
      </c>
      <c r="AS579" t="s">
        <v>175</v>
      </c>
      <c r="AT579" t="s">
        <v>173</v>
      </c>
      <c r="AU579" t="s">
        <v>173</v>
      </c>
      <c r="AV579" t="s">
        <v>175</v>
      </c>
      <c r="AW579" t="s">
        <v>173</v>
      </c>
      <c r="AX579" t="s">
        <v>192</v>
      </c>
      <c r="AY579" t="s">
        <v>201</v>
      </c>
    </row>
    <row r="580" hidden="1" spans="1:51">
      <c r="A580">
        <v>579</v>
      </c>
      <c r="B580" t="s">
        <v>259</v>
      </c>
      <c r="C580">
        <v>2023</v>
      </c>
      <c r="D580">
        <v>2007</v>
      </c>
      <c r="E580">
        <v>2012</v>
      </c>
      <c r="F580" t="s">
        <v>256</v>
      </c>
      <c r="G580" t="s">
        <v>263</v>
      </c>
      <c r="H580" t="s">
        <v>264</v>
      </c>
      <c r="I580"/>
      <c r="J580" t="s">
        <v>265</v>
      </c>
      <c r="K580" t="b">
        <v>0</v>
      </c>
      <c r="L580" t="b">
        <v>0</v>
      </c>
      <c r="M580" t="b">
        <v>0</v>
      </c>
      <c r="N580" t="b">
        <v>0</v>
      </c>
      <c r="O580" t="b">
        <v>1</v>
      </c>
      <c r="P580" t="b">
        <v>0</v>
      </c>
      <c r="Q580" t="b">
        <v>1</v>
      </c>
      <c r="R580" t="b">
        <v>0</v>
      </c>
      <c r="S580" t="b">
        <v>0</v>
      </c>
      <c r="T580" t="b">
        <v>1</v>
      </c>
      <c r="U580" t="b">
        <v>0</v>
      </c>
      <c r="V580" t="b">
        <v>0</v>
      </c>
      <c r="W580" t="b">
        <v>0</v>
      </c>
      <c r="X580" t="b">
        <v>0</v>
      </c>
      <c r="Y580" t="b">
        <v>0</v>
      </c>
      <c r="Z580" t="b">
        <v>0</v>
      </c>
      <c r="AA580" t="b">
        <v>0</v>
      </c>
      <c r="AB580" t="b">
        <v>0</v>
      </c>
      <c r="AC580" t="s">
        <v>177</v>
      </c>
      <c r="AD580" t="s">
        <v>177</v>
      </c>
      <c r="AE580" t="s">
        <v>171</v>
      </c>
      <c r="AF580" t="s">
        <v>179</v>
      </c>
      <c r="AG580" t="s">
        <v>173</v>
      </c>
      <c r="AH580" t="s">
        <v>173</v>
      </c>
      <c r="AI580" t="s">
        <v>171</v>
      </c>
      <c r="AJ580" t="s">
        <v>179</v>
      </c>
      <c r="AK580" t="s">
        <v>171</v>
      </c>
      <c r="AL580" t="s">
        <v>171</v>
      </c>
      <c r="AM580" t="s">
        <v>171</v>
      </c>
      <c r="AN580" t="s">
        <v>171</v>
      </c>
      <c r="AO580" t="s">
        <v>177</v>
      </c>
      <c r="AP580" t="s">
        <v>179</v>
      </c>
      <c r="AQ580" t="s">
        <v>179</v>
      </c>
      <c r="AR580" t="s">
        <v>177</v>
      </c>
      <c r="AS580" t="s">
        <v>179</v>
      </c>
      <c r="AT580" t="s">
        <v>171</v>
      </c>
      <c r="AU580" t="s">
        <v>177</v>
      </c>
      <c r="AV580" t="s">
        <v>177</v>
      </c>
      <c r="AW580" t="s">
        <v>177</v>
      </c>
      <c r="AX580" t="s">
        <v>193</v>
      </c>
      <c r="AY580" t="s">
        <v>195</v>
      </c>
    </row>
    <row r="581" hidden="1" spans="1:51">
      <c r="A581">
        <v>580</v>
      </c>
      <c r="B581" t="s">
        <v>280</v>
      </c>
      <c r="C581">
        <v>2023</v>
      </c>
      <c r="D581">
        <v>2006</v>
      </c>
      <c r="E581">
        <v>2012</v>
      </c>
      <c r="F581" t="s">
        <v>253</v>
      </c>
      <c r="G581"/>
      <c r="H581" t="s">
        <v>247</v>
      </c>
      <c r="I581"/>
      <c r="J581" t="s">
        <v>252</v>
      </c>
      <c r="K581" t="b">
        <v>0</v>
      </c>
      <c r="L581" t="b">
        <v>0</v>
      </c>
      <c r="M581" t="b">
        <v>0</v>
      </c>
      <c r="N581" t="b">
        <v>0</v>
      </c>
      <c r="O581" t="b">
        <v>0</v>
      </c>
      <c r="P581" t="b">
        <v>0</v>
      </c>
      <c r="Q581" t="b">
        <v>0</v>
      </c>
      <c r="R581" t="b">
        <v>0</v>
      </c>
      <c r="S581" t="b">
        <v>0</v>
      </c>
      <c r="T581" t="b">
        <v>0</v>
      </c>
      <c r="U581" t="b">
        <v>0</v>
      </c>
      <c r="V581" t="b">
        <v>0</v>
      </c>
      <c r="W581" t="b">
        <v>0</v>
      </c>
      <c r="X581" t="b">
        <v>1</v>
      </c>
      <c r="Y581" t="b">
        <v>0</v>
      </c>
      <c r="Z581" t="b">
        <v>0</v>
      </c>
      <c r="AA581" t="b">
        <v>0</v>
      </c>
      <c r="AB581" t="b">
        <v>0</v>
      </c>
      <c r="AC581" t="s">
        <v>171</v>
      </c>
      <c r="AD581" t="s">
        <v>179</v>
      </c>
      <c r="AE581" t="s">
        <v>173</v>
      </c>
      <c r="AF581" t="s">
        <v>173</v>
      </c>
      <c r="AG581" t="s">
        <v>173</v>
      </c>
      <c r="AH581" t="s">
        <v>173</v>
      </c>
      <c r="AI581" t="s">
        <v>173</v>
      </c>
      <c r="AJ581" t="s">
        <v>173</v>
      </c>
      <c r="AK581" t="s">
        <v>173</v>
      </c>
      <c r="AL581" t="s">
        <v>175</v>
      </c>
      <c r="AM581" t="s">
        <v>173</v>
      </c>
      <c r="AN581" t="s">
        <v>177</v>
      </c>
      <c r="AO581" t="s">
        <v>175</v>
      </c>
      <c r="AP581" t="s">
        <v>173</v>
      </c>
      <c r="AQ581" t="s">
        <v>173</v>
      </c>
      <c r="AR581" t="s">
        <v>173</v>
      </c>
      <c r="AS581" t="s">
        <v>173</v>
      </c>
      <c r="AT581" t="s">
        <v>173</v>
      </c>
      <c r="AU581" t="s">
        <v>173</v>
      </c>
      <c r="AV581" t="s">
        <v>173</v>
      </c>
      <c r="AW581" t="s">
        <v>173</v>
      </c>
      <c r="AX581" t="s">
        <v>193</v>
      </c>
      <c r="AY581" t="s">
        <v>196</v>
      </c>
    </row>
    <row r="582" hidden="1" spans="1:51">
      <c r="A582">
        <v>581</v>
      </c>
      <c r="B582" t="s">
        <v>259</v>
      </c>
      <c r="C582">
        <v>2023</v>
      </c>
      <c r="D582">
        <v>1994</v>
      </c>
      <c r="E582">
        <v>1996</v>
      </c>
      <c r="F582" t="s">
        <v>253</v>
      </c>
      <c r="G582"/>
      <c r="H582" t="s">
        <v>273</v>
      </c>
      <c r="I582"/>
      <c r="J582" t="s">
        <v>252</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1</v>
      </c>
      <c r="AC582" t="s">
        <v>173</v>
      </c>
      <c r="AD582" t="s">
        <v>175</v>
      </c>
      <c r="AE582" t="s">
        <v>173</v>
      </c>
      <c r="AF582" t="s">
        <v>171</v>
      </c>
      <c r="AG582" t="s">
        <v>173</v>
      </c>
      <c r="AH582" t="s">
        <v>173</v>
      </c>
      <c r="AI582" t="s">
        <v>175</v>
      </c>
      <c r="AJ582" t="s">
        <v>173</v>
      </c>
      <c r="AK582" t="s">
        <v>175</v>
      </c>
      <c r="AL582" t="s">
        <v>171</v>
      </c>
      <c r="AM582" t="s">
        <v>171</v>
      </c>
      <c r="AN582" t="s">
        <v>177</v>
      </c>
      <c r="AO582" t="s">
        <v>175</v>
      </c>
      <c r="AP582" t="s">
        <v>175</v>
      </c>
      <c r="AQ582" t="s">
        <v>175</v>
      </c>
      <c r="AR582" t="s">
        <v>173</v>
      </c>
      <c r="AS582" t="s">
        <v>173</v>
      </c>
      <c r="AT582" t="s">
        <v>171</v>
      </c>
      <c r="AU582" t="s">
        <v>171</v>
      </c>
      <c r="AV582" t="s">
        <v>175</v>
      </c>
      <c r="AW582" t="s">
        <v>175</v>
      </c>
      <c r="AX582" t="s">
        <v>193</v>
      </c>
      <c r="AY582" t="s">
        <v>195</v>
      </c>
    </row>
    <row r="583" hidden="1" spans="1:51">
      <c r="A583">
        <v>582</v>
      </c>
      <c r="B583" t="s">
        <v>259</v>
      </c>
      <c r="C583">
        <v>2023</v>
      </c>
      <c r="D583">
        <v>2005</v>
      </c>
      <c r="E583">
        <v>2005</v>
      </c>
      <c r="F583" t="s">
        <v>266</v>
      </c>
      <c r="G583"/>
      <c r="H583" t="s">
        <v>274</v>
      </c>
      <c r="I583"/>
      <c r="J583" t="s">
        <v>265</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1</v>
      </c>
      <c r="AC583" t="s">
        <v>173</v>
      </c>
      <c r="AD583" t="s">
        <v>177</v>
      </c>
      <c r="AE583" t="s">
        <v>175</v>
      </c>
      <c r="AF583" t="s">
        <v>181</v>
      </c>
      <c r="AG583" t="s">
        <v>173</v>
      </c>
      <c r="AH583" t="s">
        <v>173</v>
      </c>
      <c r="AI583" t="s">
        <v>173</v>
      </c>
      <c r="AJ583" t="s">
        <v>173</v>
      </c>
      <c r="AK583" t="s">
        <v>173</v>
      </c>
      <c r="AL583" t="s">
        <v>173</v>
      </c>
      <c r="AM583" t="s">
        <v>173</v>
      </c>
      <c r="AN583" t="s">
        <v>173</v>
      </c>
      <c r="AO583" t="s">
        <v>175</v>
      </c>
      <c r="AP583" t="s">
        <v>175</v>
      </c>
      <c r="AQ583" t="s">
        <v>175</v>
      </c>
      <c r="AR583" t="s">
        <v>173</v>
      </c>
      <c r="AS583" t="s">
        <v>173</v>
      </c>
      <c r="AT583" t="s">
        <v>175</v>
      </c>
      <c r="AU583" t="s">
        <v>175</v>
      </c>
      <c r="AV583" t="s">
        <v>173</v>
      </c>
      <c r="AW583" t="s">
        <v>173</v>
      </c>
      <c r="AX583" t="s">
        <v>192</v>
      </c>
      <c r="AY583" t="s">
        <v>195</v>
      </c>
    </row>
    <row r="584" hidden="1" spans="1:51">
      <c r="A584">
        <v>583</v>
      </c>
      <c r="B584" t="s">
        <v>259</v>
      </c>
      <c r="C584">
        <v>2023</v>
      </c>
      <c r="D584">
        <v>2009</v>
      </c>
      <c r="E584">
        <v>2009</v>
      </c>
      <c r="F584" t="s">
        <v>256</v>
      </c>
      <c r="G584" t="s">
        <v>263</v>
      </c>
      <c r="H584" t="s">
        <v>264</v>
      </c>
      <c r="I584"/>
      <c r="J584" t="s">
        <v>252</v>
      </c>
      <c r="K584" t="b">
        <v>0</v>
      </c>
      <c r="L584" t="b">
        <v>0</v>
      </c>
      <c r="M584" t="b">
        <v>0</v>
      </c>
      <c r="N584" t="b">
        <v>0</v>
      </c>
      <c r="O584" t="b">
        <v>0</v>
      </c>
      <c r="P584" t="b">
        <v>0</v>
      </c>
      <c r="Q584" t="b">
        <v>0</v>
      </c>
      <c r="R584" t="b">
        <v>0</v>
      </c>
      <c r="S584" t="b">
        <v>0</v>
      </c>
      <c r="T584" t="b">
        <v>0</v>
      </c>
      <c r="U584" t="b">
        <v>0</v>
      </c>
      <c r="V584" t="b">
        <v>0</v>
      </c>
      <c r="W584" t="b">
        <v>0</v>
      </c>
      <c r="X584" t="b">
        <v>1</v>
      </c>
      <c r="Y584" t="b">
        <v>0</v>
      </c>
      <c r="Z584" t="b">
        <v>1</v>
      </c>
      <c r="AA584" t="b">
        <v>0</v>
      </c>
      <c r="AB584" t="b">
        <v>0</v>
      </c>
      <c r="AC584" t="s">
        <v>175</v>
      </c>
      <c r="AD584" t="s">
        <v>173</v>
      </c>
      <c r="AE584" t="s">
        <v>173</v>
      </c>
      <c r="AF584" t="s">
        <v>175</v>
      </c>
      <c r="AG584" t="s">
        <v>175</v>
      </c>
      <c r="AH584" t="s">
        <v>177</v>
      </c>
      <c r="AI584" t="s">
        <v>177</v>
      </c>
      <c r="AJ584" t="s">
        <v>175</v>
      </c>
      <c r="AK584" t="s">
        <v>175</v>
      </c>
      <c r="AL584" t="s">
        <v>175</v>
      </c>
      <c r="AM584" t="s">
        <v>173</v>
      </c>
      <c r="AN584" t="s">
        <v>175</v>
      </c>
      <c r="AO584" t="s">
        <v>175</v>
      </c>
      <c r="AP584" t="s">
        <v>175</v>
      </c>
      <c r="AQ584" t="s">
        <v>175</v>
      </c>
      <c r="AR584" t="s">
        <v>175</v>
      </c>
      <c r="AS584" t="s">
        <v>175</v>
      </c>
      <c r="AT584" t="s">
        <v>175</v>
      </c>
      <c r="AU584" t="s">
        <v>173</v>
      </c>
      <c r="AV584" t="s">
        <v>175</v>
      </c>
      <c r="AW584" t="s">
        <v>175</v>
      </c>
      <c r="AX584" t="s">
        <v>192</v>
      </c>
      <c r="AY584" t="s">
        <v>196</v>
      </c>
    </row>
    <row r="585" hidden="1" spans="1:51">
      <c r="A585">
        <v>584</v>
      </c>
      <c r="B585" t="s">
        <v>259</v>
      </c>
      <c r="C585">
        <v>2023</v>
      </c>
      <c r="D585">
        <v>2001</v>
      </c>
      <c r="E585">
        <v>2001</v>
      </c>
      <c r="F585" t="s">
        <v>275</v>
      </c>
      <c r="G585"/>
      <c r="H585" t="s">
        <v>264</v>
      </c>
      <c r="I585"/>
      <c r="J585" t="s">
        <v>252</v>
      </c>
      <c r="K585" t="b">
        <v>0</v>
      </c>
      <c r="L585" t="b">
        <v>0</v>
      </c>
      <c r="M585" t="b">
        <v>1</v>
      </c>
      <c r="N585" t="b">
        <v>1</v>
      </c>
      <c r="O585" t="b">
        <v>0</v>
      </c>
      <c r="P585" t="b">
        <v>0</v>
      </c>
      <c r="Q585" t="b">
        <v>0</v>
      </c>
      <c r="R585" t="b">
        <v>0</v>
      </c>
      <c r="S585" t="b">
        <v>0</v>
      </c>
      <c r="T585" t="b">
        <v>0</v>
      </c>
      <c r="U585" t="b">
        <v>0</v>
      </c>
      <c r="V585" t="b">
        <v>0</v>
      </c>
      <c r="W585" t="b">
        <v>0</v>
      </c>
      <c r="X585" t="b">
        <v>0</v>
      </c>
      <c r="Y585" t="b">
        <v>0</v>
      </c>
      <c r="Z585" t="b">
        <v>0</v>
      </c>
      <c r="AA585" t="b">
        <v>0</v>
      </c>
      <c r="AB585" t="b">
        <v>0</v>
      </c>
      <c r="AC585" t="s">
        <v>173</v>
      </c>
      <c r="AD585" t="s">
        <v>175</v>
      </c>
      <c r="AE585" t="s">
        <v>177</v>
      </c>
      <c r="AF585" t="s">
        <v>177</v>
      </c>
      <c r="AG585" t="s">
        <v>173</v>
      </c>
      <c r="AH585" t="s">
        <v>173</v>
      </c>
      <c r="AI585" t="s">
        <v>173</v>
      </c>
      <c r="AJ585" t="s">
        <v>173</v>
      </c>
      <c r="AK585" t="s">
        <v>175</v>
      </c>
      <c r="AL585" t="s">
        <v>173</v>
      </c>
      <c r="AM585" t="s">
        <v>173</v>
      </c>
      <c r="AN585" t="s">
        <v>175</v>
      </c>
      <c r="AO585" t="s">
        <v>173</v>
      </c>
      <c r="AP585" t="s">
        <v>177</v>
      </c>
      <c r="AQ585" t="s">
        <v>177</v>
      </c>
      <c r="AR585" t="s">
        <v>177</v>
      </c>
      <c r="AS585" t="s">
        <v>175</v>
      </c>
      <c r="AT585" t="s">
        <v>173</v>
      </c>
      <c r="AU585" t="s">
        <v>173</v>
      </c>
      <c r="AV585" t="s">
        <v>173</v>
      </c>
      <c r="AW585" t="s">
        <v>173</v>
      </c>
      <c r="AX585" t="s">
        <v>192</v>
      </c>
      <c r="AY585" t="s">
        <v>195</v>
      </c>
    </row>
    <row r="586" hidden="1" spans="1:51">
      <c r="A586">
        <v>585</v>
      </c>
      <c r="B586" t="s">
        <v>269</v>
      </c>
      <c r="C586">
        <v>2023</v>
      </c>
      <c r="D586">
        <v>2017</v>
      </c>
      <c r="E586">
        <v>2017</v>
      </c>
      <c r="F586" t="s">
        <v>276</v>
      </c>
      <c r="G586"/>
      <c r="H586" t="s">
        <v>247</v>
      </c>
      <c r="I586"/>
      <c r="J586" t="s">
        <v>265</v>
      </c>
      <c r="K586" t="b">
        <v>0</v>
      </c>
      <c r="L586" t="b">
        <v>0</v>
      </c>
      <c r="M586" t="b">
        <v>0</v>
      </c>
      <c r="N586" t="b">
        <v>0</v>
      </c>
      <c r="O586" t="b">
        <v>0</v>
      </c>
      <c r="P586" t="b">
        <v>0</v>
      </c>
      <c r="Q586" t="b">
        <v>0</v>
      </c>
      <c r="R586" t="b">
        <v>0</v>
      </c>
      <c r="S586" t="b">
        <v>0</v>
      </c>
      <c r="T586" t="b">
        <v>0</v>
      </c>
      <c r="U586" t="b">
        <v>1</v>
      </c>
      <c r="V586" t="b">
        <v>1</v>
      </c>
      <c r="W586" t="b">
        <v>0</v>
      </c>
      <c r="X586" t="b">
        <v>0</v>
      </c>
      <c r="Y586" t="b">
        <v>0</v>
      </c>
      <c r="Z586" t="b">
        <v>0</v>
      </c>
      <c r="AA586" t="b">
        <v>0</v>
      </c>
      <c r="AB586" t="b">
        <v>0</v>
      </c>
      <c r="AC586" t="s">
        <v>173</v>
      </c>
      <c r="AD586" t="s">
        <v>175</v>
      </c>
      <c r="AE586" t="s">
        <v>173</v>
      </c>
      <c r="AF586" t="s">
        <v>173</v>
      </c>
      <c r="AG586" t="s">
        <v>173</v>
      </c>
      <c r="AH586" t="s">
        <v>173</v>
      </c>
      <c r="AI586" t="s">
        <v>173</v>
      </c>
      <c r="AJ586" t="s">
        <v>173</v>
      </c>
      <c r="AK586" t="s">
        <v>173</v>
      </c>
      <c r="AL586" t="s">
        <v>173</v>
      </c>
      <c r="AM586" t="s">
        <v>173</v>
      </c>
      <c r="AN586" t="s">
        <v>173</v>
      </c>
      <c r="AO586" t="s">
        <v>175</v>
      </c>
      <c r="AP586" t="s">
        <v>175</v>
      </c>
      <c r="AQ586" t="s">
        <v>175</v>
      </c>
      <c r="AR586" t="s">
        <v>173</v>
      </c>
      <c r="AS586" t="s">
        <v>173</v>
      </c>
      <c r="AT586" t="s">
        <v>173</v>
      </c>
      <c r="AU586" t="s">
        <v>173</v>
      </c>
      <c r="AV586" t="s">
        <v>175</v>
      </c>
      <c r="AW586" t="s">
        <v>173</v>
      </c>
      <c r="AX586" t="s">
        <v>192</v>
      </c>
      <c r="AY586" t="s">
        <v>197</v>
      </c>
    </row>
    <row r="587" hidden="1" spans="1:51">
      <c r="A587">
        <v>586</v>
      </c>
      <c r="B587" t="s">
        <v>272</v>
      </c>
      <c r="C587">
        <v>2023</v>
      </c>
      <c r="D587">
        <v>2021</v>
      </c>
      <c r="E587">
        <v>2022</v>
      </c>
      <c r="F587" t="s">
        <v>266</v>
      </c>
      <c r="G587"/>
      <c r="H587" t="s">
        <v>247</v>
      </c>
      <c r="I587"/>
      <c r="J587" t="s">
        <v>290</v>
      </c>
      <c r="K587" t="b">
        <v>0</v>
      </c>
      <c r="L587" t="b">
        <v>0</v>
      </c>
      <c r="M587" t="b">
        <v>0</v>
      </c>
      <c r="N587" t="b">
        <v>0</v>
      </c>
      <c r="O587" t="b">
        <v>0</v>
      </c>
      <c r="P587" t="b">
        <v>0</v>
      </c>
      <c r="Q587" t="b">
        <v>0</v>
      </c>
      <c r="R587" t="b">
        <v>0</v>
      </c>
      <c r="S587" t="b">
        <v>0</v>
      </c>
      <c r="T587" t="b">
        <v>0</v>
      </c>
      <c r="U587" t="b">
        <v>0</v>
      </c>
      <c r="V587" t="b">
        <v>0</v>
      </c>
      <c r="W587" t="b">
        <v>1</v>
      </c>
      <c r="X587" t="b">
        <v>0</v>
      </c>
      <c r="Y587" t="b">
        <v>0</v>
      </c>
      <c r="Z587" t="b">
        <v>0</v>
      </c>
      <c r="AA587" t="b">
        <v>0</v>
      </c>
      <c r="AB587" t="b">
        <v>0</v>
      </c>
      <c r="AC587" t="s">
        <v>173</v>
      </c>
      <c r="AD587" t="s">
        <v>175</v>
      </c>
      <c r="AE587" t="s">
        <v>171</v>
      </c>
      <c r="AF587" t="s">
        <v>171</v>
      </c>
      <c r="AG587" t="s">
        <v>171</v>
      </c>
      <c r="AH587" t="s">
        <v>171</v>
      </c>
      <c r="AI587" t="s">
        <v>171</v>
      </c>
      <c r="AJ587" t="s">
        <v>171</v>
      </c>
      <c r="AK587" t="s">
        <v>171</v>
      </c>
      <c r="AL587" t="s">
        <v>171</v>
      </c>
      <c r="AM587" t="s">
        <v>171</v>
      </c>
      <c r="AN587" t="s">
        <v>183</v>
      </c>
      <c r="AO587" t="s">
        <v>175</v>
      </c>
      <c r="AP587" t="s">
        <v>175</v>
      </c>
      <c r="AQ587" t="s">
        <v>175</v>
      </c>
      <c r="AR587" t="s">
        <v>173</v>
      </c>
      <c r="AS587" t="s">
        <v>171</v>
      </c>
      <c r="AT587" t="s">
        <v>171</v>
      </c>
      <c r="AU587" t="s">
        <v>171</v>
      </c>
      <c r="AV587" t="s">
        <v>183</v>
      </c>
      <c r="AW587" t="s">
        <v>183</v>
      </c>
      <c r="AX587" t="s">
        <v>192</v>
      </c>
      <c r="AY587" t="s">
        <v>202</v>
      </c>
    </row>
    <row r="588" hidden="1" spans="1:51">
      <c r="A588">
        <v>587</v>
      </c>
      <c r="B588" t="s">
        <v>272</v>
      </c>
      <c r="C588">
        <v>2020</v>
      </c>
      <c r="D588">
        <v>2008</v>
      </c>
      <c r="E588">
        <v>2009</v>
      </c>
      <c r="F588" t="s">
        <v>256</v>
      </c>
      <c r="G588" t="s">
        <v>279</v>
      </c>
      <c r="H588" t="s">
        <v>264</v>
      </c>
      <c r="I588"/>
      <c r="J588" t="s">
        <v>265</v>
      </c>
      <c r="K588" t="b">
        <v>0</v>
      </c>
      <c r="L588" t="b">
        <v>0</v>
      </c>
      <c r="M588" t="b">
        <v>0</v>
      </c>
      <c r="N588" t="b">
        <v>0</v>
      </c>
      <c r="O588" t="b">
        <v>0</v>
      </c>
      <c r="P588" t="b">
        <v>0</v>
      </c>
      <c r="Q588" t="b">
        <v>0</v>
      </c>
      <c r="R588" t="b">
        <v>0</v>
      </c>
      <c r="S588" t="b">
        <v>0</v>
      </c>
      <c r="T588" t="b">
        <v>0</v>
      </c>
      <c r="U588" t="b">
        <v>0</v>
      </c>
      <c r="V588" t="b">
        <v>1</v>
      </c>
      <c r="W588" t="b">
        <v>1</v>
      </c>
      <c r="X588" t="b">
        <v>0</v>
      </c>
      <c r="Y588" t="b">
        <v>0</v>
      </c>
      <c r="Z588" t="b">
        <v>0</v>
      </c>
      <c r="AA588" t="b">
        <v>0</v>
      </c>
      <c r="AB588" t="b">
        <v>0</v>
      </c>
      <c r="AC588" t="s">
        <v>173</v>
      </c>
      <c r="AD588" t="s">
        <v>175</v>
      </c>
      <c r="AE588" t="s">
        <v>173</v>
      </c>
      <c r="AF588" t="s">
        <v>173</v>
      </c>
      <c r="AG588" t="s">
        <v>173</v>
      </c>
      <c r="AH588" t="s">
        <v>171</v>
      </c>
      <c r="AI588" t="s">
        <v>177</v>
      </c>
      <c r="AJ588" t="s">
        <v>175</v>
      </c>
      <c r="AK588" t="s">
        <v>173</v>
      </c>
      <c r="AL588" t="s">
        <v>171</v>
      </c>
      <c r="AM588" t="s">
        <v>173</v>
      </c>
      <c r="AN588" t="s">
        <v>173</v>
      </c>
      <c r="AO588" t="s">
        <v>175</v>
      </c>
      <c r="AP588" t="s">
        <v>175</v>
      </c>
      <c r="AQ588" t="s">
        <v>173</v>
      </c>
      <c r="AR588" t="s">
        <v>173</v>
      </c>
      <c r="AS588" t="s">
        <v>175</v>
      </c>
      <c r="AT588" t="s">
        <v>173</v>
      </c>
      <c r="AU588" t="s">
        <v>173</v>
      </c>
      <c r="AV588" t="s">
        <v>177</v>
      </c>
      <c r="AW588" t="s">
        <v>181</v>
      </c>
      <c r="AX588" t="s">
        <v>192</v>
      </c>
      <c r="AY588" t="s">
        <v>197</v>
      </c>
    </row>
    <row r="589" hidden="1" spans="1:51">
      <c r="A589">
        <v>588</v>
      </c>
      <c r="B589" t="s">
        <v>259</v>
      </c>
      <c r="C589">
        <v>2023</v>
      </c>
      <c r="D589">
        <v>2007</v>
      </c>
      <c r="E589">
        <v>2007</v>
      </c>
      <c r="F589" t="s">
        <v>256</v>
      </c>
      <c r="G589" t="s">
        <v>263</v>
      </c>
      <c r="H589" t="s">
        <v>261</v>
      </c>
      <c r="I589"/>
      <c r="J589" t="s">
        <v>265</v>
      </c>
      <c r="K589" t="b">
        <v>0</v>
      </c>
      <c r="L589" t="b">
        <v>0</v>
      </c>
      <c r="M589" t="b">
        <v>0</v>
      </c>
      <c r="N589" t="b">
        <v>0</v>
      </c>
      <c r="O589" t="b">
        <v>0</v>
      </c>
      <c r="P589" t="b">
        <v>0</v>
      </c>
      <c r="Q589" t="b">
        <v>0</v>
      </c>
      <c r="R589" t="b">
        <v>0</v>
      </c>
      <c r="S589" t="b">
        <v>0</v>
      </c>
      <c r="T589" t="b">
        <v>0</v>
      </c>
      <c r="U589" t="b">
        <v>0</v>
      </c>
      <c r="V589" t="b">
        <v>0</v>
      </c>
      <c r="W589" t="b">
        <v>0</v>
      </c>
      <c r="X589" t="b">
        <v>0</v>
      </c>
      <c r="Y589" t="b">
        <v>0</v>
      </c>
      <c r="Z589" t="b">
        <v>1</v>
      </c>
      <c r="AA589" t="b">
        <v>0</v>
      </c>
      <c r="AB589" t="b">
        <v>0</v>
      </c>
      <c r="AC589" t="s">
        <v>173</v>
      </c>
      <c r="AD589" t="s">
        <v>173</v>
      </c>
      <c r="AE589" t="s">
        <v>173</v>
      </c>
      <c r="AF589" t="s">
        <v>173</v>
      </c>
      <c r="AG589" t="s">
        <v>173</v>
      </c>
      <c r="AH589" t="s">
        <v>175</v>
      </c>
      <c r="AI589" t="s">
        <v>173</v>
      </c>
      <c r="AJ589" t="s">
        <v>173</v>
      </c>
      <c r="AK589" t="s">
        <v>173</v>
      </c>
      <c r="AL589" t="s">
        <v>173</v>
      </c>
      <c r="AM589" t="s">
        <v>173</v>
      </c>
      <c r="AN589" t="s">
        <v>173</v>
      </c>
      <c r="AO589" t="s">
        <v>175</v>
      </c>
      <c r="AP589" t="s">
        <v>175</v>
      </c>
      <c r="AQ589" t="s">
        <v>173</v>
      </c>
      <c r="AR589" t="s">
        <v>173</v>
      </c>
      <c r="AS589" t="s">
        <v>173</v>
      </c>
      <c r="AT589" t="s">
        <v>173</v>
      </c>
      <c r="AU589" t="s">
        <v>173</v>
      </c>
      <c r="AV589" t="s">
        <v>173</v>
      </c>
      <c r="AW589" t="s">
        <v>183</v>
      </c>
      <c r="AX589" t="s">
        <v>192</v>
      </c>
      <c r="AY589" t="s">
        <v>195</v>
      </c>
    </row>
    <row r="590" hidden="1" spans="1:56">
      <c r="A590">
        <v>589</v>
      </c>
      <c r="B590" t="s">
        <v>269</v>
      </c>
      <c r="C590">
        <v>2023</v>
      </c>
      <c r="D590">
        <v>2020</v>
      </c>
      <c r="E590">
        <v>2020</v>
      </c>
      <c r="F590" t="s">
        <v>282</v>
      </c>
      <c r="G590"/>
      <c r="H590" t="s">
        <v>261</v>
      </c>
      <c r="I590"/>
      <c r="J590" t="s">
        <v>281</v>
      </c>
      <c r="K590" t="b">
        <v>0</v>
      </c>
      <c r="L590" t="b">
        <v>0</v>
      </c>
      <c r="M590" t="b">
        <v>0</v>
      </c>
      <c r="N590" t="b">
        <v>0</v>
      </c>
      <c r="O590" t="b">
        <v>0</v>
      </c>
      <c r="P590" t="b">
        <v>0</v>
      </c>
      <c r="Q590" t="b">
        <v>0</v>
      </c>
      <c r="R590" t="b">
        <v>0</v>
      </c>
      <c r="S590" t="b">
        <v>0</v>
      </c>
      <c r="T590" t="b">
        <v>1</v>
      </c>
      <c r="U590" t="b">
        <v>0</v>
      </c>
      <c r="V590" t="b">
        <v>0</v>
      </c>
      <c r="W590" t="b">
        <v>0</v>
      </c>
      <c r="X590" t="b">
        <v>0</v>
      </c>
      <c r="Y590" t="b">
        <v>0</v>
      </c>
      <c r="Z590" t="b">
        <v>0</v>
      </c>
      <c r="AA590" t="b">
        <v>0</v>
      </c>
      <c r="AB590" t="b">
        <v>0</v>
      </c>
      <c r="AC590" t="s">
        <v>171</v>
      </c>
      <c r="AD590" t="s">
        <v>175</v>
      </c>
      <c r="AE590" t="s">
        <v>171</v>
      </c>
      <c r="AF590" t="s">
        <v>171</v>
      </c>
      <c r="AG590" t="s">
        <v>171</v>
      </c>
      <c r="AH590" t="s">
        <v>171</v>
      </c>
      <c r="AI590" t="s">
        <v>171</v>
      </c>
      <c r="AJ590" t="s">
        <v>171</v>
      </c>
      <c r="AK590" t="s">
        <v>171</v>
      </c>
      <c r="AL590" t="s">
        <v>171</v>
      </c>
      <c r="AM590" t="s">
        <v>171</v>
      </c>
      <c r="AN590" t="s">
        <v>171</v>
      </c>
      <c r="AO590" t="s">
        <v>171</v>
      </c>
      <c r="AP590" t="s">
        <v>171</v>
      </c>
      <c r="AQ590" t="s">
        <v>171</v>
      </c>
      <c r="AR590" t="s">
        <v>171</v>
      </c>
      <c r="AS590" t="s">
        <v>171</v>
      </c>
      <c r="AT590" t="s">
        <v>171</v>
      </c>
      <c r="AU590" t="s">
        <v>171</v>
      </c>
      <c r="AV590" t="s">
        <v>171</v>
      </c>
      <c r="AW590" t="s">
        <v>171</v>
      </c>
      <c r="AX590" t="s">
        <v>193</v>
      </c>
      <c r="AY590" t="s">
        <v>203</v>
      </c>
      <c r="AZ590" t="s">
        <v>183</v>
      </c>
      <c r="BA590" t="s">
        <v>183</v>
      </c>
      <c r="BB590" t="s">
        <v>183</v>
      </c>
      <c r="BC590" t="s">
        <v>183</v>
      </c>
      <c r="BD590" t="s">
        <v>208</v>
      </c>
    </row>
    <row r="591" hidden="1" spans="1:56">
      <c r="A591">
        <v>590</v>
      </c>
      <c r="B591" t="s">
        <v>255</v>
      </c>
      <c r="C591">
        <v>2023</v>
      </c>
      <c r="D591">
        <v>1994</v>
      </c>
      <c r="E591">
        <v>1998</v>
      </c>
      <c r="F591" t="s">
        <v>282</v>
      </c>
      <c r="G591"/>
      <c r="H591" t="s">
        <v>274</v>
      </c>
      <c r="I591"/>
      <c r="J591" t="s">
        <v>252</v>
      </c>
      <c r="K591" t="b">
        <v>0</v>
      </c>
      <c r="L591" t="b">
        <v>0</v>
      </c>
      <c r="M591" t="b">
        <v>1</v>
      </c>
      <c r="N591" t="b">
        <v>0</v>
      </c>
      <c r="O591" t="b">
        <v>0</v>
      </c>
      <c r="P591" t="b">
        <v>0</v>
      </c>
      <c r="Q591" t="b">
        <v>0</v>
      </c>
      <c r="R591" t="b">
        <v>0</v>
      </c>
      <c r="S591" t="b">
        <v>0</v>
      </c>
      <c r="T591" t="b">
        <v>0</v>
      </c>
      <c r="U591" t="b">
        <v>0</v>
      </c>
      <c r="V591" t="b">
        <v>0</v>
      </c>
      <c r="W591" t="b">
        <v>0</v>
      </c>
      <c r="X591" t="b">
        <v>0</v>
      </c>
      <c r="Y591" t="b">
        <v>1</v>
      </c>
      <c r="Z591" t="b">
        <v>0</v>
      </c>
      <c r="AA591" t="b">
        <v>1</v>
      </c>
      <c r="AB591" t="b">
        <v>0</v>
      </c>
      <c r="AC591" t="s">
        <v>183</v>
      </c>
      <c r="AD591" t="s">
        <v>183</v>
      </c>
      <c r="AE591" t="s">
        <v>179</v>
      </c>
      <c r="AF591" t="s">
        <v>179</v>
      </c>
      <c r="AG591" t="s">
        <v>173</v>
      </c>
      <c r="AH591" t="s">
        <v>173</v>
      </c>
      <c r="AI591" t="s">
        <v>175</v>
      </c>
      <c r="AJ591" t="s">
        <v>179</v>
      </c>
      <c r="AK591" t="s">
        <v>175</v>
      </c>
      <c r="AL591" t="s">
        <v>175</v>
      </c>
      <c r="AM591" t="s">
        <v>171</v>
      </c>
      <c r="AN591" t="s">
        <v>171</v>
      </c>
      <c r="AO591" t="s">
        <v>179</v>
      </c>
      <c r="AP591" t="s">
        <v>179</v>
      </c>
      <c r="AQ591" t="s">
        <v>179</v>
      </c>
      <c r="AR591" t="s">
        <v>179</v>
      </c>
      <c r="AS591" t="s">
        <v>179</v>
      </c>
      <c r="AT591" t="s">
        <v>175</v>
      </c>
      <c r="AU591" t="s">
        <v>183</v>
      </c>
      <c r="AV591" t="s">
        <v>183</v>
      </c>
      <c r="AW591" t="s">
        <v>179</v>
      </c>
      <c r="AX591" t="s">
        <v>193</v>
      </c>
      <c r="AY591" t="s">
        <v>195</v>
      </c>
      <c r="AZ591" t="s">
        <v>183</v>
      </c>
      <c r="BA591" t="s">
        <v>183</v>
      </c>
      <c r="BB591" t="s">
        <v>183</v>
      </c>
      <c r="BC591" t="s">
        <v>183</v>
      </c>
      <c r="BD591" t="s">
        <v>208</v>
      </c>
    </row>
    <row r="592" hidden="1" spans="1:51">
      <c r="A592">
        <v>591</v>
      </c>
      <c r="B592" t="s">
        <v>269</v>
      </c>
      <c r="C592">
        <v>2024</v>
      </c>
      <c r="D592">
        <v>2014</v>
      </c>
      <c r="E592">
        <v>2021</v>
      </c>
      <c r="F592" t="s">
        <v>248</v>
      </c>
      <c r="G592"/>
      <c r="H592" t="s">
        <v>274</v>
      </c>
      <c r="I592"/>
      <c r="J592" t="s">
        <v>252</v>
      </c>
      <c r="K592" t="b">
        <v>0</v>
      </c>
      <c r="L592" t="b">
        <v>0</v>
      </c>
      <c r="M592" t="b">
        <v>0</v>
      </c>
      <c r="N592" t="b">
        <v>0</v>
      </c>
      <c r="O592" t="b">
        <v>1</v>
      </c>
      <c r="P592" t="b">
        <v>0</v>
      </c>
      <c r="Q592" t="b">
        <v>1</v>
      </c>
      <c r="R592" t="b">
        <v>0</v>
      </c>
      <c r="S592" t="b">
        <v>0</v>
      </c>
      <c r="T592" t="b">
        <v>0</v>
      </c>
      <c r="U592" t="b">
        <v>0</v>
      </c>
      <c r="V592" t="b">
        <v>0</v>
      </c>
      <c r="W592" t="b">
        <v>0</v>
      </c>
      <c r="X592" t="b">
        <v>0</v>
      </c>
      <c r="Y592" t="b">
        <v>0</v>
      </c>
      <c r="Z592" t="b">
        <v>0</v>
      </c>
      <c r="AA592" t="b">
        <v>1</v>
      </c>
      <c r="AB592" t="b">
        <v>0</v>
      </c>
      <c r="AC592" t="s">
        <v>173</v>
      </c>
      <c r="AD592" t="s">
        <v>177</v>
      </c>
      <c r="AE592" t="s">
        <v>179</v>
      </c>
      <c r="AF592" t="s">
        <v>179</v>
      </c>
      <c r="AG592" t="s">
        <v>175</v>
      </c>
      <c r="AH592" t="s">
        <v>177</v>
      </c>
      <c r="AI592" t="s">
        <v>173</v>
      </c>
      <c r="AJ592" t="s">
        <v>177</v>
      </c>
      <c r="AK592" t="s">
        <v>173</v>
      </c>
      <c r="AL592" t="s">
        <v>173</v>
      </c>
      <c r="AM592" t="s">
        <v>171</v>
      </c>
      <c r="AN592" t="s">
        <v>171</v>
      </c>
      <c r="AO592" t="s">
        <v>177</v>
      </c>
      <c r="AP592" t="s">
        <v>175</v>
      </c>
      <c r="AQ592" t="s">
        <v>175</v>
      </c>
      <c r="AR592" t="s">
        <v>175</v>
      </c>
      <c r="AS592" t="s">
        <v>175</v>
      </c>
      <c r="AT592" t="s">
        <v>173</v>
      </c>
      <c r="AU592" t="s">
        <v>175</v>
      </c>
      <c r="AV592" t="s">
        <v>177</v>
      </c>
      <c r="AW592" t="s">
        <v>173</v>
      </c>
      <c r="AX592" t="s">
        <v>192</v>
      </c>
      <c r="AY592" t="s">
        <v>203</v>
      </c>
    </row>
    <row r="593" hidden="1" spans="1:51">
      <c r="A593">
        <v>592</v>
      </c>
      <c r="B593" t="s">
        <v>280</v>
      </c>
      <c r="C593">
        <v>2023</v>
      </c>
      <c r="D593">
        <v>2011</v>
      </c>
      <c r="E593">
        <v>2011</v>
      </c>
      <c r="F593" t="s">
        <v>275</v>
      </c>
      <c r="G593"/>
      <c r="H593" t="s">
        <v>264</v>
      </c>
      <c r="I593"/>
      <c r="J593" t="s">
        <v>265</v>
      </c>
      <c r="K593" t="b">
        <v>0</v>
      </c>
      <c r="L593" t="b">
        <v>0</v>
      </c>
      <c r="M593" t="b">
        <v>0</v>
      </c>
      <c r="N593" t="b">
        <v>0</v>
      </c>
      <c r="O593" t="b">
        <v>0</v>
      </c>
      <c r="P593" t="b">
        <v>0</v>
      </c>
      <c r="Q593" t="b">
        <v>0</v>
      </c>
      <c r="R593" t="b">
        <v>0</v>
      </c>
      <c r="S593" t="b">
        <v>0</v>
      </c>
      <c r="T593" t="b">
        <v>0</v>
      </c>
      <c r="U593" t="b">
        <v>0</v>
      </c>
      <c r="V593" t="b">
        <v>0</v>
      </c>
      <c r="W593" t="b">
        <v>0</v>
      </c>
      <c r="X593" t="b">
        <v>1</v>
      </c>
      <c r="Y593" t="b">
        <v>0</v>
      </c>
      <c r="Z593" t="b">
        <v>0</v>
      </c>
      <c r="AA593" t="b">
        <v>1</v>
      </c>
      <c r="AB593" t="b">
        <v>0</v>
      </c>
      <c r="AC593" t="s">
        <v>171</v>
      </c>
      <c r="AD593" t="s">
        <v>175</v>
      </c>
      <c r="AE593" t="s">
        <v>173</v>
      </c>
      <c r="AF593" t="s">
        <v>173</v>
      </c>
      <c r="AG593" t="s">
        <v>173</v>
      </c>
      <c r="AH593" t="s">
        <v>173</v>
      </c>
      <c r="AI593" t="s">
        <v>175</v>
      </c>
      <c r="AJ593" t="s">
        <v>175</v>
      </c>
      <c r="AK593" t="s">
        <v>175</v>
      </c>
      <c r="AL593" t="s">
        <v>173</v>
      </c>
      <c r="AM593" t="s">
        <v>173</v>
      </c>
      <c r="AN593" t="s">
        <v>175</v>
      </c>
      <c r="AO593" t="s">
        <v>173</v>
      </c>
      <c r="AP593" t="s">
        <v>173</v>
      </c>
      <c r="AQ593" t="s">
        <v>173</v>
      </c>
      <c r="AR593" t="s">
        <v>173</v>
      </c>
      <c r="AS593" t="s">
        <v>173</v>
      </c>
      <c r="AT593" t="s">
        <v>173</v>
      </c>
      <c r="AU593" t="s">
        <v>173</v>
      </c>
      <c r="AV593" t="s">
        <v>173</v>
      </c>
      <c r="AW593" t="s">
        <v>173</v>
      </c>
      <c r="AX593" t="s">
        <v>192</v>
      </c>
      <c r="AY593" t="s">
        <v>197</v>
      </c>
    </row>
    <row r="594" hidden="1" spans="1:51">
      <c r="A594">
        <v>593</v>
      </c>
      <c r="B594" t="s">
        <v>255</v>
      </c>
      <c r="C594">
        <v>2023</v>
      </c>
      <c r="D594">
        <v>2010</v>
      </c>
      <c r="E594">
        <v>2019</v>
      </c>
      <c r="F594" t="s">
        <v>275</v>
      </c>
      <c r="G594"/>
      <c r="H594" t="s">
        <v>268</v>
      </c>
      <c r="I594"/>
      <c r="J594" t="s">
        <v>265</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1</v>
      </c>
      <c r="AC594" t="s">
        <v>173</v>
      </c>
      <c r="AD594" t="s">
        <v>183</v>
      </c>
      <c r="AE594" t="s">
        <v>173</v>
      </c>
      <c r="AF594" t="s">
        <v>173</v>
      </c>
      <c r="AG594" t="s">
        <v>173</v>
      </c>
      <c r="AH594" t="s">
        <v>173</v>
      </c>
      <c r="AI594" t="s">
        <v>173</v>
      </c>
      <c r="AJ594" t="s">
        <v>173</v>
      </c>
      <c r="AK594" t="s">
        <v>173</v>
      </c>
      <c r="AL594" t="s">
        <v>173</v>
      </c>
      <c r="AM594" t="s">
        <v>173</v>
      </c>
      <c r="AN594" t="s">
        <v>183</v>
      </c>
      <c r="AO594" t="s">
        <v>173</v>
      </c>
      <c r="AP594" t="s">
        <v>173</v>
      </c>
      <c r="AQ594" t="s">
        <v>175</v>
      </c>
      <c r="AR594" t="s">
        <v>173</v>
      </c>
      <c r="AS594" t="s">
        <v>173</v>
      </c>
      <c r="AT594" t="s">
        <v>173</v>
      </c>
      <c r="AU594" t="s">
        <v>173</v>
      </c>
      <c r="AV594" t="s">
        <v>175</v>
      </c>
      <c r="AW594" t="s">
        <v>175</v>
      </c>
      <c r="AX594" t="s">
        <v>192</v>
      </c>
      <c r="AY594" t="s">
        <v>196</v>
      </c>
    </row>
    <row r="595" hidden="1" spans="1:51">
      <c r="A595">
        <v>594</v>
      </c>
      <c r="B595" t="s">
        <v>255</v>
      </c>
      <c r="C595">
        <v>2023</v>
      </c>
      <c r="D595">
        <v>2014</v>
      </c>
      <c r="E595">
        <v>2018</v>
      </c>
      <c r="F595" t="s">
        <v>256</v>
      </c>
      <c r="G595" t="s">
        <v>263</v>
      </c>
      <c r="H595" t="s">
        <v>247</v>
      </c>
      <c r="I595"/>
      <c r="J595" t="s">
        <v>252</v>
      </c>
      <c r="K595" t="b">
        <v>0</v>
      </c>
      <c r="L595" t="b">
        <v>0</v>
      </c>
      <c r="M595" t="b">
        <v>0</v>
      </c>
      <c r="N595" t="b">
        <v>1</v>
      </c>
      <c r="O595" t="b">
        <v>0</v>
      </c>
      <c r="P595" t="b">
        <v>0</v>
      </c>
      <c r="Q595" t="b">
        <v>0</v>
      </c>
      <c r="R595" t="b">
        <v>0</v>
      </c>
      <c r="S595" t="b">
        <v>1</v>
      </c>
      <c r="T595" t="b">
        <v>0</v>
      </c>
      <c r="U595" t="b">
        <v>1</v>
      </c>
      <c r="V595" t="b">
        <v>0</v>
      </c>
      <c r="W595" t="b">
        <v>1</v>
      </c>
      <c r="X595" t="b">
        <v>1</v>
      </c>
      <c r="Y595" t="b">
        <v>0</v>
      </c>
      <c r="Z595" t="b">
        <v>1</v>
      </c>
      <c r="AA595" t="b">
        <v>1</v>
      </c>
      <c r="AB595" t="b">
        <v>0</v>
      </c>
      <c r="AC595" t="s">
        <v>177</v>
      </c>
      <c r="AD595" t="s">
        <v>175</v>
      </c>
      <c r="AE595" t="s">
        <v>177</v>
      </c>
      <c r="AF595" t="s">
        <v>175</v>
      </c>
      <c r="AG595" t="s">
        <v>173</v>
      </c>
      <c r="AH595" t="s">
        <v>177</v>
      </c>
      <c r="AI595" t="s">
        <v>175</v>
      </c>
      <c r="AJ595" t="s">
        <v>175</v>
      </c>
      <c r="AK595" t="s">
        <v>173</v>
      </c>
      <c r="AL595" t="s">
        <v>173</v>
      </c>
      <c r="AM595" t="s">
        <v>175</v>
      </c>
      <c r="AN595" t="s">
        <v>175</v>
      </c>
      <c r="AO595" t="s">
        <v>175</v>
      </c>
      <c r="AP595" t="s">
        <v>173</v>
      </c>
      <c r="AQ595" t="s">
        <v>173</v>
      </c>
      <c r="AR595" t="s">
        <v>175</v>
      </c>
      <c r="AS595" t="s">
        <v>173</v>
      </c>
      <c r="AT595" t="s">
        <v>173</v>
      </c>
      <c r="AU595" t="s">
        <v>175</v>
      </c>
      <c r="AV595" t="s">
        <v>177</v>
      </c>
      <c r="AW595" t="s">
        <v>175</v>
      </c>
      <c r="AX595" t="s">
        <v>192</v>
      </c>
      <c r="AY595" t="s">
        <v>201</v>
      </c>
    </row>
    <row r="596" hidden="1" spans="1:51">
      <c r="A596">
        <v>595</v>
      </c>
      <c r="B596" t="s">
        <v>280</v>
      </c>
      <c r="C596">
        <v>2023</v>
      </c>
      <c r="D596" t="s">
        <v>247</v>
      </c>
      <c r="E596" t="s">
        <v>247</v>
      </c>
      <c r="F596" t="s">
        <v>275</v>
      </c>
      <c r="G596"/>
      <c r="H596" t="s">
        <v>250</v>
      </c>
      <c r="I596" t="s">
        <v>254</v>
      </c>
      <c r="J596" t="s">
        <v>265</v>
      </c>
      <c r="K596" t="b">
        <v>0</v>
      </c>
      <c r="L596" t="b">
        <v>0</v>
      </c>
      <c r="M596" t="b">
        <v>0</v>
      </c>
      <c r="N596" t="b">
        <v>0</v>
      </c>
      <c r="O596" t="b">
        <v>0</v>
      </c>
      <c r="P596" t="b">
        <v>0</v>
      </c>
      <c r="Q596" t="b">
        <v>0</v>
      </c>
      <c r="R596" t="b">
        <v>0</v>
      </c>
      <c r="S596" t="b">
        <v>0</v>
      </c>
      <c r="T596" t="b">
        <v>0</v>
      </c>
      <c r="U596" t="b">
        <v>0</v>
      </c>
      <c r="V596" t="b">
        <v>0</v>
      </c>
      <c r="W596" t="b">
        <v>0</v>
      </c>
      <c r="X596" t="b">
        <v>1</v>
      </c>
      <c r="Y596" t="b">
        <v>0</v>
      </c>
      <c r="Z596" t="b">
        <v>0</v>
      </c>
      <c r="AA596" t="b">
        <v>0</v>
      </c>
      <c r="AB596" t="b">
        <v>0</v>
      </c>
      <c r="AC596" t="s">
        <v>173</v>
      </c>
      <c r="AD596" t="s">
        <v>183</v>
      </c>
      <c r="AE596" t="s">
        <v>173</v>
      </c>
      <c r="AF596" t="s">
        <v>173</v>
      </c>
      <c r="AG596" t="s">
        <v>173</v>
      </c>
      <c r="AH596" t="s">
        <v>173</v>
      </c>
      <c r="AI596" t="s">
        <v>173</v>
      </c>
      <c r="AJ596" t="s">
        <v>173</v>
      </c>
      <c r="AK596" t="s">
        <v>173</v>
      </c>
      <c r="AL596" t="s">
        <v>173</v>
      </c>
      <c r="AM596" t="s">
        <v>173</v>
      </c>
      <c r="AN596" t="s">
        <v>183</v>
      </c>
      <c r="AO596" t="s">
        <v>173</v>
      </c>
      <c r="AP596" t="s">
        <v>173</v>
      </c>
      <c r="AQ596" t="s">
        <v>173</v>
      </c>
      <c r="AR596" t="s">
        <v>173</v>
      </c>
      <c r="AS596" t="s">
        <v>173</v>
      </c>
      <c r="AT596" t="s">
        <v>173</v>
      </c>
      <c r="AU596" t="s">
        <v>173</v>
      </c>
      <c r="AV596" t="s">
        <v>173</v>
      </c>
      <c r="AW596" t="s">
        <v>173</v>
      </c>
      <c r="AX596" t="s">
        <v>192</v>
      </c>
      <c r="AY596" t="s">
        <v>196</v>
      </c>
    </row>
    <row r="597" hidden="1" spans="1:51">
      <c r="A597">
        <v>596</v>
      </c>
      <c r="B597" t="s">
        <v>259</v>
      </c>
      <c r="C597">
        <v>2023</v>
      </c>
      <c r="D597">
        <v>1999</v>
      </c>
      <c r="E597">
        <v>2013</v>
      </c>
      <c r="F597" t="s">
        <v>260</v>
      </c>
      <c r="G597"/>
      <c r="H597" t="s">
        <v>250</v>
      </c>
      <c r="I597" t="s">
        <v>254</v>
      </c>
      <c r="J597" t="s">
        <v>252</v>
      </c>
      <c r="K597" t="b">
        <v>0</v>
      </c>
      <c r="L597" t="b">
        <v>0</v>
      </c>
      <c r="M597" t="b">
        <v>0</v>
      </c>
      <c r="N597" t="b">
        <v>0</v>
      </c>
      <c r="O597" t="b">
        <v>0</v>
      </c>
      <c r="P597" t="b">
        <v>0</v>
      </c>
      <c r="Q597" t="b">
        <v>0</v>
      </c>
      <c r="R597" t="b">
        <v>0</v>
      </c>
      <c r="S597" t="b">
        <v>0</v>
      </c>
      <c r="T597" t="b">
        <v>0</v>
      </c>
      <c r="U597" t="b">
        <v>0</v>
      </c>
      <c r="V597" t="b">
        <v>0</v>
      </c>
      <c r="W597" t="b">
        <v>0</v>
      </c>
      <c r="X597" t="b">
        <v>0</v>
      </c>
      <c r="Y597" t="b">
        <v>0</v>
      </c>
      <c r="Z597" t="b">
        <v>1</v>
      </c>
      <c r="AA597" t="b">
        <v>0</v>
      </c>
      <c r="AB597" t="b">
        <v>0</v>
      </c>
      <c r="AC597" t="s">
        <v>171</v>
      </c>
      <c r="AD597" t="s">
        <v>171</v>
      </c>
      <c r="AE597" t="s">
        <v>173</v>
      </c>
      <c r="AF597" t="s">
        <v>173</v>
      </c>
      <c r="AG597" t="s">
        <v>173</v>
      </c>
      <c r="AH597" t="s">
        <v>175</v>
      </c>
      <c r="AI597" t="s">
        <v>173</v>
      </c>
      <c r="AJ597" t="s">
        <v>175</v>
      </c>
      <c r="AK597" t="s">
        <v>175</v>
      </c>
      <c r="AL597" t="s">
        <v>173</v>
      </c>
      <c r="AM597" t="s">
        <v>171</v>
      </c>
      <c r="AN597" t="s">
        <v>171</v>
      </c>
      <c r="AO597" t="s">
        <v>173</v>
      </c>
      <c r="AP597" t="s">
        <v>173</v>
      </c>
      <c r="AQ597" t="s">
        <v>173</v>
      </c>
      <c r="AR597" t="s">
        <v>173</v>
      </c>
      <c r="AS597" t="s">
        <v>171</v>
      </c>
      <c r="AT597" t="s">
        <v>173</v>
      </c>
      <c r="AU597" t="s">
        <v>171</v>
      </c>
      <c r="AV597" t="s">
        <v>175</v>
      </c>
      <c r="AW597" t="s">
        <v>171</v>
      </c>
      <c r="AX597" t="s">
        <v>192</v>
      </c>
      <c r="AY597" t="s">
        <v>196</v>
      </c>
    </row>
    <row r="598" hidden="1" spans="1:56">
      <c r="A598">
        <v>597</v>
      </c>
      <c r="B598" t="s">
        <v>246</v>
      </c>
      <c r="C598">
        <v>2023</v>
      </c>
      <c r="D598">
        <v>1997</v>
      </c>
      <c r="E598">
        <v>2009</v>
      </c>
      <c r="F598" t="s">
        <v>275</v>
      </c>
      <c r="G598"/>
      <c r="H598" t="s">
        <v>250</v>
      </c>
      <c r="I598" t="s">
        <v>254</v>
      </c>
      <c r="J598" t="s">
        <v>252</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1</v>
      </c>
      <c r="AC598" t="s">
        <v>183</v>
      </c>
      <c r="AD598" t="s">
        <v>183</v>
      </c>
      <c r="AE598" t="s">
        <v>183</v>
      </c>
      <c r="AF598" t="s">
        <v>183</v>
      </c>
      <c r="AG598" t="s">
        <v>183</v>
      </c>
      <c r="AH598" t="s">
        <v>183</v>
      </c>
      <c r="AI598" t="s">
        <v>183</v>
      </c>
      <c r="AJ598" t="s">
        <v>183</v>
      </c>
      <c r="AK598" t="s">
        <v>183</v>
      </c>
      <c r="AL598" t="s">
        <v>183</v>
      </c>
      <c r="AM598" t="s">
        <v>183</v>
      </c>
      <c r="AN598" t="s">
        <v>183</v>
      </c>
      <c r="AO598" t="s">
        <v>183</v>
      </c>
      <c r="AP598" t="s">
        <v>183</v>
      </c>
      <c r="AQ598" t="s">
        <v>183</v>
      </c>
      <c r="AR598" t="s">
        <v>183</v>
      </c>
      <c r="AS598" t="s">
        <v>183</v>
      </c>
      <c r="AT598" t="s">
        <v>183</v>
      </c>
      <c r="AU598" t="s">
        <v>183</v>
      </c>
      <c r="AV598" t="s">
        <v>183</v>
      </c>
      <c r="AW598" t="s">
        <v>183</v>
      </c>
      <c r="AX598" t="s">
        <v>192</v>
      </c>
      <c r="AY598" t="s">
        <v>195</v>
      </c>
      <c r="AZ598" t="s">
        <v>183</v>
      </c>
      <c r="BA598" t="s">
        <v>183</v>
      </c>
      <c r="BB598" t="s">
        <v>208</v>
      </c>
      <c r="BC598" t="s">
        <v>183</v>
      </c>
      <c r="BD598" t="s">
        <v>183</v>
      </c>
    </row>
    <row r="599" hidden="1" spans="1:51">
      <c r="A599">
        <v>598</v>
      </c>
      <c r="B599" t="s">
        <v>246</v>
      </c>
      <c r="C599">
        <v>2023</v>
      </c>
      <c r="D599">
        <v>1987</v>
      </c>
      <c r="E599">
        <v>1995</v>
      </c>
      <c r="F599" t="s">
        <v>260</v>
      </c>
      <c r="G599"/>
      <c r="H599" t="s">
        <v>268</v>
      </c>
      <c r="I599"/>
      <c r="J599" t="s">
        <v>252</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1</v>
      </c>
      <c r="AB599" t="b">
        <v>0</v>
      </c>
      <c r="AC599" t="s">
        <v>173</v>
      </c>
      <c r="AD599" t="s">
        <v>173</v>
      </c>
      <c r="AE599" t="s">
        <v>173</v>
      </c>
      <c r="AF599" t="s">
        <v>175</v>
      </c>
      <c r="AG599" t="s">
        <v>173</v>
      </c>
      <c r="AH599" t="s">
        <v>179</v>
      </c>
      <c r="AI599" t="s">
        <v>177</v>
      </c>
      <c r="AJ599" t="s">
        <v>173</v>
      </c>
      <c r="AK599" t="s">
        <v>175</v>
      </c>
      <c r="AL599" t="s">
        <v>173</v>
      </c>
      <c r="AM599" t="s">
        <v>173</v>
      </c>
      <c r="AN599" t="s">
        <v>171</v>
      </c>
      <c r="AO599" t="s">
        <v>183</v>
      </c>
      <c r="AP599" t="s">
        <v>173</v>
      </c>
      <c r="AQ599" t="s">
        <v>175</v>
      </c>
      <c r="AR599" t="s">
        <v>173</v>
      </c>
      <c r="AS599" t="s">
        <v>173</v>
      </c>
      <c r="AT599" t="s">
        <v>175</v>
      </c>
      <c r="AU599" t="s">
        <v>175</v>
      </c>
      <c r="AV599" t="s">
        <v>179</v>
      </c>
      <c r="AW599" t="s">
        <v>173</v>
      </c>
      <c r="AX599" t="s">
        <v>193</v>
      </c>
      <c r="AY599" t="s">
        <v>196</v>
      </c>
    </row>
    <row r="600" spans="1:65">
      <c r="A600">
        <v>599</v>
      </c>
      <c r="B600" t="s">
        <v>270</v>
      </c>
      <c r="C600" s="10">
        <v>2023</v>
      </c>
      <c r="D600" s="10">
        <v>1993</v>
      </c>
      <c r="E600" s="10">
        <v>1995</v>
      </c>
      <c r="F600" s="10" t="s">
        <v>256</v>
      </c>
      <c r="G600" s="10" t="s">
        <v>257</v>
      </c>
      <c r="H600" s="10" t="s">
        <v>243</v>
      </c>
      <c r="I600" s="10" t="s">
        <v>271</v>
      </c>
      <c r="J600" s="10" t="s">
        <v>245</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1</v>
      </c>
      <c r="AC600" s="10" t="s">
        <v>173</v>
      </c>
      <c r="AD600" t="s">
        <v>173</v>
      </c>
      <c r="AE600" t="s">
        <v>173</v>
      </c>
      <c r="AF600" t="s">
        <v>171</v>
      </c>
      <c r="AG600" t="s">
        <v>171</v>
      </c>
      <c r="AH600" t="s">
        <v>171</v>
      </c>
      <c r="AI600" t="s">
        <v>171</v>
      </c>
      <c r="AJ600" t="s">
        <v>171</v>
      </c>
      <c r="AK600" t="s">
        <v>171</v>
      </c>
      <c r="AL600" t="s">
        <v>171</v>
      </c>
      <c r="AM600" t="s">
        <v>171</v>
      </c>
      <c r="AN600" t="s">
        <v>173</v>
      </c>
      <c r="AO600" t="s">
        <v>173</v>
      </c>
      <c r="AP600" t="s">
        <v>173</v>
      </c>
      <c r="AQ600" t="s">
        <v>173</v>
      </c>
      <c r="AR600" t="s">
        <v>173</v>
      </c>
      <c r="AS600" t="s">
        <v>173</v>
      </c>
      <c r="AT600" t="s">
        <v>173</v>
      </c>
      <c r="AU600" t="s">
        <v>173</v>
      </c>
      <c r="AV600" t="s">
        <v>171</v>
      </c>
      <c r="AW600" t="s">
        <v>171</v>
      </c>
      <c r="AX600" t="s">
        <v>192</v>
      </c>
      <c r="AY600" t="s">
        <v>196</v>
      </c>
      <c r="BE600" t="str">
        <f>IF(AY600="","Unknown",AY600)</f>
        <v>56-60</v>
      </c>
      <c r="BF600" s="11" t="str">
        <f>IF(AZ600="","unknown",AZ600)</f>
        <v>unknown</v>
      </c>
      <c r="BG600" s="11" t="str">
        <f>IF(BA600="","UNKNOWN",BA600)</f>
        <v>UNKNOWN</v>
      </c>
      <c r="BH600" s="11" t="str">
        <f>IF(BB600="","unknown",BB600)</f>
        <v>unknown</v>
      </c>
      <c r="BI600" s="11" t="str">
        <f>IF(BC600="","Unknon",BC600)</f>
        <v>Unknon</v>
      </c>
      <c r="BJ600" s="11" t="str">
        <f>IF(BD600="","Unknown",BD600)</f>
        <v>Unknown</v>
      </c>
      <c r="BK600" s="11">
        <f>VALUE(C600)-VALUE(D600)</f>
        <v>30</v>
      </c>
      <c r="BM600" s="11"/>
    </row>
    <row r="601" hidden="1" spans="1:51">
      <c r="A601">
        <v>600</v>
      </c>
      <c r="B601" t="s">
        <v>246</v>
      </c>
      <c r="C601">
        <v>2023</v>
      </c>
      <c r="D601">
        <v>1979</v>
      </c>
      <c r="E601">
        <v>2007</v>
      </c>
      <c r="F601" t="s">
        <v>256</v>
      </c>
      <c r="G601" t="s">
        <v>263</v>
      </c>
      <c r="H601" t="s">
        <v>247</v>
      </c>
      <c r="I601"/>
      <c r="J601" t="s">
        <v>265</v>
      </c>
      <c r="K601" t="b">
        <v>0</v>
      </c>
      <c r="L601" t="b">
        <v>0</v>
      </c>
      <c r="M601" t="b">
        <v>0</v>
      </c>
      <c r="N601" t="b">
        <v>0</v>
      </c>
      <c r="O601" t="b">
        <v>0</v>
      </c>
      <c r="P601" t="b">
        <v>0</v>
      </c>
      <c r="Q601" t="b">
        <v>0</v>
      </c>
      <c r="R601" t="b">
        <v>0</v>
      </c>
      <c r="S601" t="b">
        <v>0</v>
      </c>
      <c r="T601" t="b">
        <v>0</v>
      </c>
      <c r="U601" t="b">
        <v>0</v>
      </c>
      <c r="V601" t="b">
        <v>0</v>
      </c>
      <c r="W601" t="b">
        <v>0</v>
      </c>
      <c r="X601" t="b">
        <v>0</v>
      </c>
      <c r="Y601" t="b">
        <v>0</v>
      </c>
      <c r="Z601" t="b">
        <v>1</v>
      </c>
      <c r="AA601" t="b">
        <v>0</v>
      </c>
      <c r="AB601" t="b">
        <v>0</v>
      </c>
      <c r="AC601" t="s">
        <v>181</v>
      </c>
      <c r="AD601" t="s">
        <v>181</v>
      </c>
      <c r="AE601" t="s">
        <v>181</v>
      </c>
      <c r="AF601" t="s">
        <v>181</v>
      </c>
      <c r="AG601" t="s">
        <v>181</v>
      </c>
      <c r="AH601" t="s">
        <v>181</v>
      </c>
      <c r="AI601" t="s">
        <v>181</v>
      </c>
      <c r="AJ601" t="s">
        <v>181</v>
      </c>
      <c r="AK601" t="s">
        <v>181</v>
      </c>
      <c r="AL601" t="s">
        <v>181</v>
      </c>
      <c r="AM601" t="s">
        <v>181</v>
      </c>
      <c r="AN601" t="s">
        <v>181</v>
      </c>
      <c r="AO601" t="s">
        <v>173</v>
      </c>
      <c r="AP601" t="s">
        <v>173</v>
      </c>
      <c r="AQ601" t="s">
        <v>173</v>
      </c>
      <c r="AR601" t="s">
        <v>173</v>
      </c>
      <c r="AS601" t="s">
        <v>173</v>
      </c>
      <c r="AT601" t="s">
        <v>173</v>
      </c>
      <c r="AU601" t="s">
        <v>173</v>
      </c>
      <c r="AV601" t="s">
        <v>171</v>
      </c>
      <c r="AW601" t="s">
        <v>173</v>
      </c>
      <c r="AX601" t="s">
        <v>192</v>
      </c>
      <c r="AY601" t="s">
        <v>195</v>
      </c>
    </row>
    <row r="602" hidden="1" spans="1:51">
      <c r="A602">
        <v>601</v>
      </c>
      <c r="B602" t="s">
        <v>259</v>
      </c>
      <c r="C602">
        <v>2023</v>
      </c>
      <c r="D602">
        <v>1999</v>
      </c>
      <c r="E602" t="s">
        <v>247</v>
      </c>
      <c r="F602" t="s">
        <v>266</v>
      </c>
      <c r="G602"/>
      <c r="H602" t="s">
        <v>268</v>
      </c>
      <c r="I602"/>
      <c r="J602" t="s">
        <v>265</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1</v>
      </c>
      <c r="AC602" t="s">
        <v>173</v>
      </c>
      <c r="AD602" t="s">
        <v>175</v>
      </c>
      <c r="AE602" t="s">
        <v>173</v>
      </c>
      <c r="AF602" t="s">
        <v>175</v>
      </c>
      <c r="AG602" t="s">
        <v>173</v>
      </c>
      <c r="AH602" t="s">
        <v>171</v>
      </c>
      <c r="AI602" t="s">
        <v>173</v>
      </c>
      <c r="AJ602" t="s">
        <v>173</v>
      </c>
      <c r="AK602" t="s">
        <v>173</v>
      </c>
      <c r="AL602" t="s">
        <v>173</v>
      </c>
      <c r="AM602" t="s">
        <v>173</v>
      </c>
      <c r="AN602" t="s">
        <v>173</v>
      </c>
      <c r="AO602" t="s">
        <v>175</v>
      </c>
      <c r="AP602" t="s">
        <v>173</v>
      </c>
      <c r="AQ602" t="s">
        <v>175</v>
      </c>
      <c r="AR602" t="s">
        <v>173</v>
      </c>
      <c r="AS602" t="s">
        <v>175</v>
      </c>
      <c r="AT602" t="s">
        <v>173</v>
      </c>
      <c r="AU602" t="s">
        <v>173</v>
      </c>
      <c r="AV602" t="s">
        <v>183</v>
      </c>
      <c r="AW602" t="s">
        <v>173</v>
      </c>
      <c r="AX602" t="s">
        <v>192</v>
      </c>
      <c r="AY602" t="s">
        <v>195</v>
      </c>
    </row>
    <row r="603" spans="1:65">
      <c r="A603">
        <v>602</v>
      </c>
      <c r="B603" t="s">
        <v>277</v>
      </c>
      <c r="C603" s="10">
        <v>2023</v>
      </c>
      <c r="D603" s="10">
        <v>2019</v>
      </c>
      <c r="E603" s="10">
        <v>2019</v>
      </c>
      <c r="F603" s="10" t="s">
        <v>241</v>
      </c>
      <c r="G603" s="10" t="s">
        <v>249</v>
      </c>
      <c r="H603" s="10" t="s">
        <v>243</v>
      </c>
      <c r="I603" s="10" t="s">
        <v>282</v>
      </c>
      <c r="J603" s="10" t="s">
        <v>245</v>
      </c>
      <c r="K603" t="b">
        <v>0</v>
      </c>
      <c r="L603" t="b">
        <v>0</v>
      </c>
      <c r="M603" t="b">
        <v>1</v>
      </c>
      <c r="N603" t="b">
        <v>1</v>
      </c>
      <c r="O603" t="b">
        <v>0</v>
      </c>
      <c r="P603" t="b">
        <v>0</v>
      </c>
      <c r="Q603" t="b">
        <v>0</v>
      </c>
      <c r="R603" t="b">
        <v>0</v>
      </c>
      <c r="S603" t="b">
        <v>0</v>
      </c>
      <c r="T603" t="b">
        <v>0</v>
      </c>
      <c r="U603" t="b">
        <v>0</v>
      </c>
      <c r="V603" t="b">
        <v>0</v>
      </c>
      <c r="W603" t="b">
        <v>1</v>
      </c>
      <c r="X603" t="b">
        <v>0</v>
      </c>
      <c r="Y603" t="b">
        <v>0</v>
      </c>
      <c r="Z603" t="b">
        <v>0</v>
      </c>
      <c r="AA603" t="b">
        <v>0</v>
      </c>
      <c r="AB603" t="b">
        <v>0</v>
      </c>
      <c r="AC603" s="10" t="s">
        <v>171</v>
      </c>
      <c r="AD603" t="s">
        <v>173</v>
      </c>
      <c r="AE603" t="s">
        <v>179</v>
      </c>
      <c r="AF603" t="s">
        <v>179</v>
      </c>
      <c r="AG603" t="s">
        <v>175</v>
      </c>
      <c r="AH603" t="s">
        <v>171</v>
      </c>
      <c r="AI603" t="s">
        <v>173</v>
      </c>
      <c r="AJ603" t="s">
        <v>173</v>
      </c>
      <c r="AK603" t="s">
        <v>177</v>
      </c>
      <c r="AL603" t="s">
        <v>173</v>
      </c>
      <c r="AM603" t="s">
        <v>171</v>
      </c>
      <c r="AN603" t="s">
        <v>173</v>
      </c>
      <c r="AO603" t="s">
        <v>171</v>
      </c>
      <c r="AP603" t="s">
        <v>171</v>
      </c>
      <c r="AQ603" t="s">
        <v>171</v>
      </c>
      <c r="AR603" t="s">
        <v>175</v>
      </c>
      <c r="AS603" t="s">
        <v>175</v>
      </c>
      <c r="AT603" t="s">
        <v>173</v>
      </c>
      <c r="AU603" t="s">
        <v>173</v>
      </c>
      <c r="AV603" t="s">
        <v>173</v>
      </c>
      <c r="AW603" t="s">
        <v>173</v>
      </c>
      <c r="AX603" t="s">
        <v>192</v>
      </c>
      <c r="AY603" t="s">
        <v>200</v>
      </c>
      <c r="BE603" t="str">
        <f>IF(AY603="","Unknown",AY603)</f>
        <v>26-30</v>
      </c>
      <c r="BF603" s="11" t="str">
        <f>IF(AZ603="","unknown",AZ603)</f>
        <v>unknown</v>
      </c>
      <c r="BG603" s="11" t="str">
        <f>IF(BA603="","UNKNOWN",BA603)</f>
        <v>UNKNOWN</v>
      </c>
      <c r="BH603" s="11" t="str">
        <f>IF(BB603="","unknown",BB603)</f>
        <v>unknown</v>
      </c>
      <c r="BI603" s="11" t="str">
        <f>IF(BC603="","Unknon",BC603)</f>
        <v>Unknon</v>
      </c>
      <c r="BJ603" s="11" t="str">
        <f>IF(BD603="","Unknown",BD603)</f>
        <v>Unknown</v>
      </c>
      <c r="BK603" s="11">
        <f>VALUE(C603)-VALUE(D603)</f>
        <v>4</v>
      </c>
      <c r="BM603" s="11"/>
    </row>
    <row r="604" hidden="1" spans="1:56">
      <c r="A604">
        <v>603</v>
      </c>
      <c r="B604" t="s">
        <v>259</v>
      </c>
      <c r="C604">
        <v>2023</v>
      </c>
      <c r="D604">
        <v>2016</v>
      </c>
      <c r="E604">
        <v>2016</v>
      </c>
      <c r="F604" t="s">
        <v>275</v>
      </c>
      <c r="G604"/>
      <c r="H604" t="s">
        <v>274</v>
      </c>
      <c r="I604"/>
      <c r="J604" t="s">
        <v>265</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1</v>
      </c>
      <c r="AC604" t="s">
        <v>171</v>
      </c>
      <c r="AD604" t="s">
        <v>175</v>
      </c>
      <c r="AE604" t="s">
        <v>171</v>
      </c>
      <c r="AF604" t="s">
        <v>175</v>
      </c>
      <c r="AG604" t="s">
        <v>171</v>
      </c>
      <c r="AH604" t="s">
        <v>171</v>
      </c>
      <c r="AI604" t="s">
        <v>175</v>
      </c>
      <c r="AJ604" t="s">
        <v>173</v>
      </c>
      <c r="AK604" t="s">
        <v>171</v>
      </c>
      <c r="AL604" t="s">
        <v>171</v>
      </c>
      <c r="AM604" t="s">
        <v>171</v>
      </c>
      <c r="AN604" t="s">
        <v>171</v>
      </c>
      <c r="AO604" t="s">
        <v>175</v>
      </c>
      <c r="AP604" t="s">
        <v>173</v>
      </c>
      <c r="AQ604" t="s">
        <v>175</v>
      </c>
      <c r="AR604" t="s">
        <v>173</v>
      </c>
      <c r="AS604" t="s">
        <v>171</v>
      </c>
      <c r="AT604" t="s">
        <v>173</v>
      </c>
      <c r="AU604" t="s">
        <v>173</v>
      </c>
      <c r="AV604" t="s">
        <v>175</v>
      </c>
      <c r="AW604" t="s">
        <v>173</v>
      </c>
      <c r="AX604" t="s">
        <v>192</v>
      </c>
      <c r="AY604" t="s">
        <v>195</v>
      </c>
      <c r="AZ604" t="s">
        <v>183</v>
      </c>
      <c r="BA604" t="s">
        <v>183</v>
      </c>
      <c r="BB604" t="s">
        <v>183</v>
      </c>
      <c r="BC604" t="s">
        <v>183</v>
      </c>
      <c r="BD604" t="s">
        <v>208</v>
      </c>
    </row>
    <row r="605" hidden="1" spans="1:56">
      <c r="A605">
        <v>604</v>
      </c>
      <c r="B605" t="s">
        <v>288</v>
      </c>
      <c r="C605">
        <v>2023</v>
      </c>
      <c r="D605">
        <v>2022</v>
      </c>
      <c r="E605">
        <v>2022</v>
      </c>
      <c r="F605" t="s">
        <v>248</v>
      </c>
      <c r="G605" t="s">
        <v>242</v>
      </c>
      <c r="H605" t="s">
        <v>261</v>
      </c>
      <c r="I605"/>
      <c r="J605" t="s">
        <v>290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1</v>
      </c>
      <c r="AC605" t="s">
        <v>171</v>
      </c>
      <c r="AD605" t="s">
        <v>171</v>
      </c>
      <c r="AE605" t="s">
        <v>171</v>
      </c>
      <c r="AF605" t="s">
        <v>171</v>
      </c>
      <c r="AG605" t="s">
        <v>171</v>
      </c>
      <c r="AH605" t="s">
        <v>171</v>
      </c>
      <c r="AI605" t="s">
        <v>171</v>
      </c>
      <c r="AJ605" t="s">
        <v>171</v>
      </c>
      <c r="AK605" t="s">
        <v>171</v>
      </c>
      <c r="AL605" t="s">
        <v>171</v>
      </c>
      <c r="AM605" t="s">
        <v>171</v>
      </c>
      <c r="AN605" t="s">
        <v>171</v>
      </c>
      <c r="AO605" t="s">
        <v>171</v>
      </c>
      <c r="AP605" t="s">
        <v>171</v>
      </c>
      <c r="AQ605" t="s">
        <v>171</v>
      </c>
      <c r="AR605" t="s">
        <v>171</v>
      </c>
      <c r="AS605" t="s">
        <v>171</v>
      </c>
      <c r="AT605" t="s">
        <v>171</v>
      </c>
      <c r="AU605" t="s">
        <v>171</v>
      </c>
      <c r="AV605" t="s">
        <v>171</v>
      </c>
      <c r="AW605" t="s">
        <v>171</v>
      </c>
      <c r="AX605" t="s">
        <v>192</v>
      </c>
      <c r="AY605" t="s">
        <v>201</v>
      </c>
      <c r="AZ605" t="s">
        <v>183</v>
      </c>
      <c r="BA605" t="s">
        <v>183</v>
      </c>
      <c r="BB605" t="s">
        <v>183</v>
      </c>
      <c r="BC605" t="s">
        <v>183</v>
      </c>
      <c r="BD605" t="s">
        <v>183</v>
      </c>
    </row>
    <row r="606" hidden="1" spans="1:51">
      <c r="A606">
        <v>605</v>
      </c>
      <c r="B606" t="s">
        <v>255</v>
      </c>
      <c r="C606">
        <v>2023</v>
      </c>
      <c r="D606">
        <v>2005</v>
      </c>
      <c r="E606">
        <v>2005</v>
      </c>
      <c r="F606" t="s">
        <v>253</v>
      </c>
      <c r="G606"/>
      <c r="H606" t="s">
        <v>247</v>
      </c>
      <c r="I606"/>
      <c r="J606" t="s">
        <v>265</v>
      </c>
      <c r="K606" t="b">
        <v>0</v>
      </c>
      <c r="L606" t="b">
        <v>0</v>
      </c>
      <c r="M606" t="b">
        <v>0</v>
      </c>
      <c r="N606" t="b">
        <v>0</v>
      </c>
      <c r="O606" t="b">
        <v>0</v>
      </c>
      <c r="P606" t="b">
        <v>0</v>
      </c>
      <c r="Q606" t="b">
        <v>0</v>
      </c>
      <c r="R606" t="b">
        <v>0</v>
      </c>
      <c r="S606" t="b">
        <v>0</v>
      </c>
      <c r="T606" t="b">
        <v>0</v>
      </c>
      <c r="U606" t="b">
        <v>0</v>
      </c>
      <c r="V606" t="b">
        <v>0</v>
      </c>
      <c r="W606" t="b">
        <v>0</v>
      </c>
      <c r="X606" t="b">
        <v>1</v>
      </c>
      <c r="Y606" t="b">
        <v>0</v>
      </c>
      <c r="Z606" t="b">
        <v>0</v>
      </c>
      <c r="AA606" t="b">
        <v>0</v>
      </c>
      <c r="AB606" t="b">
        <v>0</v>
      </c>
      <c r="AC606" t="s">
        <v>171</v>
      </c>
      <c r="AD606" t="s">
        <v>171</v>
      </c>
      <c r="AE606" t="s">
        <v>171</v>
      </c>
      <c r="AF606" t="s">
        <v>171</v>
      </c>
      <c r="AG606" t="s">
        <v>171</v>
      </c>
      <c r="AH606" t="s">
        <v>171</v>
      </c>
      <c r="AI606" t="s">
        <v>171</v>
      </c>
      <c r="AJ606" t="s">
        <v>171</v>
      </c>
      <c r="AK606" t="s">
        <v>171</v>
      </c>
      <c r="AL606" t="s">
        <v>171</v>
      </c>
      <c r="AM606" t="s">
        <v>171</v>
      </c>
      <c r="AN606" t="s">
        <v>171</v>
      </c>
      <c r="AO606" t="s">
        <v>171</v>
      </c>
      <c r="AP606" t="s">
        <v>171</v>
      </c>
      <c r="AQ606" t="s">
        <v>171</v>
      </c>
      <c r="AR606" t="s">
        <v>171</v>
      </c>
      <c r="AS606" t="s">
        <v>171</v>
      </c>
      <c r="AT606" t="s">
        <v>171</v>
      </c>
      <c r="AU606" t="s">
        <v>171</v>
      </c>
      <c r="AV606" t="s">
        <v>171</v>
      </c>
      <c r="AW606" t="s">
        <v>171</v>
      </c>
      <c r="AX606" t="s">
        <v>192</v>
      </c>
      <c r="AY606" t="s">
        <v>195</v>
      </c>
    </row>
    <row r="607" hidden="1" spans="1:51">
      <c r="A607">
        <v>606</v>
      </c>
      <c r="B607" t="s">
        <v>259</v>
      </c>
      <c r="C607">
        <v>2023</v>
      </c>
      <c r="D607">
        <v>2000</v>
      </c>
      <c r="E607">
        <v>2019</v>
      </c>
      <c r="F607" t="s">
        <v>276</v>
      </c>
      <c r="G607"/>
      <c r="H607" t="s">
        <v>274</v>
      </c>
      <c r="I607"/>
      <c r="J607" t="s">
        <v>265</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1</v>
      </c>
      <c r="AC607" t="s">
        <v>173</v>
      </c>
      <c r="AD607" t="s">
        <v>177</v>
      </c>
      <c r="AE607" t="s">
        <v>173</v>
      </c>
      <c r="AF607" t="s">
        <v>173</v>
      </c>
      <c r="AG607" t="s">
        <v>173</v>
      </c>
      <c r="AH607" t="s">
        <v>173</v>
      </c>
      <c r="AI607" t="s">
        <v>175</v>
      </c>
      <c r="AJ607" t="s">
        <v>177</v>
      </c>
      <c r="AK607" t="s">
        <v>175</v>
      </c>
      <c r="AL607" t="s">
        <v>173</v>
      </c>
      <c r="AM607" t="s">
        <v>175</v>
      </c>
      <c r="AN607" t="s">
        <v>173</v>
      </c>
      <c r="AO607" t="s">
        <v>175</v>
      </c>
      <c r="AP607" t="s">
        <v>175</v>
      </c>
      <c r="AQ607" t="s">
        <v>175</v>
      </c>
      <c r="AR607" t="s">
        <v>175</v>
      </c>
      <c r="AS607" t="s">
        <v>175</v>
      </c>
      <c r="AT607" t="s">
        <v>175</v>
      </c>
      <c r="AU607" t="s">
        <v>175</v>
      </c>
      <c r="AV607" t="s">
        <v>177</v>
      </c>
      <c r="AW607" t="s">
        <v>175</v>
      </c>
      <c r="AX607" t="s">
        <v>192</v>
      </c>
      <c r="AY607" t="s">
        <v>195</v>
      </c>
    </row>
    <row r="608" hidden="1" spans="1:51">
      <c r="A608">
        <v>607</v>
      </c>
      <c r="B608" t="s">
        <v>259</v>
      </c>
      <c r="C608">
        <v>2023</v>
      </c>
      <c r="D608">
        <v>1989</v>
      </c>
      <c r="E608">
        <v>2009</v>
      </c>
      <c r="F608" t="s">
        <v>256</v>
      </c>
      <c r="G608" t="s">
        <v>263</v>
      </c>
      <c r="H608" t="s">
        <v>273</v>
      </c>
      <c r="I608"/>
      <c r="J608" t="s">
        <v>265</v>
      </c>
      <c r="K608" t="b">
        <v>0</v>
      </c>
      <c r="L608" t="b">
        <v>0</v>
      </c>
      <c r="M608" t="b">
        <v>0</v>
      </c>
      <c r="N608" t="b">
        <v>0</v>
      </c>
      <c r="O608" t="b">
        <v>0</v>
      </c>
      <c r="P608" t="b">
        <v>0</v>
      </c>
      <c r="Q608" t="b">
        <v>0</v>
      </c>
      <c r="R608" t="b">
        <v>0</v>
      </c>
      <c r="S608" t="b">
        <v>0</v>
      </c>
      <c r="T608" t="b">
        <v>0</v>
      </c>
      <c r="U608" t="b">
        <v>0</v>
      </c>
      <c r="V608" t="b">
        <v>0</v>
      </c>
      <c r="W608" t="b">
        <v>0</v>
      </c>
      <c r="X608" t="b">
        <v>0</v>
      </c>
      <c r="Y608" t="b">
        <v>0</v>
      </c>
      <c r="Z608" t="b">
        <v>1</v>
      </c>
      <c r="AA608" t="b">
        <v>0</v>
      </c>
      <c r="AB608" t="b">
        <v>0</v>
      </c>
      <c r="AC608" t="s">
        <v>173</v>
      </c>
      <c r="AD608" t="s">
        <v>173</v>
      </c>
      <c r="AE608" t="s">
        <v>177</v>
      </c>
      <c r="AF608" t="s">
        <v>175</v>
      </c>
      <c r="AG608" t="s">
        <v>175</v>
      </c>
      <c r="AH608" t="s">
        <v>173</v>
      </c>
      <c r="AI608" t="s">
        <v>175</v>
      </c>
      <c r="AJ608" t="s">
        <v>177</v>
      </c>
      <c r="AK608" t="s">
        <v>173</v>
      </c>
      <c r="AL608" t="s">
        <v>173</v>
      </c>
      <c r="AM608" t="s">
        <v>175</v>
      </c>
      <c r="AN608" t="s">
        <v>177</v>
      </c>
      <c r="AO608" t="s">
        <v>175</v>
      </c>
      <c r="AP608" t="s">
        <v>175</v>
      </c>
      <c r="AQ608" t="s">
        <v>173</v>
      </c>
      <c r="AR608" t="s">
        <v>175</v>
      </c>
      <c r="AS608" t="s">
        <v>173</v>
      </c>
      <c r="AT608" t="s">
        <v>175</v>
      </c>
      <c r="AU608" t="s">
        <v>173</v>
      </c>
      <c r="AV608" t="s">
        <v>173</v>
      </c>
      <c r="AW608" t="s">
        <v>175</v>
      </c>
      <c r="AX608" t="s">
        <v>192</v>
      </c>
      <c r="AY608" t="s">
        <v>195</v>
      </c>
    </row>
    <row r="609" hidden="1" spans="1:51">
      <c r="A609">
        <v>608</v>
      </c>
      <c r="B609" t="s">
        <v>255</v>
      </c>
      <c r="C609">
        <v>2023</v>
      </c>
      <c r="D609">
        <v>2013</v>
      </c>
      <c r="E609">
        <v>2020</v>
      </c>
      <c r="F609" t="s">
        <v>256</v>
      </c>
      <c r="G609" t="s">
        <v>257</v>
      </c>
      <c r="H609" t="s">
        <v>247</v>
      </c>
      <c r="I609"/>
      <c r="J609" t="s">
        <v>265</v>
      </c>
      <c r="K609" t="b">
        <v>0</v>
      </c>
      <c r="L609" t="b">
        <v>0</v>
      </c>
      <c r="M609" t="b">
        <v>0</v>
      </c>
      <c r="N609" t="b">
        <v>1</v>
      </c>
      <c r="O609" t="b">
        <v>1</v>
      </c>
      <c r="P609" t="b">
        <v>0</v>
      </c>
      <c r="Q609" t="b">
        <v>0</v>
      </c>
      <c r="R609" t="b">
        <v>0</v>
      </c>
      <c r="S609" t="b">
        <v>0</v>
      </c>
      <c r="T609" t="b">
        <v>0</v>
      </c>
      <c r="U609" t="b">
        <v>0</v>
      </c>
      <c r="V609" t="b">
        <v>1</v>
      </c>
      <c r="W609" t="b">
        <v>0</v>
      </c>
      <c r="X609" t="b">
        <v>0</v>
      </c>
      <c r="Y609" t="b">
        <v>0</v>
      </c>
      <c r="Z609" t="b">
        <v>0</v>
      </c>
      <c r="AA609" t="b">
        <v>0</v>
      </c>
      <c r="AB609" t="b">
        <v>0</v>
      </c>
      <c r="AC609" t="s">
        <v>173</v>
      </c>
      <c r="AD609" t="s">
        <v>173</v>
      </c>
      <c r="AE609" t="s">
        <v>173</v>
      </c>
      <c r="AF609" t="s">
        <v>173</v>
      </c>
      <c r="AG609" t="s">
        <v>175</v>
      </c>
      <c r="AH609" t="s">
        <v>173</v>
      </c>
      <c r="AI609" t="s">
        <v>177</v>
      </c>
      <c r="AJ609" t="s">
        <v>173</v>
      </c>
      <c r="AK609" t="s">
        <v>175</v>
      </c>
      <c r="AL609" t="s">
        <v>175</v>
      </c>
      <c r="AM609" t="s">
        <v>177</v>
      </c>
      <c r="AN609" t="s">
        <v>177</v>
      </c>
      <c r="AO609" t="s">
        <v>175</v>
      </c>
      <c r="AP609" t="s">
        <v>177</v>
      </c>
      <c r="AQ609" t="s">
        <v>175</v>
      </c>
      <c r="AR609" t="s">
        <v>177</v>
      </c>
      <c r="AS609" t="s">
        <v>175</v>
      </c>
      <c r="AT609" t="s">
        <v>173</v>
      </c>
      <c r="AU609" t="s">
        <v>175</v>
      </c>
      <c r="AV609" t="s">
        <v>177</v>
      </c>
      <c r="AW609" t="s">
        <v>175</v>
      </c>
      <c r="AX609" t="s">
        <v>192</v>
      </c>
      <c r="AY609" t="s">
        <v>203</v>
      </c>
    </row>
    <row r="610" hidden="1" spans="1:51">
      <c r="A610">
        <v>609</v>
      </c>
      <c r="B610" t="s">
        <v>255</v>
      </c>
      <c r="C610">
        <v>2023</v>
      </c>
      <c r="D610">
        <v>2013</v>
      </c>
      <c r="E610">
        <v>2021</v>
      </c>
      <c r="F610" t="s">
        <v>256</v>
      </c>
      <c r="G610" t="s">
        <v>263</v>
      </c>
      <c r="H610" t="s">
        <v>273</v>
      </c>
      <c r="I610"/>
      <c r="J610" t="s">
        <v>252</v>
      </c>
      <c r="K610" t="b">
        <v>0</v>
      </c>
      <c r="L610" t="b">
        <v>0</v>
      </c>
      <c r="M610" t="b">
        <v>0</v>
      </c>
      <c r="N610" t="b">
        <v>0</v>
      </c>
      <c r="O610" t="b">
        <v>1</v>
      </c>
      <c r="P610" t="b">
        <v>0</v>
      </c>
      <c r="Q610" t="b">
        <v>0</v>
      </c>
      <c r="R610" t="b">
        <v>0</v>
      </c>
      <c r="S610" t="b">
        <v>1</v>
      </c>
      <c r="T610" t="b">
        <v>1</v>
      </c>
      <c r="U610" t="b">
        <v>0</v>
      </c>
      <c r="V610" t="b">
        <v>0</v>
      </c>
      <c r="W610" t="b">
        <v>0</v>
      </c>
      <c r="X610" t="b">
        <v>0</v>
      </c>
      <c r="Y610" t="b">
        <v>0</v>
      </c>
      <c r="Z610" t="b">
        <v>1</v>
      </c>
      <c r="AA610" t="b">
        <v>0</v>
      </c>
      <c r="AB610" t="b">
        <v>0</v>
      </c>
      <c r="AC610" t="s">
        <v>173</v>
      </c>
      <c r="AD610" t="s">
        <v>177</v>
      </c>
      <c r="AE610" t="s">
        <v>175</v>
      </c>
      <c r="AF610" t="s">
        <v>173</v>
      </c>
      <c r="AG610" t="s">
        <v>173</v>
      </c>
      <c r="AH610" t="s">
        <v>177</v>
      </c>
      <c r="AI610" t="s">
        <v>175</v>
      </c>
      <c r="AJ610" t="s">
        <v>173</v>
      </c>
      <c r="AK610" t="s">
        <v>173</v>
      </c>
      <c r="AL610" t="s">
        <v>173</v>
      </c>
      <c r="AM610" t="s">
        <v>175</v>
      </c>
      <c r="AN610" t="s">
        <v>175</v>
      </c>
      <c r="AO610" t="s">
        <v>175</v>
      </c>
      <c r="AP610" t="s">
        <v>175</v>
      </c>
      <c r="AQ610" t="s">
        <v>175</v>
      </c>
      <c r="AR610" t="s">
        <v>173</v>
      </c>
      <c r="AS610" t="s">
        <v>173</v>
      </c>
      <c r="AT610" t="s">
        <v>173</v>
      </c>
      <c r="AU610" t="s">
        <v>175</v>
      </c>
      <c r="AV610" t="s">
        <v>175</v>
      </c>
      <c r="AW610" t="s">
        <v>175</v>
      </c>
      <c r="AX610" t="s">
        <v>192</v>
      </c>
      <c r="AY610" t="s">
        <v>203</v>
      </c>
    </row>
    <row r="611" hidden="1" spans="1:51">
      <c r="A611">
        <v>610</v>
      </c>
      <c r="B611" t="s">
        <v>280</v>
      </c>
      <c r="C611">
        <v>2022</v>
      </c>
      <c r="D611">
        <v>1977</v>
      </c>
      <c r="E611">
        <v>2021</v>
      </c>
      <c r="F611" t="s">
        <v>256</v>
      </c>
      <c r="G611" t="s">
        <v>263</v>
      </c>
      <c r="H611" t="s">
        <v>261</v>
      </c>
      <c r="I611"/>
      <c r="J611" t="s">
        <v>281</v>
      </c>
      <c r="K611" t="b">
        <v>0</v>
      </c>
      <c r="L611" t="b">
        <v>0</v>
      </c>
      <c r="M611" t="b">
        <v>0</v>
      </c>
      <c r="N611" t="b">
        <v>0</v>
      </c>
      <c r="O611" t="b">
        <v>0</v>
      </c>
      <c r="P611" t="b">
        <v>0</v>
      </c>
      <c r="Q611" t="b">
        <v>0</v>
      </c>
      <c r="R611" t="b">
        <v>0</v>
      </c>
      <c r="S611" t="b">
        <v>0</v>
      </c>
      <c r="T611" t="b">
        <v>0</v>
      </c>
      <c r="U611" t="b">
        <v>0</v>
      </c>
      <c r="V611" t="b">
        <v>0</v>
      </c>
      <c r="W611" t="b">
        <v>0</v>
      </c>
      <c r="X611" t="b">
        <v>1</v>
      </c>
      <c r="Y611" t="b">
        <v>0</v>
      </c>
      <c r="Z611" t="b">
        <v>0</v>
      </c>
      <c r="AA611" t="b">
        <v>0</v>
      </c>
      <c r="AB611" t="b">
        <v>0</v>
      </c>
      <c r="AC611" t="s">
        <v>179</v>
      </c>
      <c r="AD611" t="s">
        <v>173</v>
      </c>
      <c r="AE611" t="s">
        <v>179</v>
      </c>
      <c r="AF611" t="s">
        <v>179</v>
      </c>
      <c r="AG611" t="s">
        <v>175</v>
      </c>
      <c r="AH611" t="s">
        <v>175</v>
      </c>
      <c r="AI611" t="s">
        <v>175</v>
      </c>
      <c r="AJ611" t="s">
        <v>179</v>
      </c>
      <c r="AK611" t="s">
        <v>175</v>
      </c>
      <c r="AL611" t="s">
        <v>179</v>
      </c>
      <c r="AM611" t="s">
        <v>179</v>
      </c>
      <c r="AN611" t="s">
        <v>175</v>
      </c>
      <c r="AO611" t="s">
        <v>177</v>
      </c>
      <c r="AP611" t="s">
        <v>177</v>
      </c>
      <c r="AQ611" t="s">
        <v>179</v>
      </c>
      <c r="AR611" t="s">
        <v>179</v>
      </c>
      <c r="AS611" t="s">
        <v>175</v>
      </c>
      <c r="AT611" t="s">
        <v>175</v>
      </c>
      <c r="AU611" t="s">
        <v>175</v>
      </c>
      <c r="AV611" t="s">
        <v>179</v>
      </c>
      <c r="AW611" t="s">
        <v>179</v>
      </c>
      <c r="AX611" t="s">
        <v>193</v>
      </c>
      <c r="AY611" t="s">
        <v>195</v>
      </c>
    </row>
    <row r="612" hidden="1" spans="1:51">
      <c r="A612">
        <v>611</v>
      </c>
      <c r="B612" t="s">
        <v>255</v>
      </c>
      <c r="C612">
        <v>2023</v>
      </c>
      <c r="D612">
        <v>1998</v>
      </c>
      <c r="E612">
        <v>1998</v>
      </c>
      <c r="F612" t="s">
        <v>266</v>
      </c>
      <c r="G612"/>
      <c r="H612" t="s">
        <v>261</v>
      </c>
      <c r="I612"/>
      <c r="J612" t="s">
        <v>265</v>
      </c>
      <c r="K612" t="b">
        <v>0</v>
      </c>
      <c r="L612" t="b">
        <v>0</v>
      </c>
      <c r="M612" t="b">
        <v>0</v>
      </c>
      <c r="N612" t="b">
        <v>1</v>
      </c>
      <c r="O612" t="b">
        <v>0</v>
      </c>
      <c r="P612" t="b">
        <v>0</v>
      </c>
      <c r="Q612" t="b">
        <v>0</v>
      </c>
      <c r="R612" t="b">
        <v>0</v>
      </c>
      <c r="S612" t="b">
        <v>0</v>
      </c>
      <c r="T612" t="b">
        <v>1</v>
      </c>
      <c r="U612" t="b">
        <v>0</v>
      </c>
      <c r="V612" t="b">
        <v>0</v>
      </c>
      <c r="W612" t="b">
        <v>0</v>
      </c>
      <c r="X612" t="b">
        <v>0</v>
      </c>
      <c r="Y612" t="b">
        <v>0</v>
      </c>
      <c r="Z612" t="b">
        <v>0</v>
      </c>
      <c r="AA612" t="b">
        <v>0</v>
      </c>
      <c r="AB612" t="b">
        <v>0</v>
      </c>
      <c r="AC612" t="s">
        <v>177</v>
      </c>
      <c r="AD612" t="s">
        <v>183</v>
      </c>
      <c r="AE612" t="s">
        <v>173</v>
      </c>
      <c r="AF612" t="s">
        <v>173</v>
      </c>
      <c r="AG612" t="s">
        <v>173</v>
      </c>
      <c r="AH612" t="s">
        <v>173</v>
      </c>
      <c r="AI612" t="s">
        <v>173</v>
      </c>
      <c r="AJ612" t="s">
        <v>179</v>
      </c>
      <c r="AK612" t="s">
        <v>173</v>
      </c>
      <c r="AL612" t="s">
        <v>171</v>
      </c>
      <c r="AM612" t="s">
        <v>171</v>
      </c>
      <c r="AN612" t="s">
        <v>173</v>
      </c>
      <c r="AO612" t="s">
        <v>173</v>
      </c>
      <c r="AP612" t="s">
        <v>173</v>
      </c>
      <c r="AQ612" t="s">
        <v>177</v>
      </c>
      <c r="AR612" t="s">
        <v>177</v>
      </c>
      <c r="AS612" t="s">
        <v>173</v>
      </c>
      <c r="AT612" t="s">
        <v>173</v>
      </c>
      <c r="AU612" t="s">
        <v>175</v>
      </c>
      <c r="AV612" t="s">
        <v>173</v>
      </c>
      <c r="AW612" t="s">
        <v>173</v>
      </c>
      <c r="AX612" t="s">
        <v>192</v>
      </c>
      <c r="AY612" t="s">
        <v>195</v>
      </c>
    </row>
    <row r="613" hidden="1" spans="1:51">
      <c r="A613">
        <v>612</v>
      </c>
      <c r="B613" t="s">
        <v>280</v>
      </c>
      <c r="C613">
        <v>2023</v>
      </c>
      <c r="D613">
        <v>1999</v>
      </c>
      <c r="E613">
        <v>1999</v>
      </c>
      <c r="F613" t="s">
        <v>256</v>
      </c>
      <c r="G613" t="s">
        <v>263</v>
      </c>
      <c r="H613" t="s">
        <v>261</v>
      </c>
      <c r="I613"/>
      <c r="J613" t="s">
        <v>252</v>
      </c>
      <c r="K613" t="b">
        <v>0</v>
      </c>
      <c r="L613" t="b">
        <v>0</v>
      </c>
      <c r="M613" t="b">
        <v>0</v>
      </c>
      <c r="N613" t="b">
        <v>0</v>
      </c>
      <c r="O613" t="b">
        <v>0</v>
      </c>
      <c r="P613" t="b">
        <v>0</v>
      </c>
      <c r="Q613" t="b">
        <v>0</v>
      </c>
      <c r="R613" t="b">
        <v>0</v>
      </c>
      <c r="S613" t="b">
        <v>0</v>
      </c>
      <c r="T613" t="b">
        <v>0</v>
      </c>
      <c r="U613" t="b">
        <v>0</v>
      </c>
      <c r="V613" t="b">
        <v>0</v>
      </c>
      <c r="W613" t="b">
        <v>0</v>
      </c>
      <c r="X613" t="b">
        <v>1</v>
      </c>
      <c r="Y613" t="b">
        <v>0</v>
      </c>
      <c r="Z613" t="b">
        <v>0</v>
      </c>
      <c r="AA613" t="b">
        <v>0</v>
      </c>
      <c r="AB613" t="b">
        <v>0</v>
      </c>
      <c r="AC613" t="s">
        <v>181</v>
      </c>
      <c r="AD613" t="s">
        <v>179</v>
      </c>
      <c r="AE613" t="s">
        <v>177</v>
      </c>
      <c r="AF613" t="s">
        <v>177</v>
      </c>
      <c r="AG613" t="s">
        <v>175</v>
      </c>
      <c r="AH613" t="s">
        <v>177</v>
      </c>
      <c r="AI613" t="s">
        <v>175</v>
      </c>
      <c r="AJ613" t="s">
        <v>177</v>
      </c>
      <c r="AK613" t="s">
        <v>177</v>
      </c>
      <c r="AL613" t="s">
        <v>173</v>
      </c>
      <c r="AM613" t="s">
        <v>177</v>
      </c>
      <c r="AN613" t="s">
        <v>173</v>
      </c>
      <c r="AO613" t="s">
        <v>179</v>
      </c>
      <c r="AP613" t="s">
        <v>177</v>
      </c>
      <c r="AQ613" t="s">
        <v>177</v>
      </c>
      <c r="AR613" t="s">
        <v>173</v>
      </c>
      <c r="AS613" t="s">
        <v>177</v>
      </c>
      <c r="AT613" t="s">
        <v>175</v>
      </c>
      <c r="AU613" t="s">
        <v>173</v>
      </c>
      <c r="AV613" t="s">
        <v>175</v>
      </c>
      <c r="AW613" t="s">
        <v>173</v>
      </c>
      <c r="AX613" t="s">
        <v>193</v>
      </c>
      <c r="AY613" t="s">
        <v>195</v>
      </c>
    </row>
    <row r="614" hidden="1" spans="1:51">
      <c r="A614">
        <v>613</v>
      </c>
      <c r="B614" t="s">
        <v>255</v>
      </c>
      <c r="C614">
        <v>2023</v>
      </c>
      <c r="D614">
        <v>2002</v>
      </c>
      <c r="E614">
        <v>2008</v>
      </c>
      <c r="F614" t="s">
        <v>256</v>
      </c>
      <c r="G614" t="s">
        <v>257</v>
      </c>
      <c r="H614" t="s">
        <v>261</v>
      </c>
      <c r="I614"/>
      <c r="J614" t="s">
        <v>265</v>
      </c>
      <c r="K614" t="b">
        <v>0</v>
      </c>
      <c r="L614" t="b">
        <v>0</v>
      </c>
      <c r="M614" t="b">
        <v>0</v>
      </c>
      <c r="N614" t="b">
        <v>0</v>
      </c>
      <c r="O614" t="b">
        <v>0</v>
      </c>
      <c r="P614" t="b">
        <v>0</v>
      </c>
      <c r="Q614" t="b">
        <v>0</v>
      </c>
      <c r="R614" t="b">
        <v>0</v>
      </c>
      <c r="S614" t="b">
        <v>0</v>
      </c>
      <c r="T614" t="b">
        <v>0</v>
      </c>
      <c r="U614" t="b">
        <v>0</v>
      </c>
      <c r="V614" t="b">
        <v>0</v>
      </c>
      <c r="W614" t="b">
        <v>0</v>
      </c>
      <c r="X614" t="b">
        <v>1</v>
      </c>
      <c r="Y614" t="b">
        <v>0</v>
      </c>
      <c r="Z614" t="b">
        <v>0</v>
      </c>
      <c r="AA614" t="b">
        <v>0</v>
      </c>
      <c r="AB614" t="b">
        <v>0</v>
      </c>
      <c r="AC614" t="s">
        <v>171</v>
      </c>
      <c r="AD614" t="s">
        <v>173</v>
      </c>
      <c r="AE614" t="s">
        <v>173</v>
      </c>
      <c r="AF614" t="s">
        <v>173</v>
      </c>
      <c r="AG614" t="s">
        <v>173</v>
      </c>
      <c r="AH614" t="s">
        <v>173</v>
      </c>
      <c r="AI614" t="s">
        <v>173</v>
      </c>
      <c r="AJ614" t="s">
        <v>173</v>
      </c>
      <c r="AK614" t="s">
        <v>173</v>
      </c>
      <c r="AL614" t="s">
        <v>173</v>
      </c>
      <c r="AM614" t="s">
        <v>173</v>
      </c>
      <c r="AN614" t="s">
        <v>173</v>
      </c>
      <c r="AO614" t="s">
        <v>173</v>
      </c>
      <c r="AP614" t="s">
        <v>173</v>
      </c>
      <c r="AQ614" t="s">
        <v>173</v>
      </c>
      <c r="AR614" t="s">
        <v>173</v>
      </c>
      <c r="AS614" t="s">
        <v>173</v>
      </c>
      <c r="AT614" t="s">
        <v>173</v>
      </c>
      <c r="AU614" t="s">
        <v>173</v>
      </c>
      <c r="AV614" t="s">
        <v>173</v>
      </c>
      <c r="AW614" t="s">
        <v>173</v>
      </c>
      <c r="AX614" t="s">
        <v>192</v>
      </c>
      <c r="AY614" t="s">
        <v>197</v>
      </c>
    </row>
    <row r="615" hidden="1" spans="1:51">
      <c r="A615">
        <v>614</v>
      </c>
      <c r="B615" t="s">
        <v>272</v>
      </c>
      <c r="C615">
        <v>2023</v>
      </c>
      <c r="D615">
        <v>2019</v>
      </c>
      <c r="E615">
        <v>2019</v>
      </c>
      <c r="F615" t="s">
        <v>266</v>
      </c>
      <c r="G615"/>
      <c r="H615" t="s">
        <v>247</v>
      </c>
      <c r="I615"/>
      <c r="J615" t="s">
        <v>265</v>
      </c>
      <c r="K615" t="b">
        <v>0</v>
      </c>
      <c r="L615" t="b">
        <v>0</v>
      </c>
      <c r="M615" t="b">
        <v>0</v>
      </c>
      <c r="N615" t="b">
        <v>0</v>
      </c>
      <c r="O615" t="b">
        <v>0</v>
      </c>
      <c r="P615" t="b">
        <v>0</v>
      </c>
      <c r="Q615" t="b">
        <v>0</v>
      </c>
      <c r="R615" t="b">
        <v>0</v>
      </c>
      <c r="S615" t="b">
        <v>0</v>
      </c>
      <c r="T615" t="b">
        <v>0</v>
      </c>
      <c r="U615" t="b">
        <v>0</v>
      </c>
      <c r="V615" t="b">
        <v>1</v>
      </c>
      <c r="W615" t="b">
        <v>0</v>
      </c>
      <c r="X615" t="b">
        <v>0</v>
      </c>
      <c r="Y615" t="b">
        <v>0</v>
      </c>
      <c r="Z615" t="b">
        <v>0</v>
      </c>
      <c r="AA615" t="b">
        <v>0</v>
      </c>
      <c r="AB615" t="b">
        <v>0</v>
      </c>
      <c r="AC615" t="s">
        <v>173</v>
      </c>
      <c r="AD615" t="s">
        <v>175</v>
      </c>
      <c r="AE615" t="s">
        <v>173</v>
      </c>
      <c r="AF615" t="s">
        <v>173</v>
      </c>
      <c r="AG615" t="s">
        <v>173</v>
      </c>
      <c r="AH615" t="s">
        <v>173</v>
      </c>
      <c r="AI615" t="s">
        <v>173</v>
      </c>
      <c r="AJ615" t="s">
        <v>173</v>
      </c>
      <c r="AK615" t="s">
        <v>173</v>
      </c>
      <c r="AL615" t="s">
        <v>173</v>
      </c>
      <c r="AM615" t="s">
        <v>173</v>
      </c>
      <c r="AN615" t="s">
        <v>175</v>
      </c>
      <c r="AO615" t="s">
        <v>173</v>
      </c>
      <c r="AP615" t="s">
        <v>173</v>
      </c>
      <c r="AQ615" t="s">
        <v>173</v>
      </c>
      <c r="AR615" t="s">
        <v>173</v>
      </c>
      <c r="AS615" t="s">
        <v>173</v>
      </c>
      <c r="AT615" t="s">
        <v>173</v>
      </c>
      <c r="AU615" t="s">
        <v>173</v>
      </c>
      <c r="AV615" t="s">
        <v>173</v>
      </c>
      <c r="AW615" t="s">
        <v>173</v>
      </c>
      <c r="AX615" t="s">
        <v>192</v>
      </c>
      <c r="AY615" t="s">
        <v>200</v>
      </c>
    </row>
    <row r="616" hidden="1" spans="1:51">
      <c r="A616">
        <v>615</v>
      </c>
      <c r="B616" t="s">
        <v>246</v>
      </c>
      <c r="C616">
        <v>2023</v>
      </c>
      <c r="D616">
        <v>2000</v>
      </c>
      <c r="E616">
        <v>2009</v>
      </c>
      <c r="F616" t="s">
        <v>266</v>
      </c>
      <c r="G616"/>
      <c r="H616" t="s">
        <v>261</v>
      </c>
      <c r="I616"/>
      <c r="J616" t="s">
        <v>252</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1</v>
      </c>
      <c r="AC616" t="s">
        <v>173</v>
      </c>
      <c r="AD616" t="s">
        <v>183</v>
      </c>
      <c r="AE616" t="s">
        <v>175</v>
      </c>
      <c r="AF616" t="s">
        <v>173</v>
      </c>
      <c r="AG616" t="s">
        <v>173</v>
      </c>
      <c r="AH616" t="s">
        <v>173</v>
      </c>
      <c r="AI616" t="s">
        <v>175</v>
      </c>
      <c r="AJ616" t="s">
        <v>173</v>
      </c>
      <c r="AK616" t="s">
        <v>173</v>
      </c>
      <c r="AL616" t="s">
        <v>173</v>
      </c>
      <c r="AM616" t="s">
        <v>173</v>
      </c>
      <c r="AN616" t="s">
        <v>173</v>
      </c>
      <c r="AO616" t="s">
        <v>173</v>
      </c>
      <c r="AP616" t="s">
        <v>173</v>
      </c>
      <c r="AQ616" t="s">
        <v>175</v>
      </c>
      <c r="AR616" t="s">
        <v>175</v>
      </c>
      <c r="AS616" t="s">
        <v>175</v>
      </c>
      <c r="AT616" t="s">
        <v>173</v>
      </c>
      <c r="AU616" t="s">
        <v>173</v>
      </c>
      <c r="AV616" t="s">
        <v>173</v>
      </c>
      <c r="AW616" t="s">
        <v>173</v>
      </c>
      <c r="AX616" t="s">
        <v>192</v>
      </c>
      <c r="AY616" t="s">
        <v>196</v>
      </c>
    </row>
    <row r="617" hidden="1" spans="1:56">
      <c r="A617">
        <v>616</v>
      </c>
      <c r="B617" t="s">
        <v>280</v>
      </c>
      <c r="C617">
        <v>2023</v>
      </c>
      <c r="D617">
        <v>2009</v>
      </c>
      <c r="E617">
        <v>2009</v>
      </c>
      <c r="F617" t="s">
        <v>256</v>
      </c>
      <c r="G617" t="s">
        <v>263</v>
      </c>
      <c r="H617" t="s">
        <v>247</v>
      </c>
      <c r="I617"/>
      <c r="J617" t="s">
        <v>252</v>
      </c>
      <c r="K617" t="b">
        <v>0</v>
      </c>
      <c r="L617" t="b">
        <v>0</v>
      </c>
      <c r="M617" t="b">
        <v>0</v>
      </c>
      <c r="N617" t="b">
        <v>0</v>
      </c>
      <c r="O617" t="b">
        <v>0</v>
      </c>
      <c r="P617" t="b">
        <v>0</v>
      </c>
      <c r="Q617" t="b">
        <v>0</v>
      </c>
      <c r="R617" t="b">
        <v>0</v>
      </c>
      <c r="S617" t="b">
        <v>0</v>
      </c>
      <c r="T617" t="b">
        <v>0</v>
      </c>
      <c r="U617" t="b">
        <v>0</v>
      </c>
      <c r="V617" t="b">
        <v>0</v>
      </c>
      <c r="W617" t="b">
        <v>0</v>
      </c>
      <c r="X617" t="b">
        <v>1</v>
      </c>
      <c r="Y617" t="b">
        <v>0</v>
      </c>
      <c r="Z617" t="b">
        <v>0</v>
      </c>
      <c r="AA617" t="b">
        <v>0</v>
      </c>
      <c r="AB617" t="b">
        <v>0</v>
      </c>
      <c r="AC617" t="s">
        <v>177</v>
      </c>
      <c r="AD617" t="s">
        <v>175</v>
      </c>
      <c r="AE617" t="s">
        <v>177</v>
      </c>
      <c r="AF617" t="s">
        <v>177</v>
      </c>
      <c r="AG617" t="s">
        <v>179</v>
      </c>
      <c r="AH617" t="s">
        <v>179</v>
      </c>
      <c r="AI617" t="s">
        <v>179</v>
      </c>
      <c r="AJ617" t="s">
        <v>177</v>
      </c>
      <c r="AK617" t="s">
        <v>177</v>
      </c>
      <c r="AL617" t="s">
        <v>177</v>
      </c>
      <c r="AM617" t="s">
        <v>177</v>
      </c>
      <c r="AN617" t="s">
        <v>177</v>
      </c>
      <c r="AO617" t="s">
        <v>177</v>
      </c>
      <c r="AP617" t="s">
        <v>175</v>
      </c>
      <c r="AQ617" t="s">
        <v>179</v>
      </c>
      <c r="AR617" t="s">
        <v>179</v>
      </c>
      <c r="AS617" t="s">
        <v>175</v>
      </c>
      <c r="AT617" t="s">
        <v>177</v>
      </c>
      <c r="AU617" t="s">
        <v>177</v>
      </c>
      <c r="AV617" t="s">
        <v>181</v>
      </c>
      <c r="AW617" t="s">
        <v>181</v>
      </c>
      <c r="AX617" t="s">
        <v>193</v>
      </c>
      <c r="AY617" t="s">
        <v>197</v>
      </c>
      <c r="AZ617" t="s">
        <v>183</v>
      </c>
      <c r="BA617" t="s">
        <v>183</v>
      </c>
      <c r="BB617" t="s">
        <v>183</v>
      </c>
      <c r="BC617" t="s">
        <v>208</v>
      </c>
      <c r="BD617" t="s">
        <v>183</v>
      </c>
    </row>
    <row r="618" hidden="1" spans="1:56">
      <c r="A618">
        <v>617</v>
      </c>
      <c r="B618" t="s">
        <v>259</v>
      </c>
      <c r="C618">
        <v>2023</v>
      </c>
      <c r="D618">
        <v>1982</v>
      </c>
      <c r="E618">
        <v>1982</v>
      </c>
      <c r="F618" t="s">
        <v>256</v>
      </c>
      <c r="G618" t="s">
        <v>263</v>
      </c>
      <c r="H618" t="s">
        <v>274</v>
      </c>
      <c r="I618"/>
      <c r="J618" t="s">
        <v>252</v>
      </c>
      <c r="K618" t="b">
        <v>0</v>
      </c>
      <c r="L618" t="b">
        <v>0</v>
      </c>
      <c r="M618" t="b">
        <v>0</v>
      </c>
      <c r="N618" t="b">
        <v>0</v>
      </c>
      <c r="O618" t="b">
        <v>0</v>
      </c>
      <c r="P618" t="b">
        <v>1</v>
      </c>
      <c r="Q618" t="b">
        <v>0</v>
      </c>
      <c r="R618" t="b">
        <v>0</v>
      </c>
      <c r="S618" t="b">
        <v>0</v>
      </c>
      <c r="T618" t="b">
        <v>0</v>
      </c>
      <c r="U618" t="b">
        <v>0</v>
      </c>
      <c r="V618" t="b">
        <v>0</v>
      </c>
      <c r="W618" t="b">
        <v>0</v>
      </c>
      <c r="X618" t="b">
        <v>0</v>
      </c>
      <c r="Y618" t="b">
        <v>0</v>
      </c>
      <c r="Z618" t="b">
        <v>1</v>
      </c>
      <c r="AA618" t="b">
        <v>0</v>
      </c>
      <c r="AB618" t="b">
        <v>0</v>
      </c>
      <c r="AC618" t="s">
        <v>173</v>
      </c>
      <c r="AD618" t="s">
        <v>173</v>
      </c>
      <c r="AE618" t="s">
        <v>175</v>
      </c>
      <c r="AF618" t="s">
        <v>173</v>
      </c>
      <c r="AG618" t="s">
        <v>175</v>
      </c>
      <c r="AH618" t="s">
        <v>177</v>
      </c>
      <c r="AI618" t="s">
        <v>175</v>
      </c>
      <c r="AJ618" t="s">
        <v>173</v>
      </c>
      <c r="AK618" t="s">
        <v>173</v>
      </c>
      <c r="AL618" t="s">
        <v>173</v>
      </c>
      <c r="AM618" t="s">
        <v>173</v>
      </c>
      <c r="AN618" t="s">
        <v>173</v>
      </c>
      <c r="AO618" t="s">
        <v>173</v>
      </c>
      <c r="AP618" t="s">
        <v>173</v>
      </c>
      <c r="AQ618" t="s">
        <v>173</v>
      </c>
      <c r="AR618" t="s">
        <v>173</v>
      </c>
      <c r="AS618" t="s">
        <v>173</v>
      </c>
      <c r="AT618" t="s">
        <v>173</v>
      </c>
      <c r="AU618" t="s">
        <v>173</v>
      </c>
      <c r="AV618" t="s">
        <v>175</v>
      </c>
      <c r="AW618" t="s">
        <v>173</v>
      </c>
      <c r="AX618" t="s">
        <v>192</v>
      </c>
      <c r="AY618" t="s">
        <v>196</v>
      </c>
      <c r="AZ618" t="s">
        <v>183</v>
      </c>
      <c r="BA618" t="s">
        <v>183</v>
      </c>
      <c r="BB618" t="s">
        <v>183</v>
      </c>
      <c r="BC618" t="s">
        <v>183</v>
      </c>
      <c r="BD618" t="s">
        <v>183</v>
      </c>
    </row>
    <row r="619" hidden="1" spans="1:51">
      <c r="A619">
        <v>618</v>
      </c>
      <c r="B619" t="s">
        <v>255</v>
      </c>
      <c r="C619">
        <v>2023</v>
      </c>
      <c r="D619">
        <v>2005</v>
      </c>
      <c r="E619">
        <v>2017</v>
      </c>
      <c r="F619" t="s">
        <v>256</v>
      </c>
      <c r="G619" t="s">
        <v>263</v>
      </c>
      <c r="H619" t="s">
        <v>268</v>
      </c>
      <c r="I619"/>
      <c r="J619" t="s">
        <v>265</v>
      </c>
      <c r="K619" t="b">
        <v>0</v>
      </c>
      <c r="L619" t="b">
        <v>0</v>
      </c>
      <c r="M619" t="b">
        <v>0</v>
      </c>
      <c r="N619" t="b">
        <v>1</v>
      </c>
      <c r="O619" t="b">
        <v>0</v>
      </c>
      <c r="P619" t="b">
        <v>0</v>
      </c>
      <c r="Q619" t="b">
        <v>1</v>
      </c>
      <c r="R619" t="b">
        <v>0</v>
      </c>
      <c r="S619" t="b">
        <v>0</v>
      </c>
      <c r="T619" t="b">
        <v>1</v>
      </c>
      <c r="U619" t="b">
        <v>0</v>
      </c>
      <c r="V619" t="b">
        <v>0</v>
      </c>
      <c r="W619" t="b">
        <v>0</v>
      </c>
      <c r="X619" t="b">
        <v>0</v>
      </c>
      <c r="Y619" t="b">
        <v>1</v>
      </c>
      <c r="Z619" t="b">
        <v>0</v>
      </c>
      <c r="AA619" t="b">
        <v>1</v>
      </c>
      <c r="AB619" t="b">
        <v>0</v>
      </c>
      <c r="AC619" t="s">
        <v>179</v>
      </c>
      <c r="AD619" t="s">
        <v>179</v>
      </c>
      <c r="AE619" t="s">
        <v>179</v>
      </c>
      <c r="AF619" t="s">
        <v>179</v>
      </c>
      <c r="AG619" t="s">
        <v>179</v>
      </c>
      <c r="AH619" t="s">
        <v>177</v>
      </c>
      <c r="AI619" t="s">
        <v>179</v>
      </c>
      <c r="AJ619" t="s">
        <v>179</v>
      </c>
      <c r="AK619" t="s">
        <v>175</v>
      </c>
      <c r="AL619" t="s">
        <v>179</v>
      </c>
      <c r="AM619" t="s">
        <v>179</v>
      </c>
      <c r="AN619" t="s">
        <v>179</v>
      </c>
      <c r="AO619" t="s">
        <v>177</v>
      </c>
      <c r="AP619" t="s">
        <v>179</v>
      </c>
      <c r="AQ619" t="s">
        <v>179</v>
      </c>
      <c r="AR619" t="s">
        <v>179</v>
      </c>
      <c r="AS619" t="s">
        <v>179</v>
      </c>
      <c r="AT619" t="s">
        <v>179</v>
      </c>
      <c r="AU619" t="s">
        <v>179</v>
      </c>
      <c r="AV619" t="s">
        <v>179</v>
      </c>
      <c r="AW619" t="s">
        <v>179</v>
      </c>
      <c r="AX619" t="s">
        <v>192</v>
      </c>
      <c r="AY619" t="s">
        <v>197</v>
      </c>
    </row>
    <row r="620" hidden="1" spans="1:51">
      <c r="A620">
        <v>619</v>
      </c>
      <c r="B620" t="s">
        <v>259</v>
      </c>
      <c r="C620">
        <v>2023</v>
      </c>
      <c r="D620">
        <v>1996</v>
      </c>
      <c r="E620">
        <v>2009</v>
      </c>
      <c r="F620" t="s">
        <v>256</v>
      </c>
      <c r="G620" t="s">
        <v>263</v>
      </c>
      <c r="H620" t="s">
        <v>274</v>
      </c>
      <c r="I620"/>
      <c r="J620" t="s">
        <v>252</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1</v>
      </c>
      <c r="AC620" t="s">
        <v>171</v>
      </c>
      <c r="AD620" t="s">
        <v>171</v>
      </c>
      <c r="AE620" t="s">
        <v>177</v>
      </c>
      <c r="AF620" t="s">
        <v>171</v>
      </c>
      <c r="AG620" t="s">
        <v>171</v>
      </c>
      <c r="AH620" t="s">
        <v>171</v>
      </c>
      <c r="AI620" t="s">
        <v>171</v>
      </c>
      <c r="AJ620" t="s">
        <v>171</v>
      </c>
      <c r="AK620" t="s">
        <v>171</v>
      </c>
      <c r="AL620" t="s">
        <v>171</v>
      </c>
      <c r="AM620" t="s">
        <v>171</v>
      </c>
      <c r="AN620" t="s">
        <v>171</v>
      </c>
      <c r="AO620" t="s">
        <v>171</v>
      </c>
      <c r="AP620" t="s">
        <v>171</v>
      </c>
      <c r="AQ620" t="s">
        <v>171</v>
      </c>
      <c r="AR620" t="s">
        <v>171</v>
      </c>
      <c r="AS620" t="s">
        <v>171</v>
      </c>
      <c r="AT620" t="s">
        <v>171</v>
      </c>
      <c r="AU620" t="s">
        <v>171</v>
      </c>
      <c r="AV620" t="s">
        <v>173</v>
      </c>
      <c r="AW620" t="s">
        <v>171</v>
      </c>
      <c r="AX620" t="s">
        <v>192</v>
      </c>
      <c r="AY620" t="s">
        <v>196</v>
      </c>
    </row>
    <row r="621" hidden="1" spans="1:51">
      <c r="A621">
        <v>620</v>
      </c>
      <c r="B621" t="s">
        <v>269</v>
      </c>
      <c r="C621">
        <v>2023</v>
      </c>
      <c r="D621">
        <v>2012</v>
      </c>
      <c r="E621">
        <v>2013</v>
      </c>
      <c r="F621" t="s">
        <v>256</v>
      </c>
      <c r="G621" t="s">
        <v>279</v>
      </c>
      <c r="H621" t="s">
        <v>261</v>
      </c>
      <c r="I621"/>
      <c r="J621" t="s">
        <v>265</v>
      </c>
      <c r="K621" t="b">
        <v>0</v>
      </c>
      <c r="L621" t="b">
        <v>1</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s">
        <v>173</v>
      </c>
      <c r="AD621" t="s">
        <v>175</v>
      </c>
      <c r="AE621" t="s">
        <v>173</v>
      </c>
      <c r="AF621" t="s">
        <v>175</v>
      </c>
      <c r="AG621" t="s">
        <v>173</v>
      </c>
      <c r="AH621" t="s">
        <v>173</v>
      </c>
      <c r="AI621" t="s">
        <v>173</v>
      </c>
      <c r="AJ621" t="s">
        <v>173</v>
      </c>
      <c r="AK621" t="s">
        <v>173</v>
      </c>
      <c r="AL621" t="s">
        <v>173</v>
      </c>
      <c r="AM621" t="s">
        <v>173</v>
      </c>
      <c r="AN621" t="s">
        <v>171</v>
      </c>
      <c r="AO621" t="s">
        <v>173</v>
      </c>
      <c r="AP621" t="s">
        <v>173</v>
      </c>
      <c r="AQ621" t="s">
        <v>173</v>
      </c>
      <c r="AR621" t="s">
        <v>173</v>
      </c>
      <c r="AS621" t="s">
        <v>173</v>
      </c>
      <c r="AT621" t="s">
        <v>173</v>
      </c>
      <c r="AU621" t="s">
        <v>173</v>
      </c>
      <c r="AV621" t="s">
        <v>175</v>
      </c>
      <c r="AW621" t="s">
        <v>175</v>
      </c>
      <c r="AX621" t="s">
        <v>192</v>
      </c>
      <c r="AY621" t="s">
        <v>201</v>
      </c>
    </row>
    <row r="622" hidden="1" spans="1:51">
      <c r="A622">
        <v>621</v>
      </c>
      <c r="B622" t="s">
        <v>259</v>
      </c>
      <c r="C622">
        <v>2023</v>
      </c>
      <c r="D622">
        <v>1993</v>
      </c>
      <c r="E622">
        <v>2003</v>
      </c>
      <c r="F622" t="s">
        <v>248</v>
      </c>
      <c r="G622" t="s">
        <v>242</v>
      </c>
      <c r="H622" t="s">
        <v>261</v>
      </c>
      <c r="I622"/>
      <c r="J622" t="s">
        <v>252</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1</v>
      </c>
      <c r="AC622" t="s">
        <v>181</v>
      </c>
      <c r="AD622" t="s">
        <v>181</v>
      </c>
      <c r="AE622" t="s">
        <v>181</v>
      </c>
      <c r="AF622" t="s">
        <v>181</v>
      </c>
      <c r="AG622" t="s">
        <v>181</v>
      </c>
      <c r="AH622" t="s">
        <v>181</v>
      </c>
      <c r="AI622" t="s">
        <v>181</v>
      </c>
      <c r="AJ622" t="s">
        <v>181</v>
      </c>
      <c r="AK622" t="s">
        <v>181</v>
      </c>
      <c r="AL622" t="s">
        <v>181</v>
      </c>
      <c r="AM622" t="s">
        <v>181</v>
      </c>
      <c r="AN622" t="s">
        <v>181</v>
      </c>
      <c r="AO622" t="s">
        <v>181</v>
      </c>
      <c r="AP622" t="s">
        <v>181</v>
      </c>
      <c r="AQ622" t="s">
        <v>181</v>
      </c>
      <c r="AR622" t="s">
        <v>181</v>
      </c>
      <c r="AS622" t="s">
        <v>181</v>
      </c>
      <c r="AT622" t="s">
        <v>181</v>
      </c>
      <c r="AU622" t="s">
        <v>181</v>
      </c>
      <c r="AV622" t="s">
        <v>181</v>
      </c>
      <c r="AW622" t="s">
        <v>181</v>
      </c>
      <c r="AX622" t="s">
        <v>192</v>
      </c>
      <c r="AY622" t="s">
        <v>195</v>
      </c>
    </row>
    <row r="623" hidden="1" spans="1:51">
      <c r="A623">
        <v>622</v>
      </c>
      <c r="B623" t="s">
        <v>255</v>
      </c>
      <c r="C623">
        <v>2023</v>
      </c>
      <c r="D623">
        <v>1992</v>
      </c>
      <c r="E623">
        <v>2021</v>
      </c>
      <c r="F623" t="s">
        <v>256</v>
      </c>
      <c r="G623" t="s">
        <v>257</v>
      </c>
      <c r="H623" t="s">
        <v>258</v>
      </c>
      <c r="I623"/>
      <c r="J623" t="s">
        <v>265</v>
      </c>
      <c r="K623" t="b">
        <v>0</v>
      </c>
      <c r="L623" t="b">
        <v>0</v>
      </c>
      <c r="M623" t="b">
        <v>0</v>
      </c>
      <c r="N623" t="b">
        <v>0</v>
      </c>
      <c r="O623" t="b">
        <v>1</v>
      </c>
      <c r="P623" t="b">
        <v>0</v>
      </c>
      <c r="Q623" t="b">
        <v>0</v>
      </c>
      <c r="R623" t="b">
        <v>0</v>
      </c>
      <c r="S623" t="b">
        <v>0</v>
      </c>
      <c r="T623" t="b">
        <v>0</v>
      </c>
      <c r="U623" t="b">
        <v>1</v>
      </c>
      <c r="V623" t="b">
        <v>0</v>
      </c>
      <c r="W623" t="b">
        <v>0</v>
      </c>
      <c r="X623" t="b">
        <v>0</v>
      </c>
      <c r="Y623" t="b">
        <v>0</v>
      </c>
      <c r="Z623" t="b">
        <v>0</v>
      </c>
      <c r="AA623" t="b">
        <v>0</v>
      </c>
      <c r="AB623" t="b">
        <v>0</v>
      </c>
      <c r="AC623" t="s">
        <v>175</v>
      </c>
      <c r="AD623" t="s">
        <v>175</v>
      </c>
      <c r="AE623" t="s">
        <v>175</v>
      </c>
      <c r="AF623" t="s">
        <v>175</v>
      </c>
      <c r="AG623" t="s">
        <v>173</v>
      </c>
      <c r="AH623" t="s">
        <v>181</v>
      </c>
      <c r="AI623" t="s">
        <v>173</v>
      </c>
      <c r="AJ623" t="s">
        <v>173</v>
      </c>
      <c r="AK623" t="s">
        <v>173</v>
      </c>
      <c r="AL623" t="s">
        <v>181</v>
      </c>
      <c r="AM623" t="s">
        <v>173</v>
      </c>
      <c r="AN623" t="s">
        <v>173</v>
      </c>
      <c r="AO623" t="s">
        <v>175</v>
      </c>
      <c r="AP623" t="s">
        <v>175</v>
      </c>
      <c r="AQ623" t="s">
        <v>175</v>
      </c>
      <c r="AR623" t="s">
        <v>175</v>
      </c>
      <c r="AS623" t="s">
        <v>175</v>
      </c>
      <c r="AT623" t="s">
        <v>175</v>
      </c>
      <c r="AU623" t="s">
        <v>175</v>
      </c>
      <c r="AV623" t="s">
        <v>175</v>
      </c>
      <c r="AW623" t="s">
        <v>175</v>
      </c>
      <c r="AX623" t="s">
        <v>192</v>
      </c>
      <c r="AY623" t="s">
        <v>197</v>
      </c>
    </row>
    <row r="624" hidden="1" spans="1:51">
      <c r="A624">
        <v>623</v>
      </c>
      <c r="B624" t="s">
        <v>259</v>
      </c>
      <c r="C624">
        <v>2023</v>
      </c>
      <c r="D624">
        <v>2010</v>
      </c>
      <c r="E624">
        <v>2017</v>
      </c>
      <c r="F624" t="s">
        <v>266</v>
      </c>
      <c r="G624"/>
      <c r="H624" t="s">
        <v>261</v>
      </c>
      <c r="I624"/>
      <c r="J624" t="s">
        <v>265</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1</v>
      </c>
      <c r="AC624" t="s">
        <v>171</v>
      </c>
      <c r="AD624" t="s">
        <v>183</v>
      </c>
      <c r="AE624" t="s">
        <v>173</v>
      </c>
      <c r="AF624" t="s">
        <v>177</v>
      </c>
      <c r="AG624" t="s">
        <v>173</v>
      </c>
      <c r="AH624" t="s">
        <v>173</v>
      </c>
      <c r="AI624" t="s">
        <v>173</v>
      </c>
      <c r="AJ624" t="s">
        <v>173</v>
      </c>
      <c r="AK624" t="s">
        <v>173</v>
      </c>
      <c r="AL624" t="s">
        <v>171</v>
      </c>
      <c r="AM624" t="s">
        <v>173</v>
      </c>
      <c r="AN624" t="s">
        <v>183</v>
      </c>
      <c r="AO624" t="s">
        <v>183</v>
      </c>
      <c r="AP624" t="s">
        <v>183</v>
      </c>
      <c r="AQ624" t="s">
        <v>183</v>
      </c>
      <c r="AR624" t="s">
        <v>173</v>
      </c>
      <c r="AS624" t="s">
        <v>173</v>
      </c>
      <c r="AT624" t="s">
        <v>173</v>
      </c>
      <c r="AU624" t="s">
        <v>173</v>
      </c>
      <c r="AV624" t="s">
        <v>175</v>
      </c>
      <c r="AW624" t="s">
        <v>173</v>
      </c>
      <c r="AX624" t="s">
        <v>193</v>
      </c>
      <c r="AY624" t="s">
        <v>195</v>
      </c>
    </row>
    <row r="625" hidden="1" spans="1:51">
      <c r="A625">
        <v>624</v>
      </c>
      <c r="B625" t="s">
        <v>272</v>
      </c>
      <c r="C625">
        <v>2023</v>
      </c>
      <c r="D625">
        <v>2013</v>
      </c>
      <c r="E625">
        <v>2016</v>
      </c>
      <c r="F625" t="s">
        <v>256</v>
      </c>
      <c r="G625" t="s">
        <v>279</v>
      </c>
      <c r="H625" t="s">
        <v>274</v>
      </c>
      <c r="I625"/>
      <c r="J625" t="s">
        <v>252</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1</v>
      </c>
      <c r="AC625" t="s">
        <v>171</v>
      </c>
      <c r="AD625" t="s">
        <v>183</v>
      </c>
      <c r="AE625" t="s">
        <v>173</v>
      </c>
      <c r="AF625" t="s">
        <v>173</v>
      </c>
      <c r="AG625" t="s">
        <v>171</v>
      </c>
      <c r="AH625" t="s">
        <v>173</v>
      </c>
      <c r="AI625" t="s">
        <v>173</v>
      </c>
      <c r="AJ625" t="s">
        <v>171</v>
      </c>
      <c r="AK625" t="s">
        <v>171</v>
      </c>
      <c r="AL625" t="s">
        <v>171</v>
      </c>
      <c r="AM625" t="s">
        <v>171</v>
      </c>
      <c r="AN625" t="s">
        <v>173</v>
      </c>
      <c r="AO625" t="s">
        <v>171</v>
      </c>
      <c r="AP625" t="s">
        <v>171</v>
      </c>
      <c r="AQ625" t="s">
        <v>171</v>
      </c>
      <c r="AR625" t="s">
        <v>171</v>
      </c>
      <c r="AS625" t="s">
        <v>173</v>
      </c>
      <c r="AT625" t="s">
        <v>173</v>
      </c>
      <c r="AU625" t="s">
        <v>171</v>
      </c>
      <c r="AV625" t="s">
        <v>173</v>
      </c>
      <c r="AW625" t="s">
        <v>173</v>
      </c>
      <c r="AX625" t="s">
        <v>192</v>
      </c>
      <c r="AY625" t="s">
        <v>196</v>
      </c>
    </row>
    <row r="626" hidden="1" spans="1:51">
      <c r="A626">
        <v>625</v>
      </c>
      <c r="B626" t="s">
        <v>259</v>
      </c>
      <c r="C626">
        <v>2023</v>
      </c>
      <c r="D626">
        <v>2005</v>
      </c>
      <c r="E626">
        <v>2012</v>
      </c>
      <c r="F626" t="s">
        <v>260</v>
      </c>
      <c r="G626"/>
      <c r="H626" t="s">
        <v>250</v>
      </c>
      <c r="I626" t="s">
        <v>254</v>
      </c>
      <c r="J626" t="s">
        <v>252</v>
      </c>
      <c r="K626" t="b">
        <v>0</v>
      </c>
      <c r="L626" t="b">
        <v>0</v>
      </c>
      <c r="M626" t="b">
        <v>0</v>
      </c>
      <c r="N626" t="b">
        <v>0</v>
      </c>
      <c r="O626" t="b">
        <v>1</v>
      </c>
      <c r="P626" t="b">
        <v>0</v>
      </c>
      <c r="Q626" t="b">
        <v>0</v>
      </c>
      <c r="R626" t="b">
        <v>0</v>
      </c>
      <c r="S626" t="b">
        <v>0</v>
      </c>
      <c r="T626" t="b">
        <v>0</v>
      </c>
      <c r="U626" t="b">
        <v>0</v>
      </c>
      <c r="V626" t="b">
        <v>0</v>
      </c>
      <c r="W626" t="b">
        <v>0</v>
      </c>
      <c r="X626" t="b">
        <v>0</v>
      </c>
      <c r="Y626" t="b">
        <v>0</v>
      </c>
      <c r="Z626" t="b">
        <v>0</v>
      </c>
      <c r="AA626" t="b">
        <v>0</v>
      </c>
      <c r="AB626" t="b">
        <v>0</v>
      </c>
      <c r="AC626" t="s">
        <v>171</v>
      </c>
      <c r="AD626" t="s">
        <v>175</v>
      </c>
      <c r="AE626" t="s">
        <v>171</v>
      </c>
      <c r="AF626" t="s">
        <v>171</v>
      </c>
      <c r="AG626" t="s">
        <v>171</v>
      </c>
      <c r="AH626" t="s">
        <v>179</v>
      </c>
      <c r="AI626" t="s">
        <v>175</v>
      </c>
      <c r="AJ626" t="s">
        <v>171</v>
      </c>
      <c r="AK626" t="s">
        <v>171</v>
      </c>
      <c r="AL626" t="s">
        <v>171</v>
      </c>
      <c r="AM626" t="s">
        <v>171</v>
      </c>
      <c r="AN626" t="s">
        <v>179</v>
      </c>
      <c r="AO626" t="s">
        <v>171</v>
      </c>
      <c r="AP626" t="s">
        <v>171</v>
      </c>
      <c r="AQ626" t="s">
        <v>171</v>
      </c>
      <c r="AR626" t="s">
        <v>171</v>
      </c>
      <c r="AS626" t="s">
        <v>171</v>
      </c>
      <c r="AT626" t="s">
        <v>171</v>
      </c>
      <c r="AU626" t="s">
        <v>171</v>
      </c>
      <c r="AV626" t="s">
        <v>175</v>
      </c>
      <c r="AW626" t="s">
        <v>179</v>
      </c>
      <c r="AX626" t="s">
        <v>192</v>
      </c>
      <c r="AY626" t="s">
        <v>196</v>
      </c>
    </row>
    <row r="627" hidden="1" spans="1:51">
      <c r="A627">
        <v>626</v>
      </c>
      <c r="B627" t="s">
        <v>255</v>
      </c>
      <c r="C627">
        <v>2023</v>
      </c>
      <c r="D627">
        <v>2020</v>
      </c>
      <c r="E627">
        <v>2020</v>
      </c>
      <c r="F627" t="s">
        <v>275</v>
      </c>
      <c r="G627"/>
      <c r="H627" t="s">
        <v>258</v>
      </c>
      <c r="I627"/>
      <c r="J627" t="s">
        <v>265</v>
      </c>
      <c r="K627" t="b">
        <v>0</v>
      </c>
      <c r="L627" t="b">
        <v>0</v>
      </c>
      <c r="M627" t="b">
        <v>0</v>
      </c>
      <c r="N627" t="b">
        <v>0</v>
      </c>
      <c r="O627" t="b">
        <v>0</v>
      </c>
      <c r="P627" t="b">
        <v>0</v>
      </c>
      <c r="Q627" t="b">
        <v>0</v>
      </c>
      <c r="R627" t="b">
        <v>0</v>
      </c>
      <c r="S627" t="b">
        <v>0</v>
      </c>
      <c r="T627" t="b">
        <v>0</v>
      </c>
      <c r="U627" t="b">
        <v>0</v>
      </c>
      <c r="V627" t="b">
        <v>0</v>
      </c>
      <c r="W627" t="b">
        <v>0</v>
      </c>
      <c r="X627" t="b">
        <v>0</v>
      </c>
      <c r="Y627" t="b">
        <v>0</v>
      </c>
      <c r="Z627" t="b">
        <v>1</v>
      </c>
      <c r="AA627" t="b">
        <v>0</v>
      </c>
      <c r="AB627" t="b">
        <v>0</v>
      </c>
      <c r="AC627" t="s">
        <v>173</v>
      </c>
      <c r="AD627" t="s">
        <v>175</v>
      </c>
      <c r="AE627" t="s">
        <v>173</v>
      </c>
      <c r="AF627" t="s">
        <v>173</v>
      </c>
      <c r="AG627" t="s">
        <v>173</v>
      </c>
      <c r="AH627" t="s">
        <v>173</v>
      </c>
      <c r="AI627" t="s">
        <v>173</v>
      </c>
      <c r="AJ627" t="s">
        <v>171</v>
      </c>
      <c r="AK627" t="s">
        <v>177</v>
      </c>
      <c r="AL627" t="s">
        <v>183</v>
      </c>
      <c r="AM627" t="s">
        <v>173</v>
      </c>
      <c r="AN627" t="s">
        <v>175</v>
      </c>
      <c r="AO627" t="s">
        <v>173</v>
      </c>
      <c r="AP627" t="s">
        <v>173</v>
      </c>
      <c r="AQ627" t="s">
        <v>173</v>
      </c>
      <c r="AR627" t="s">
        <v>173</v>
      </c>
      <c r="AS627" t="s">
        <v>173</v>
      </c>
      <c r="AT627" t="s">
        <v>173</v>
      </c>
      <c r="AU627" t="s">
        <v>173</v>
      </c>
      <c r="AV627" t="s">
        <v>173</v>
      </c>
      <c r="AW627" t="s">
        <v>173</v>
      </c>
      <c r="AX627" t="s">
        <v>192</v>
      </c>
      <c r="AY627" t="s">
        <v>199</v>
      </c>
    </row>
    <row r="628" spans="1:65">
      <c r="A628">
        <v>627</v>
      </c>
      <c r="B628" t="s">
        <v>319</v>
      </c>
      <c r="C628" s="10">
        <v>2023</v>
      </c>
      <c r="D628" s="10">
        <v>2019</v>
      </c>
      <c r="E628" s="10">
        <v>2019</v>
      </c>
      <c r="F628" s="10" t="s">
        <v>241</v>
      </c>
      <c r="G628" s="10" t="s">
        <v>242</v>
      </c>
      <c r="H628" s="10" t="s">
        <v>243</v>
      </c>
      <c r="I628" s="10" t="s">
        <v>282</v>
      </c>
      <c r="J628" s="10" t="s">
        <v>302</v>
      </c>
      <c r="K628" t="b">
        <v>0</v>
      </c>
      <c r="L628" t="b">
        <v>1</v>
      </c>
      <c r="M628" t="b">
        <v>0</v>
      </c>
      <c r="N628" t="b">
        <v>1</v>
      </c>
      <c r="O628" t="b">
        <v>0</v>
      </c>
      <c r="P628" t="b">
        <v>0</v>
      </c>
      <c r="Q628" t="b">
        <v>0</v>
      </c>
      <c r="R628" t="b">
        <v>0</v>
      </c>
      <c r="S628" t="b">
        <v>0</v>
      </c>
      <c r="T628" t="b">
        <v>0</v>
      </c>
      <c r="U628" t="b">
        <v>0</v>
      </c>
      <c r="V628" t="b">
        <v>0</v>
      </c>
      <c r="W628" t="b">
        <v>1</v>
      </c>
      <c r="X628" t="b">
        <v>0</v>
      </c>
      <c r="Y628" t="b">
        <v>0</v>
      </c>
      <c r="Z628" t="b">
        <v>0</v>
      </c>
      <c r="AA628" t="b">
        <v>0</v>
      </c>
      <c r="AB628" t="b">
        <v>0</v>
      </c>
      <c r="AC628" s="10" t="s">
        <v>177</v>
      </c>
      <c r="AD628" t="s">
        <v>173</v>
      </c>
      <c r="AE628" t="s">
        <v>177</v>
      </c>
      <c r="AF628" t="s">
        <v>175</v>
      </c>
      <c r="AG628" t="s">
        <v>173</v>
      </c>
      <c r="AH628" t="s">
        <v>173</v>
      </c>
      <c r="AI628" t="s">
        <v>175</v>
      </c>
      <c r="AJ628" t="s">
        <v>177</v>
      </c>
      <c r="AK628" t="s">
        <v>177</v>
      </c>
      <c r="AL628" t="s">
        <v>177</v>
      </c>
      <c r="AM628" t="s">
        <v>175</v>
      </c>
      <c r="AN628" t="s">
        <v>177</v>
      </c>
      <c r="AO628" t="s">
        <v>177</v>
      </c>
      <c r="AP628" t="s">
        <v>177</v>
      </c>
      <c r="AQ628" t="s">
        <v>177</v>
      </c>
      <c r="AR628" t="s">
        <v>177</v>
      </c>
      <c r="AS628" t="s">
        <v>173</v>
      </c>
      <c r="AT628" t="s">
        <v>177</v>
      </c>
      <c r="AU628" t="s">
        <v>175</v>
      </c>
      <c r="AV628" t="s">
        <v>175</v>
      </c>
      <c r="AW628" t="s">
        <v>173</v>
      </c>
      <c r="AX628" t="s">
        <v>192</v>
      </c>
      <c r="AY628" t="s">
        <v>200</v>
      </c>
      <c r="BE628" t="str">
        <f>IF(AY628="","Unknown",AY628)</f>
        <v>26-30</v>
      </c>
      <c r="BF628" s="11" t="str">
        <f>IF(AZ628="","unknown",AZ628)</f>
        <v>unknown</v>
      </c>
      <c r="BG628" s="11" t="str">
        <f>IF(BA628="","UNKNOWN",BA628)</f>
        <v>UNKNOWN</v>
      </c>
      <c r="BH628" s="11" t="str">
        <f>IF(BB628="","unknown",BB628)</f>
        <v>unknown</v>
      </c>
      <c r="BI628" s="11" t="str">
        <f>IF(BC628="","Unknon",BC628)</f>
        <v>Unknon</v>
      </c>
      <c r="BJ628" s="11" t="str">
        <f>IF(BD628="","Unknown",BD628)</f>
        <v>Unknown</v>
      </c>
      <c r="BK628" s="11">
        <f>VALUE(C628)-VALUE(D628)</f>
        <v>4</v>
      </c>
      <c r="BM628" s="11"/>
    </row>
    <row r="629" hidden="1" spans="1:51">
      <c r="A629">
        <v>628</v>
      </c>
      <c r="B629" t="s">
        <v>280</v>
      </c>
      <c r="C629">
        <v>2023</v>
      </c>
      <c r="D629">
        <v>2009</v>
      </c>
      <c r="E629">
        <v>2009</v>
      </c>
      <c r="F629" t="s">
        <v>266</v>
      </c>
      <c r="G629"/>
      <c r="H629" t="s">
        <v>247</v>
      </c>
      <c r="I629"/>
      <c r="J629" t="s">
        <v>265</v>
      </c>
      <c r="K629" t="b">
        <v>0</v>
      </c>
      <c r="L629" t="b">
        <v>0</v>
      </c>
      <c r="M629" t="b">
        <v>0</v>
      </c>
      <c r="N629" t="b">
        <v>0</v>
      </c>
      <c r="O629" t="b">
        <v>0</v>
      </c>
      <c r="P629" t="b">
        <v>0</v>
      </c>
      <c r="Q629" t="b">
        <v>0</v>
      </c>
      <c r="R629" t="b">
        <v>0</v>
      </c>
      <c r="S629" t="b">
        <v>0</v>
      </c>
      <c r="T629" t="b">
        <v>0</v>
      </c>
      <c r="U629" t="b">
        <v>0</v>
      </c>
      <c r="V629" t="b">
        <v>0</v>
      </c>
      <c r="W629" t="b">
        <v>0</v>
      </c>
      <c r="X629" t="b">
        <v>1</v>
      </c>
      <c r="Y629" t="b">
        <v>0</v>
      </c>
      <c r="Z629" t="b">
        <v>0</v>
      </c>
      <c r="AA629" t="b">
        <v>0</v>
      </c>
      <c r="AB629" t="b">
        <v>0</v>
      </c>
      <c r="AC629" t="s">
        <v>175</v>
      </c>
      <c r="AD629" t="s">
        <v>177</v>
      </c>
      <c r="AE629" t="s">
        <v>177</v>
      </c>
      <c r="AF629" t="s">
        <v>177</v>
      </c>
      <c r="AG629" t="s">
        <v>173</v>
      </c>
      <c r="AH629" t="s">
        <v>173</v>
      </c>
      <c r="AI629" t="s">
        <v>175</v>
      </c>
      <c r="AJ629" t="s">
        <v>179</v>
      </c>
      <c r="AK629" t="s">
        <v>175</v>
      </c>
      <c r="AL629" t="s">
        <v>173</v>
      </c>
      <c r="AM629" t="s">
        <v>177</v>
      </c>
      <c r="AN629" t="s">
        <v>183</v>
      </c>
      <c r="AO629" t="s">
        <v>179</v>
      </c>
      <c r="AP629" t="s">
        <v>177</v>
      </c>
      <c r="AQ629" t="s">
        <v>177</v>
      </c>
      <c r="AR629" t="s">
        <v>177</v>
      </c>
      <c r="AS629" t="s">
        <v>179</v>
      </c>
      <c r="AT629" t="s">
        <v>177</v>
      </c>
      <c r="AU629" t="s">
        <v>175</v>
      </c>
      <c r="AV629" t="s">
        <v>183</v>
      </c>
      <c r="AW629" t="s">
        <v>175</v>
      </c>
      <c r="AX629" t="s">
        <v>192</v>
      </c>
      <c r="AY629" t="s">
        <v>195</v>
      </c>
    </row>
    <row r="630" hidden="1" spans="1:56">
      <c r="A630">
        <v>629</v>
      </c>
      <c r="B630" t="s">
        <v>259</v>
      </c>
      <c r="C630">
        <v>2024</v>
      </c>
      <c r="D630">
        <v>1985</v>
      </c>
      <c r="E630">
        <v>2016</v>
      </c>
      <c r="F630" t="s">
        <v>256</v>
      </c>
      <c r="G630" t="s">
        <v>257</v>
      </c>
      <c r="H630" t="s">
        <v>264</v>
      </c>
      <c r="I630"/>
      <c r="J630" t="s">
        <v>252</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1</v>
      </c>
      <c r="AC630" t="s">
        <v>171</v>
      </c>
      <c r="AD630" t="s">
        <v>175</v>
      </c>
      <c r="AE630" t="s">
        <v>173</v>
      </c>
      <c r="AF630" t="s">
        <v>171</v>
      </c>
      <c r="AG630" t="s">
        <v>181</v>
      </c>
      <c r="AH630" t="s">
        <v>179</v>
      </c>
      <c r="AI630" t="s">
        <v>173</v>
      </c>
      <c r="AJ630" t="s">
        <v>171</v>
      </c>
      <c r="AK630" t="s">
        <v>171</v>
      </c>
      <c r="AL630" t="s">
        <v>173</v>
      </c>
      <c r="AM630" t="s">
        <v>171</v>
      </c>
      <c r="AN630" t="s">
        <v>173</v>
      </c>
      <c r="AO630" t="s">
        <v>171</v>
      </c>
      <c r="AP630" t="s">
        <v>171</v>
      </c>
      <c r="AQ630" t="s">
        <v>171</v>
      </c>
      <c r="AR630" t="s">
        <v>171</v>
      </c>
      <c r="AS630" t="s">
        <v>171</v>
      </c>
      <c r="AT630" t="s">
        <v>171</v>
      </c>
      <c r="AU630" t="s">
        <v>171</v>
      </c>
      <c r="AV630" t="s">
        <v>173</v>
      </c>
      <c r="AW630" t="s">
        <v>173</v>
      </c>
      <c r="AX630" t="s">
        <v>193</v>
      </c>
      <c r="AY630" t="s">
        <v>195</v>
      </c>
      <c r="AZ630" t="s">
        <v>183</v>
      </c>
      <c r="BA630" t="s">
        <v>183</v>
      </c>
      <c r="BB630" t="s">
        <v>183</v>
      </c>
      <c r="BC630" t="s">
        <v>183</v>
      </c>
      <c r="BD630" t="s">
        <v>208</v>
      </c>
    </row>
    <row r="631" hidden="1" spans="1:51">
      <c r="A631">
        <v>630</v>
      </c>
      <c r="B631" t="s">
        <v>259</v>
      </c>
      <c r="C631">
        <v>2023</v>
      </c>
      <c r="D631">
        <v>2000</v>
      </c>
      <c r="E631">
        <v>2001</v>
      </c>
      <c r="F631" t="s">
        <v>266</v>
      </c>
      <c r="G631"/>
      <c r="H631" t="s">
        <v>274</v>
      </c>
      <c r="I631"/>
      <c r="J631" t="s">
        <v>265</v>
      </c>
      <c r="K631" t="b">
        <v>0</v>
      </c>
      <c r="L631" t="b">
        <v>0</v>
      </c>
      <c r="M631" t="b">
        <v>1</v>
      </c>
      <c r="N631" t="b">
        <v>0</v>
      </c>
      <c r="O631" t="b">
        <v>1</v>
      </c>
      <c r="P631" t="b">
        <v>0</v>
      </c>
      <c r="Q631" t="b">
        <v>1</v>
      </c>
      <c r="R631" t="b">
        <v>0</v>
      </c>
      <c r="S631" t="b">
        <v>0</v>
      </c>
      <c r="T631" t="b">
        <v>0</v>
      </c>
      <c r="U631" t="b">
        <v>0</v>
      </c>
      <c r="V631" t="b">
        <v>0</v>
      </c>
      <c r="W631" t="b">
        <v>0</v>
      </c>
      <c r="X631" t="b">
        <v>0</v>
      </c>
      <c r="Y631" t="b">
        <v>0</v>
      </c>
      <c r="Z631" t="b">
        <v>0</v>
      </c>
      <c r="AA631" t="b">
        <v>0</v>
      </c>
      <c r="AB631" t="b">
        <v>0</v>
      </c>
      <c r="AC631" t="s">
        <v>173</v>
      </c>
      <c r="AD631" t="s">
        <v>179</v>
      </c>
      <c r="AE631" t="s">
        <v>179</v>
      </c>
      <c r="AF631" t="s">
        <v>179</v>
      </c>
      <c r="AG631" t="s">
        <v>173</v>
      </c>
      <c r="AH631" t="s">
        <v>175</v>
      </c>
      <c r="AI631" t="s">
        <v>175</v>
      </c>
      <c r="AJ631" t="s">
        <v>179</v>
      </c>
      <c r="AK631" t="s">
        <v>175</v>
      </c>
      <c r="AL631" t="s">
        <v>175</v>
      </c>
      <c r="AM631" t="s">
        <v>177</v>
      </c>
      <c r="AN631" t="s">
        <v>177</v>
      </c>
      <c r="AO631" t="s">
        <v>177</v>
      </c>
      <c r="AP631" t="s">
        <v>179</v>
      </c>
      <c r="AQ631" t="s">
        <v>177</v>
      </c>
      <c r="AR631" t="s">
        <v>179</v>
      </c>
      <c r="AS631" t="s">
        <v>179</v>
      </c>
      <c r="AT631" t="s">
        <v>179</v>
      </c>
      <c r="AU631" t="s">
        <v>179</v>
      </c>
      <c r="AV631" t="s">
        <v>179</v>
      </c>
      <c r="AW631" t="s">
        <v>175</v>
      </c>
      <c r="AX631" t="s">
        <v>192</v>
      </c>
      <c r="AY631" t="s">
        <v>196</v>
      </c>
    </row>
    <row r="632" hidden="1" spans="1:51">
      <c r="A632">
        <v>631</v>
      </c>
      <c r="B632" t="s">
        <v>259</v>
      </c>
      <c r="C632">
        <v>2023</v>
      </c>
      <c r="D632">
        <v>2016</v>
      </c>
      <c r="E632">
        <v>2016</v>
      </c>
      <c r="F632" t="s">
        <v>275</v>
      </c>
      <c r="G632"/>
      <c r="H632" t="s">
        <v>264</v>
      </c>
      <c r="I632"/>
      <c r="J632" t="s">
        <v>252</v>
      </c>
      <c r="K632" t="b">
        <v>0</v>
      </c>
      <c r="L632" t="b">
        <v>0</v>
      </c>
      <c r="M632" t="b">
        <v>0</v>
      </c>
      <c r="N632" t="b">
        <v>0</v>
      </c>
      <c r="O632" t="b">
        <v>0</v>
      </c>
      <c r="P632" t="b">
        <v>0</v>
      </c>
      <c r="Q632" t="b">
        <v>0</v>
      </c>
      <c r="R632" t="b">
        <v>0</v>
      </c>
      <c r="S632" t="b">
        <v>0</v>
      </c>
      <c r="T632" t="b">
        <v>0</v>
      </c>
      <c r="U632" t="b">
        <v>0</v>
      </c>
      <c r="V632" t="b">
        <v>0</v>
      </c>
      <c r="W632" t="b">
        <v>1</v>
      </c>
      <c r="X632" t="b">
        <v>1</v>
      </c>
      <c r="Y632" t="b">
        <v>0</v>
      </c>
      <c r="Z632" t="b">
        <v>1</v>
      </c>
      <c r="AA632" t="b">
        <v>0</v>
      </c>
      <c r="AB632" t="b">
        <v>0</v>
      </c>
      <c r="AC632" t="s">
        <v>173</v>
      </c>
      <c r="AD632" t="s">
        <v>175</v>
      </c>
      <c r="AE632" t="s">
        <v>175</v>
      </c>
      <c r="AF632" t="s">
        <v>173</v>
      </c>
      <c r="AG632" t="s">
        <v>173</v>
      </c>
      <c r="AH632" t="s">
        <v>173</v>
      </c>
      <c r="AI632" t="s">
        <v>175</v>
      </c>
      <c r="AJ632" t="s">
        <v>173</v>
      </c>
      <c r="AK632" t="s">
        <v>175</v>
      </c>
      <c r="AL632" t="s">
        <v>173</v>
      </c>
      <c r="AM632" t="s">
        <v>173</v>
      </c>
      <c r="AN632" t="s">
        <v>173</v>
      </c>
      <c r="AO632" t="s">
        <v>173</v>
      </c>
      <c r="AP632" t="s">
        <v>173</v>
      </c>
      <c r="AQ632" t="s">
        <v>173</v>
      </c>
      <c r="AR632" t="s">
        <v>175</v>
      </c>
      <c r="AS632" t="s">
        <v>173</v>
      </c>
      <c r="AT632" t="s">
        <v>173</v>
      </c>
      <c r="AU632" t="s">
        <v>173</v>
      </c>
      <c r="AV632" t="s">
        <v>171</v>
      </c>
      <c r="AW632" t="s">
        <v>171</v>
      </c>
      <c r="AX632" t="s">
        <v>192</v>
      </c>
      <c r="AY632" t="s">
        <v>195</v>
      </c>
    </row>
    <row r="633" hidden="1" spans="1:56">
      <c r="A633">
        <v>632</v>
      </c>
      <c r="B633" t="s">
        <v>255</v>
      </c>
      <c r="C633">
        <v>2023</v>
      </c>
      <c r="D633">
        <v>2015</v>
      </c>
      <c r="E633">
        <v>2017</v>
      </c>
      <c r="F633" t="s">
        <v>266</v>
      </c>
      <c r="G633"/>
      <c r="H633" t="s">
        <v>261</v>
      </c>
      <c r="I633"/>
      <c r="J633" t="s">
        <v>265</v>
      </c>
      <c r="K633" t="b">
        <v>0</v>
      </c>
      <c r="L633" t="b">
        <v>0</v>
      </c>
      <c r="M633" t="b">
        <v>0</v>
      </c>
      <c r="N633" t="b">
        <v>0</v>
      </c>
      <c r="O633" t="b">
        <v>0</v>
      </c>
      <c r="P633" t="b">
        <v>1</v>
      </c>
      <c r="Q633" t="b">
        <v>0</v>
      </c>
      <c r="R633" t="b">
        <v>0</v>
      </c>
      <c r="S633" t="b">
        <v>0</v>
      </c>
      <c r="T633" t="b">
        <v>1</v>
      </c>
      <c r="U633" t="b">
        <v>0</v>
      </c>
      <c r="V633" t="b">
        <v>0</v>
      </c>
      <c r="W633" t="b">
        <v>0</v>
      </c>
      <c r="X633" t="b">
        <v>1</v>
      </c>
      <c r="Y633" t="b">
        <v>0</v>
      </c>
      <c r="Z633" t="b">
        <v>0</v>
      </c>
      <c r="AA633" t="b">
        <v>0</v>
      </c>
      <c r="AB633" t="b">
        <v>0</v>
      </c>
      <c r="AC633" t="s">
        <v>179</v>
      </c>
      <c r="AD633" t="s">
        <v>179</v>
      </c>
      <c r="AE633" t="s">
        <v>177</v>
      </c>
      <c r="AF633" t="s">
        <v>179</v>
      </c>
      <c r="AG633" t="s">
        <v>179</v>
      </c>
      <c r="AH633" t="s">
        <v>179</v>
      </c>
      <c r="AI633" t="s">
        <v>175</v>
      </c>
      <c r="AJ633" t="s">
        <v>179</v>
      </c>
      <c r="AK633" t="s">
        <v>179</v>
      </c>
      <c r="AL633" t="s">
        <v>179</v>
      </c>
      <c r="AM633" t="s">
        <v>179</v>
      </c>
      <c r="AN633" t="s">
        <v>175</v>
      </c>
      <c r="AO633" t="s">
        <v>179</v>
      </c>
      <c r="AP633" t="s">
        <v>171</v>
      </c>
      <c r="AQ633" t="s">
        <v>175</v>
      </c>
      <c r="AR633" t="s">
        <v>179</v>
      </c>
      <c r="AS633" t="s">
        <v>179</v>
      </c>
      <c r="AT633" t="s">
        <v>179</v>
      </c>
      <c r="AU633" t="s">
        <v>175</v>
      </c>
      <c r="AV633" t="s">
        <v>179</v>
      </c>
      <c r="AW633" t="s">
        <v>177</v>
      </c>
      <c r="AX633" t="s">
        <v>193</v>
      </c>
      <c r="AY633" t="s">
        <v>199</v>
      </c>
      <c r="AZ633" t="s">
        <v>183</v>
      </c>
      <c r="BA633" t="s">
        <v>183</v>
      </c>
      <c r="BB633" t="s">
        <v>183</v>
      </c>
      <c r="BC633" t="s">
        <v>208</v>
      </c>
      <c r="BD633" t="s">
        <v>183</v>
      </c>
    </row>
    <row r="634" hidden="1" spans="1:51">
      <c r="A634">
        <v>633</v>
      </c>
      <c r="B634" t="s">
        <v>288</v>
      </c>
      <c r="C634">
        <v>2023</v>
      </c>
      <c r="D634">
        <v>2021</v>
      </c>
      <c r="E634">
        <v>2022</v>
      </c>
      <c r="F634" t="s">
        <v>266</v>
      </c>
      <c r="G634"/>
      <c r="H634" t="s">
        <v>264</v>
      </c>
      <c r="I634"/>
      <c r="J634" t="s">
        <v>281</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1</v>
      </c>
      <c r="AC634" t="s">
        <v>173</v>
      </c>
      <c r="AD634" t="s">
        <v>173</v>
      </c>
      <c r="AE634" t="s">
        <v>171</v>
      </c>
      <c r="AF634" t="s">
        <v>173</v>
      </c>
      <c r="AG634" t="s">
        <v>171</v>
      </c>
      <c r="AH634" t="s">
        <v>171</v>
      </c>
      <c r="AI634" t="s">
        <v>173</v>
      </c>
      <c r="AJ634" t="s">
        <v>171</v>
      </c>
      <c r="AK634" t="s">
        <v>171</v>
      </c>
      <c r="AL634" t="s">
        <v>171</v>
      </c>
      <c r="AM634" t="s">
        <v>173</v>
      </c>
      <c r="AN634" t="s">
        <v>175</v>
      </c>
      <c r="AO634" t="s">
        <v>175</v>
      </c>
      <c r="AP634" t="s">
        <v>171</v>
      </c>
      <c r="AQ634" t="s">
        <v>171</v>
      </c>
      <c r="AR634" t="s">
        <v>171</v>
      </c>
      <c r="AS634" t="s">
        <v>173</v>
      </c>
      <c r="AT634" t="s">
        <v>171</v>
      </c>
      <c r="AU634" t="s">
        <v>173</v>
      </c>
      <c r="AV634" t="s">
        <v>173</v>
      </c>
      <c r="AW634" t="s">
        <v>171</v>
      </c>
      <c r="AX634" t="s">
        <v>192</v>
      </c>
      <c r="AY634" t="s">
        <v>195</v>
      </c>
    </row>
    <row r="635" hidden="1" spans="1:51">
      <c r="A635">
        <v>634</v>
      </c>
      <c r="B635" t="s">
        <v>280</v>
      </c>
      <c r="C635">
        <v>2023</v>
      </c>
      <c r="D635">
        <v>2000</v>
      </c>
      <c r="E635">
        <v>2000</v>
      </c>
      <c r="F635" t="s">
        <v>275</v>
      </c>
      <c r="G635"/>
      <c r="H635" t="s">
        <v>267</v>
      </c>
      <c r="I635"/>
      <c r="J635" t="s">
        <v>265</v>
      </c>
      <c r="K635" t="b">
        <v>0</v>
      </c>
      <c r="L635" t="b">
        <v>0</v>
      </c>
      <c r="M635" t="b">
        <v>0</v>
      </c>
      <c r="N635" t="b">
        <v>0</v>
      </c>
      <c r="O635" t="b">
        <v>0</v>
      </c>
      <c r="P635" t="b">
        <v>0</v>
      </c>
      <c r="Q635" t="b">
        <v>0</v>
      </c>
      <c r="R635" t="b">
        <v>0</v>
      </c>
      <c r="S635" t="b">
        <v>0</v>
      </c>
      <c r="T635" t="b">
        <v>0</v>
      </c>
      <c r="U635" t="b">
        <v>0</v>
      </c>
      <c r="V635" t="b">
        <v>0</v>
      </c>
      <c r="W635" t="b">
        <v>0</v>
      </c>
      <c r="X635" t="b">
        <v>1</v>
      </c>
      <c r="Y635" t="b">
        <v>0</v>
      </c>
      <c r="Z635" t="b">
        <v>0</v>
      </c>
      <c r="AA635" t="b">
        <v>0</v>
      </c>
      <c r="AB635" t="b">
        <v>0</v>
      </c>
      <c r="AC635" t="s">
        <v>173</v>
      </c>
      <c r="AD635" t="s">
        <v>173</v>
      </c>
      <c r="AE635" t="s">
        <v>173</v>
      </c>
      <c r="AF635" t="s">
        <v>173</v>
      </c>
      <c r="AG635" t="s">
        <v>173</v>
      </c>
      <c r="AH635" t="s">
        <v>173</v>
      </c>
      <c r="AI635" t="s">
        <v>173</v>
      </c>
      <c r="AJ635" t="s">
        <v>173</v>
      </c>
      <c r="AK635" t="s">
        <v>173</v>
      </c>
      <c r="AL635" t="s">
        <v>173</v>
      </c>
      <c r="AM635" t="s">
        <v>173</v>
      </c>
      <c r="AN635" t="s">
        <v>173</v>
      </c>
      <c r="AO635" t="s">
        <v>173</v>
      </c>
      <c r="AP635" t="s">
        <v>173</v>
      </c>
      <c r="AQ635" t="s">
        <v>173</v>
      </c>
      <c r="AR635" t="s">
        <v>173</v>
      </c>
      <c r="AS635" t="s">
        <v>173</v>
      </c>
      <c r="AT635" t="s">
        <v>173</v>
      </c>
      <c r="AU635" t="s">
        <v>173</v>
      </c>
      <c r="AV635" t="s">
        <v>173</v>
      </c>
      <c r="AW635" t="s">
        <v>173</v>
      </c>
      <c r="AX635" t="s">
        <v>192</v>
      </c>
      <c r="AY635" t="s">
        <v>196</v>
      </c>
    </row>
    <row r="636" hidden="1" spans="1:51">
      <c r="A636">
        <v>635</v>
      </c>
      <c r="B636" t="s">
        <v>259</v>
      </c>
      <c r="C636">
        <v>2023</v>
      </c>
      <c r="D636">
        <v>1991</v>
      </c>
      <c r="E636">
        <v>1991</v>
      </c>
      <c r="F636" t="s">
        <v>275</v>
      </c>
      <c r="G636"/>
      <c r="H636" t="s">
        <v>273</v>
      </c>
      <c r="I636"/>
      <c r="J636" t="s">
        <v>265</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1</v>
      </c>
      <c r="AC636" t="s">
        <v>171</v>
      </c>
      <c r="AD636" t="s">
        <v>183</v>
      </c>
      <c r="AE636" t="s">
        <v>171</v>
      </c>
      <c r="AF636" t="s">
        <v>171</v>
      </c>
      <c r="AG636" t="s">
        <v>171</v>
      </c>
      <c r="AH636" t="s">
        <v>171</v>
      </c>
      <c r="AI636" t="s">
        <v>171</v>
      </c>
      <c r="AJ636" t="s">
        <v>171</v>
      </c>
      <c r="AK636" t="s">
        <v>171</v>
      </c>
      <c r="AL636" t="s">
        <v>171</v>
      </c>
      <c r="AM636" t="s">
        <v>171</v>
      </c>
      <c r="AN636" t="s">
        <v>171</v>
      </c>
      <c r="AO636" t="s">
        <v>171</v>
      </c>
      <c r="AP636" t="s">
        <v>171</v>
      </c>
      <c r="AQ636" t="s">
        <v>171</v>
      </c>
      <c r="AR636" t="s">
        <v>171</v>
      </c>
      <c r="AS636" t="s">
        <v>171</v>
      </c>
      <c r="AT636" t="s">
        <v>171</v>
      </c>
      <c r="AU636" t="s">
        <v>171</v>
      </c>
      <c r="AV636" t="s">
        <v>171</v>
      </c>
      <c r="AW636" t="s">
        <v>171</v>
      </c>
      <c r="AX636" t="s">
        <v>192</v>
      </c>
      <c r="AY636" t="s">
        <v>195</v>
      </c>
    </row>
    <row r="637" hidden="1" spans="1:51">
      <c r="A637">
        <v>636</v>
      </c>
      <c r="B637" t="s">
        <v>259</v>
      </c>
      <c r="C637">
        <v>2023</v>
      </c>
      <c r="D637">
        <v>1985</v>
      </c>
      <c r="E637">
        <v>1988</v>
      </c>
      <c r="F637" t="s">
        <v>256</v>
      </c>
      <c r="G637" t="s">
        <v>257</v>
      </c>
      <c r="H637" t="s">
        <v>267</v>
      </c>
      <c r="I637"/>
      <c r="J637" t="s">
        <v>252</v>
      </c>
      <c r="K637" t="b">
        <v>0</v>
      </c>
      <c r="L637" t="b">
        <v>0</v>
      </c>
      <c r="M637" t="b">
        <v>0</v>
      </c>
      <c r="N637" t="b">
        <v>0</v>
      </c>
      <c r="O637" t="b">
        <v>0</v>
      </c>
      <c r="P637" t="b">
        <v>0</v>
      </c>
      <c r="Q637" t="b">
        <v>0</v>
      </c>
      <c r="R637" t="b">
        <v>0</v>
      </c>
      <c r="S637" t="b">
        <v>0</v>
      </c>
      <c r="T637" t="b">
        <v>0</v>
      </c>
      <c r="U637" t="b">
        <v>0</v>
      </c>
      <c r="V637" t="b">
        <v>0</v>
      </c>
      <c r="W637" t="b">
        <v>0</v>
      </c>
      <c r="X637" t="b">
        <v>0</v>
      </c>
      <c r="Y637" t="b">
        <v>1</v>
      </c>
      <c r="Z637" t="b">
        <v>1</v>
      </c>
      <c r="AA637" t="b">
        <v>1</v>
      </c>
      <c r="AB637" t="b">
        <v>0</v>
      </c>
      <c r="AC637" t="s">
        <v>175</v>
      </c>
      <c r="AD637" t="s">
        <v>175</v>
      </c>
      <c r="AE637" t="s">
        <v>177</v>
      </c>
      <c r="AF637" t="s">
        <v>173</v>
      </c>
      <c r="AG637" t="s">
        <v>173</v>
      </c>
      <c r="AH637" t="s">
        <v>177</v>
      </c>
      <c r="AI637" t="s">
        <v>177</v>
      </c>
      <c r="AJ637" t="s">
        <v>177</v>
      </c>
      <c r="AK637" t="s">
        <v>171</v>
      </c>
      <c r="AL637" t="s">
        <v>175</v>
      </c>
      <c r="AM637" t="s">
        <v>173</v>
      </c>
      <c r="AN637" t="s">
        <v>173</v>
      </c>
      <c r="AO637" t="s">
        <v>175</v>
      </c>
      <c r="AP637" t="s">
        <v>175</v>
      </c>
      <c r="AQ637" t="s">
        <v>175</v>
      </c>
      <c r="AR637" t="s">
        <v>175</v>
      </c>
      <c r="AS637" t="s">
        <v>177</v>
      </c>
      <c r="AT637" t="s">
        <v>175</v>
      </c>
      <c r="AU637" t="s">
        <v>175</v>
      </c>
      <c r="AV637" t="s">
        <v>183</v>
      </c>
      <c r="AW637" t="s">
        <v>175</v>
      </c>
      <c r="AX637" t="s">
        <v>192</v>
      </c>
      <c r="AY637" t="s">
        <v>197</v>
      </c>
    </row>
    <row r="638" hidden="1" spans="1:51">
      <c r="A638">
        <v>637</v>
      </c>
      <c r="B638" t="s">
        <v>259</v>
      </c>
      <c r="C638">
        <v>2024</v>
      </c>
      <c r="D638">
        <v>2009</v>
      </c>
      <c r="E638">
        <v>2009</v>
      </c>
      <c r="F638" t="s">
        <v>275</v>
      </c>
      <c r="G638"/>
      <c r="H638" t="s">
        <v>273</v>
      </c>
      <c r="I638"/>
      <c r="J638" t="s">
        <v>265</v>
      </c>
      <c r="K638" t="b">
        <v>0</v>
      </c>
      <c r="L638" t="b">
        <v>0</v>
      </c>
      <c r="M638" t="b">
        <v>0</v>
      </c>
      <c r="N638" t="b">
        <v>0</v>
      </c>
      <c r="O638" t="b">
        <v>0</v>
      </c>
      <c r="P638" t="b">
        <v>0</v>
      </c>
      <c r="Q638" t="b">
        <v>0</v>
      </c>
      <c r="R638" t="b">
        <v>0</v>
      </c>
      <c r="S638" t="b">
        <v>0</v>
      </c>
      <c r="T638" t="b">
        <v>0</v>
      </c>
      <c r="U638" t="b">
        <v>0</v>
      </c>
      <c r="V638" t="b">
        <v>0</v>
      </c>
      <c r="W638" t="b">
        <v>0</v>
      </c>
      <c r="X638" t="b">
        <v>0</v>
      </c>
      <c r="Y638" t="b">
        <v>0</v>
      </c>
      <c r="Z638" t="b">
        <v>1</v>
      </c>
      <c r="AA638" t="b">
        <v>0</v>
      </c>
      <c r="AB638" t="b">
        <v>0</v>
      </c>
      <c r="AC638" t="s">
        <v>173</v>
      </c>
      <c r="AD638" t="s">
        <v>183</v>
      </c>
      <c r="AE638" t="s">
        <v>173</v>
      </c>
      <c r="AF638" t="s">
        <v>173</v>
      </c>
      <c r="AG638" t="s">
        <v>173</v>
      </c>
      <c r="AH638" t="s">
        <v>173</v>
      </c>
      <c r="AI638" t="s">
        <v>173</v>
      </c>
      <c r="AJ638" t="s">
        <v>173</v>
      </c>
      <c r="AK638" t="s">
        <v>173</v>
      </c>
      <c r="AL638" t="s">
        <v>173</v>
      </c>
      <c r="AM638" t="s">
        <v>173</v>
      </c>
      <c r="AN638" t="s">
        <v>173</v>
      </c>
      <c r="AO638" t="s">
        <v>183</v>
      </c>
      <c r="AP638" t="s">
        <v>173</v>
      </c>
      <c r="AQ638" t="s">
        <v>183</v>
      </c>
      <c r="AR638" t="s">
        <v>173</v>
      </c>
      <c r="AS638" t="s">
        <v>173</v>
      </c>
      <c r="AT638" t="s">
        <v>173</v>
      </c>
      <c r="AU638" t="s">
        <v>173</v>
      </c>
      <c r="AV638" t="s">
        <v>173</v>
      </c>
      <c r="AW638" t="s">
        <v>173</v>
      </c>
      <c r="AX638" t="s">
        <v>192</v>
      </c>
      <c r="AY638" t="s">
        <v>195</v>
      </c>
    </row>
    <row r="639" hidden="1" spans="1:51">
      <c r="A639">
        <v>638</v>
      </c>
      <c r="B639" t="s">
        <v>255</v>
      </c>
      <c r="C639">
        <v>2023</v>
      </c>
      <c r="D639">
        <v>2022</v>
      </c>
      <c r="E639">
        <v>2022</v>
      </c>
      <c r="F639" t="s">
        <v>266</v>
      </c>
      <c r="G639"/>
      <c r="H639" t="s">
        <v>264</v>
      </c>
      <c r="I639"/>
      <c r="J639" t="s">
        <v>313</v>
      </c>
      <c r="K639" t="b">
        <v>0</v>
      </c>
      <c r="L639" t="b">
        <v>0</v>
      </c>
      <c r="M639" t="b">
        <v>0</v>
      </c>
      <c r="N639" t="b">
        <v>0</v>
      </c>
      <c r="O639" t="b">
        <v>0</v>
      </c>
      <c r="P639" t="b">
        <v>0</v>
      </c>
      <c r="Q639" t="b">
        <v>0</v>
      </c>
      <c r="R639" t="b">
        <v>0</v>
      </c>
      <c r="S639" t="b">
        <v>0</v>
      </c>
      <c r="T639" t="b">
        <v>0</v>
      </c>
      <c r="U639" t="b">
        <v>0</v>
      </c>
      <c r="V639" t="b">
        <v>0</v>
      </c>
      <c r="W639" t="b">
        <v>1</v>
      </c>
      <c r="X639" t="b">
        <v>0</v>
      </c>
      <c r="Y639" t="b">
        <v>0</v>
      </c>
      <c r="Z639" t="b">
        <v>0</v>
      </c>
      <c r="AA639" t="b">
        <v>0</v>
      </c>
      <c r="AB639" t="b">
        <v>0</v>
      </c>
      <c r="AC639" t="s">
        <v>171</v>
      </c>
      <c r="AD639" t="s">
        <v>175</v>
      </c>
      <c r="AE639" t="s">
        <v>171</v>
      </c>
      <c r="AF639" t="s">
        <v>171</v>
      </c>
      <c r="AG639" t="s">
        <v>171</v>
      </c>
      <c r="AH639" t="s">
        <v>171</v>
      </c>
      <c r="AI639" t="s">
        <v>171</v>
      </c>
      <c r="AJ639" t="s">
        <v>171</v>
      </c>
      <c r="AK639" t="s">
        <v>171</v>
      </c>
      <c r="AL639" t="s">
        <v>171</v>
      </c>
      <c r="AM639" t="s">
        <v>171</v>
      </c>
      <c r="AN639" t="s">
        <v>171</v>
      </c>
      <c r="AO639" t="s">
        <v>171</v>
      </c>
      <c r="AP639" t="s">
        <v>171</v>
      </c>
      <c r="AQ639" t="s">
        <v>171</v>
      </c>
      <c r="AR639" t="s">
        <v>171</v>
      </c>
      <c r="AS639" t="s">
        <v>171</v>
      </c>
      <c r="AT639" t="s">
        <v>171</v>
      </c>
      <c r="AU639" t="s">
        <v>171</v>
      </c>
      <c r="AV639" t="s">
        <v>175</v>
      </c>
      <c r="AW639" t="s">
        <v>175</v>
      </c>
      <c r="AX639" t="s">
        <v>192</v>
      </c>
      <c r="AY639" t="s">
        <v>201</v>
      </c>
    </row>
    <row r="640" spans="1:65">
      <c r="A640">
        <v>639</v>
      </c>
      <c r="B640" t="s">
        <v>270</v>
      </c>
      <c r="C640" s="10">
        <v>2024</v>
      </c>
      <c r="D640" s="10">
        <v>1981</v>
      </c>
      <c r="E640" s="10">
        <v>1981</v>
      </c>
      <c r="F640" s="10" t="s">
        <v>256</v>
      </c>
      <c r="G640" s="10" t="s">
        <v>263</v>
      </c>
      <c r="H640" s="10" t="s">
        <v>243</v>
      </c>
      <c r="I640" s="10" t="s">
        <v>271</v>
      </c>
      <c r="J640" s="10" t="s">
        <v>302</v>
      </c>
      <c r="K640" t="b">
        <v>0</v>
      </c>
      <c r="L640" t="b">
        <v>0</v>
      </c>
      <c r="M640" t="b">
        <v>0</v>
      </c>
      <c r="N640" t="b">
        <v>0</v>
      </c>
      <c r="O640" t="b">
        <v>0</v>
      </c>
      <c r="P640" t="b">
        <v>0</v>
      </c>
      <c r="Q640" t="b">
        <v>0</v>
      </c>
      <c r="R640" t="b">
        <v>0</v>
      </c>
      <c r="S640" t="b">
        <v>0</v>
      </c>
      <c r="T640" t="b">
        <v>0</v>
      </c>
      <c r="U640" t="b">
        <v>0</v>
      </c>
      <c r="V640" t="b">
        <v>0</v>
      </c>
      <c r="W640" t="b">
        <v>0</v>
      </c>
      <c r="X640" t="b">
        <v>0</v>
      </c>
      <c r="Y640" t="b">
        <v>0</v>
      </c>
      <c r="Z640" t="b">
        <v>1</v>
      </c>
      <c r="AA640" t="b">
        <v>0</v>
      </c>
      <c r="AB640" t="b">
        <v>0</v>
      </c>
      <c r="AC640" s="10" t="s">
        <v>173</v>
      </c>
      <c r="AD640" t="s">
        <v>173</v>
      </c>
      <c r="AE640" t="s">
        <v>175</v>
      </c>
      <c r="AF640" t="s">
        <v>173</v>
      </c>
      <c r="AG640" t="s">
        <v>173</v>
      </c>
      <c r="AH640" t="s">
        <v>173</v>
      </c>
      <c r="AI640" t="s">
        <v>173</v>
      </c>
      <c r="AJ640" t="s">
        <v>173</v>
      </c>
      <c r="AK640" t="s">
        <v>173</v>
      </c>
      <c r="AL640" t="s">
        <v>173</v>
      </c>
      <c r="AM640" t="s">
        <v>173</v>
      </c>
      <c r="AN640" t="s">
        <v>173</v>
      </c>
      <c r="AO640" t="s">
        <v>173</v>
      </c>
      <c r="AP640" t="s">
        <v>173</v>
      </c>
      <c r="AQ640" t="s">
        <v>173</v>
      </c>
      <c r="AR640" t="s">
        <v>173</v>
      </c>
      <c r="AS640" t="s">
        <v>173</v>
      </c>
      <c r="AT640" t="s">
        <v>173</v>
      </c>
      <c r="AU640" t="s">
        <v>173</v>
      </c>
      <c r="AV640" t="s">
        <v>175</v>
      </c>
      <c r="AW640" t="s">
        <v>175</v>
      </c>
      <c r="AX640" t="s">
        <v>193</v>
      </c>
      <c r="AY640" t="s">
        <v>204</v>
      </c>
      <c r="BE640" t="str">
        <f>IF(AY640="","Unknown",AY640)</f>
        <v>61Not StatedorNot Statedolder</v>
      </c>
      <c r="BF640" s="11" t="str">
        <f>IF(AZ640="","unknown",AZ640)</f>
        <v>unknown</v>
      </c>
      <c r="BG640" s="11" t="str">
        <f>IF(BA640="","UNKNOWN",BA640)</f>
        <v>UNKNOWN</v>
      </c>
      <c r="BH640" s="11" t="str">
        <f>IF(BB640="","unknown",BB640)</f>
        <v>unknown</v>
      </c>
      <c r="BI640" s="11" t="str">
        <f>IF(BC640="","Unknon",BC640)</f>
        <v>Unknon</v>
      </c>
      <c r="BJ640" s="11" t="str">
        <f>IF(BD640="","Unknown",BD640)</f>
        <v>Unknown</v>
      </c>
      <c r="BK640" s="11">
        <f>VALUE(C640)-VALUE(D640)</f>
        <v>43</v>
      </c>
      <c r="BM640" s="11"/>
    </row>
    <row r="641" hidden="1" spans="1:51">
      <c r="A641">
        <v>640</v>
      </c>
      <c r="B641" t="s">
        <v>259</v>
      </c>
      <c r="C641">
        <v>2023</v>
      </c>
      <c r="D641">
        <v>1982</v>
      </c>
      <c r="E641">
        <v>2013</v>
      </c>
      <c r="F641" t="s">
        <v>291</v>
      </c>
      <c r="G641"/>
      <c r="H641" t="s">
        <v>274</v>
      </c>
      <c r="I641"/>
      <c r="J641" t="s">
        <v>252</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1</v>
      </c>
      <c r="AC641" t="s">
        <v>173</v>
      </c>
      <c r="AD641" t="s">
        <v>173</v>
      </c>
      <c r="AE641" t="s">
        <v>173</v>
      </c>
      <c r="AF641" t="s">
        <v>173</v>
      </c>
      <c r="AG641" t="s">
        <v>173</v>
      </c>
      <c r="AH641" t="s">
        <v>173</v>
      </c>
      <c r="AI641" t="s">
        <v>173</v>
      </c>
      <c r="AJ641" t="s">
        <v>173</v>
      </c>
      <c r="AK641" t="s">
        <v>173</v>
      </c>
      <c r="AL641" t="s">
        <v>173</v>
      </c>
      <c r="AM641" t="s">
        <v>173</v>
      </c>
      <c r="AN641" t="s">
        <v>173</v>
      </c>
      <c r="AO641" t="s">
        <v>171</v>
      </c>
      <c r="AP641" t="s">
        <v>171</v>
      </c>
      <c r="AQ641" t="s">
        <v>171</v>
      </c>
      <c r="AR641" t="s">
        <v>171</v>
      </c>
      <c r="AS641" t="s">
        <v>171</v>
      </c>
      <c r="AT641" t="s">
        <v>171</v>
      </c>
      <c r="AU641" t="s">
        <v>171</v>
      </c>
      <c r="AV641" t="s">
        <v>171</v>
      </c>
      <c r="AW641" t="s">
        <v>171</v>
      </c>
      <c r="AX641" t="s">
        <v>192</v>
      </c>
      <c r="AY641" t="s">
        <v>196</v>
      </c>
    </row>
    <row r="642" hidden="1" spans="1:51">
      <c r="A642">
        <v>641</v>
      </c>
      <c r="B642" t="s">
        <v>282</v>
      </c>
      <c r="C642">
        <v>2023</v>
      </c>
      <c r="D642">
        <v>2016</v>
      </c>
      <c r="E642">
        <v>2016</v>
      </c>
      <c r="F642" t="s">
        <v>266</v>
      </c>
      <c r="G642"/>
      <c r="H642" t="s">
        <v>267</v>
      </c>
      <c r="I642"/>
      <c r="J642" t="s">
        <v>265</v>
      </c>
      <c r="K642" t="b">
        <v>0</v>
      </c>
      <c r="L642" t="b">
        <v>0</v>
      </c>
      <c r="M642" t="b">
        <v>0</v>
      </c>
      <c r="N642" t="b">
        <v>0</v>
      </c>
      <c r="O642" t="b">
        <v>0</v>
      </c>
      <c r="P642" t="b">
        <v>0</v>
      </c>
      <c r="Q642" t="b">
        <v>0</v>
      </c>
      <c r="R642" t="b">
        <v>0</v>
      </c>
      <c r="S642" t="b">
        <v>0</v>
      </c>
      <c r="T642" t="b">
        <v>0</v>
      </c>
      <c r="U642" t="b">
        <v>0</v>
      </c>
      <c r="V642" t="b">
        <v>0</v>
      </c>
      <c r="W642" t="b">
        <v>0</v>
      </c>
      <c r="X642" t="b">
        <v>1</v>
      </c>
      <c r="Y642" t="b">
        <v>0</v>
      </c>
      <c r="Z642" t="b">
        <v>0</v>
      </c>
      <c r="AA642" t="b">
        <v>0</v>
      </c>
      <c r="AB642" t="b">
        <v>0</v>
      </c>
      <c r="AC642" t="s">
        <v>173</v>
      </c>
      <c r="AD642" t="s">
        <v>175</v>
      </c>
      <c r="AE642" t="s">
        <v>177</v>
      </c>
      <c r="AF642" t="s">
        <v>173</v>
      </c>
      <c r="AG642" t="s">
        <v>173</v>
      </c>
      <c r="AH642" t="s">
        <v>173</v>
      </c>
      <c r="AI642" t="s">
        <v>173</v>
      </c>
      <c r="AJ642" t="s">
        <v>173</v>
      </c>
      <c r="AK642" t="s">
        <v>173</v>
      </c>
      <c r="AL642" t="s">
        <v>173</v>
      </c>
      <c r="AM642" t="s">
        <v>173</v>
      </c>
      <c r="AN642" t="s">
        <v>173</v>
      </c>
      <c r="AO642" t="s">
        <v>173</v>
      </c>
      <c r="AP642" t="s">
        <v>173</v>
      </c>
      <c r="AQ642" t="s">
        <v>173</v>
      </c>
      <c r="AR642" t="s">
        <v>173</v>
      </c>
      <c r="AS642" t="s">
        <v>173</v>
      </c>
      <c r="AT642" t="s">
        <v>173</v>
      </c>
      <c r="AU642" t="s">
        <v>173</v>
      </c>
      <c r="AV642" t="s">
        <v>173</v>
      </c>
      <c r="AW642" t="s">
        <v>173</v>
      </c>
      <c r="AX642" t="s">
        <v>192</v>
      </c>
      <c r="AY642" t="s">
        <v>199</v>
      </c>
    </row>
    <row r="643" hidden="1" spans="1:51">
      <c r="A643">
        <v>642</v>
      </c>
      <c r="B643" t="s">
        <v>272</v>
      </c>
      <c r="C643">
        <v>2023</v>
      </c>
      <c r="D643">
        <v>2019</v>
      </c>
      <c r="E643">
        <v>2019</v>
      </c>
      <c r="F643" t="s">
        <v>310</v>
      </c>
      <c r="G643"/>
      <c r="H643" t="s">
        <v>267</v>
      </c>
      <c r="I643"/>
      <c r="J643" t="s">
        <v>265</v>
      </c>
      <c r="K643" t="b">
        <v>0</v>
      </c>
      <c r="L643" t="b">
        <v>0</v>
      </c>
      <c r="M643" t="b">
        <v>0</v>
      </c>
      <c r="N643" t="b">
        <v>0</v>
      </c>
      <c r="O643" t="b">
        <v>0</v>
      </c>
      <c r="P643" t="b">
        <v>0</v>
      </c>
      <c r="Q643" t="b">
        <v>0</v>
      </c>
      <c r="R643" t="b">
        <v>0</v>
      </c>
      <c r="S643" t="b">
        <v>0</v>
      </c>
      <c r="T643" t="b">
        <v>0</v>
      </c>
      <c r="U643" t="b">
        <v>0</v>
      </c>
      <c r="V643" t="b">
        <v>1</v>
      </c>
      <c r="W643" t="b">
        <v>0</v>
      </c>
      <c r="X643" t="b">
        <v>0</v>
      </c>
      <c r="Y643" t="b">
        <v>0</v>
      </c>
      <c r="Z643" t="b">
        <v>0</v>
      </c>
      <c r="AA643" t="b">
        <v>0</v>
      </c>
      <c r="AB643" t="b">
        <v>0</v>
      </c>
      <c r="AC643" t="s">
        <v>173</v>
      </c>
      <c r="AD643" t="s">
        <v>177</v>
      </c>
      <c r="AE643" t="s">
        <v>177</v>
      </c>
      <c r="AF643" t="s">
        <v>183</v>
      </c>
      <c r="AG643" t="s">
        <v>173</v>
      </c>
      <c r="AH643" t="s">
        <v>173</v>
      </c>
      <c r="AI643" t="s">
        <v>173</v>
      </c>
      <c r="AJ643" t="s">
        <v>173</v>
      </c>
      <c r="AK643" t="s">
        <v>171</v>
      </c>
      <c r="AL643" t="s">
        <v>171</v>
      </c>
      <c r="AM643" t="s">
        <v>175</v>
      </c>
      <c r="AN643" t="s">
        <v>173</v>
      </c>
      <c r="AO643" t="s">
        <v>173</v>
      </c>
      <c r="AP643" t="s">
        <v>173</v>
      </c>
      <c r="AQ643" t="s">
        <v>173</v>
      </c>
      <c r="AR643" t="s">
        <v>173</v>
      </c>
      <c r="AS643" t="s">
        <v>173</v>
      </c>
      <c r="AT643" t="s">
        <v>173</v>
      </c>
      <c r="AU643" t="s">
        <v>173</v>
      </c>
      <c r="AV643" t="s">
        <v>175</v>
      </c>
      <c r="AW643" t="s">
        <v>183</v>
      </c>
      <c r="AX643" t="s">
        <v>192</v>
      </c>
      <c r="AY643" t="s">
        <v>201</v>
      </c>
    </row>
    <row r="644" hidden="1" spans="1:56">
      <c r="A644">
        <v>643</v>
      </c>
      <c r="B644" t="s">
        <v>272</v>
      </c>
      <c r="C644">
        <v>2023</v>
      </c>
      <c r="D644">
        <v>2019</v>
      </c>
      <c r="E644">
        <v>2019</v>
      </c>
      <c r="F644" t="s">
        <v>266</v>
      </c>
      <c r="G644"/>
      <c r="H644" t="s">
        <v>274</v>
      </c>
      <c r="I644"/>
      <c r="J644" t="s">
        <v>265</v>
      </c>
      <c r="K644" t="b">
        <v>0</v>
      </c>
      <c r="L644" t="b">
        <v>0</v>
      </c>
      <c r="M644" t="b">
        <v>0</v>
      </c>
      <c r="N644" t="b">
        <v>0</v>
      </c>
      <c r="O644" t="b">
        <v>0</v>
      </c>
      <c r="P644" t="b">
        <v>0</v>
      </c>
      <c r="Q644" t="b">
        <v>0</v>
      </c>
      <c r="R644" t="b">
        <v>0</v>
      </c>
      <c r="S644" t="b">
        <v>0</v>
      </c>
      <c r="T644" t="b">
        <v>0</v>
      </c>
      <c r="U644" t="b">
        <v>0</v>
      </c>
      <c r="V644" t="b">
        <v>1</v>
      </c>
      <c r="W644" t="b">
        <v>0</v>
      </c>
      <c r="X644" t="b">
        <v>0</v>
      </c>
      <c r="Y644" t="b">
        <v>0</v>
      </c>
      <c r="Z644" t="b">
        <v>0</v>
      </c>
      <c r="AA644" t="b">
        <v>0</v>
      </c>
      <c r="AB644" t="b">
        <v>0</v>
      </c>
      <c r="AC644" t="s">
        <v>171</v>
      </c>
      <c r="AD644" t="s">
        <v>171</v>
      </c>
      <c r="AE644" t="s">
        <v>171</v>
      </c>
      <c r="AF644" t="s">
        <v>171</v>
      </c>
      <c r="AG644" t="s">
        <v>171</v>
      </c>
      <c r="AH644" t="s">
        <v>171</v>
      </c>
      <c r="AI644" t="s">
        <v>171</v>
      </c>
      <c r="AJ644" t="s">
        <v>171</v>
      </c>
      <c r="AK644" t="s">
        <v>171</v>
      </c>
      <c r="AL644" t="s">
        <v>171</v>
      </c>
      <c r="AM644" t="s">
        <v>171</v>
      </c>
      <c r="AN644" t="s">
        <v>171</v>
      </c>
      <c r="AO644" t="s">
        <v>171</v>
      </c>
      <c r="AP644" t="s">
        <v>171</v>
      </c>
      <c r="AQ644" t="s">
        <v>171</v>
      </c>
      <c r="AR644" t="s">
        <v>171</v>
      </c>
      <c r="AS644" t="s">
        <v>171</v>
      </c>
      <c r="AT644" t="s">
        <v>171</v>
      </c>
      <c r="AU644" t="s">
        <v>171</v>
      </c>
      <c r="AV644" t="s">
        <v>171</v>
      </c>
      <c r="AW644" t="s">
        <v>171</v>
      </c>
      <c r="AX644" t="s">
        <v>192</v>
      </c>
      <c r="AY644" t="s">
        <v>203</v>
      </c>
      <c r="AZ644" t="s">
        <v>183</v>
      </c>
      <c r="BA644" t="s">
        <v>183</v>
      </c>
      <c r="BB644" t="s">
        <v>183</v>
      </c>
      <c r="BC644" t="s">
        <v>183</v>
      </c>
      <c r="BD644" t="s">
        <v>208</v>
      </c>
    </row>
    <row r="645" hidden="1" spans="1:56">
      <c r="A645">
        <v>644</v>
      </c>
      <c r="B645" t="s">
        <v>246</v>
      </c>
      <c r="C645">
        <v>2023</v>
      </c>
      <c r="D645">
        <v>1991</v>
      </c>
      <c r="E645">
        <v>2018</v>
      </c>
      <c r="F645" t="s">
        <v>256</v>
      </c>
      <c r="G645" t="s">
        <v>263</v>
      </c>
      <c r="H645" t="s">
        <v>273</v>
      </c>
      <c r="I645"/>
      <c r="J645" t="s">
        <v>252</v>
      </c>
      <c r="K645" t="b">
        <v>0</v>
      </c>
      <c r="L645" t="b">
        <v>0</v>
      </c>
      <c r="M645" t="b">
        <v>0</v>
      </c>
      <c r="N645" t="b">
        <v>0</v>
      </c>
      <c r="O645" t="b">
        <v>0</v>
      </c>
      <c r="P645" t="b">
        <v>0</v>
      </c>
      <c r="Q645" t="b">
        <v>0</v>
      </c>
      <c r="R645" t="b">
        <v>0</v>
      </c>
      <c r="S645" t="b">
        <v>0</v>
      </c>
      <c r="T645" t="b">
        <v>0</v>
      </c>
      <c r="U645" t="b">
        <v>0</v>
      </c>
      <c r="V645" t="b">
        <v>0</v>
      </c>
      <c r="W645" t="b">
        <v>0</v>
      </c>
      <c r="X645" t="b">
        <v>1</v>
      </c>
      <c r="Y645" t="b">
        <v>0</v>
      </c>
      <c r="Z645" t="b">
        <v>0</v>
      </c>
      <c r="AA645" t="b">
        <v>0</v>
      </c>
      <c r="AB645" t="b">
        <v>0</v>
      </c>
      <c r="AC645" t="s">
        <v>173</v>
      </c>
      <c r="AD645" t="s">
        <v>173</v>
      </c>
      <c r="AE645" t="s">
        <v>173</v>
      </c>
      <c r="AF645" t="s">
        <v>173</v>
      </c>
      <c r="AG645" t="s">
        <v>171</v>
      </c>
      <c r="AH645" t="s">
        <v>171</v>
      </c>
      <c r="AI645" t="s">
        <v>173</v>
      </c>
      <c r="AJ645" t="s">
        <v>173</v>
      </c>
      <c r="AK645" t="s">
        <v>171</v>
      </c>
      <c r="AL645" t="s">
        <v>173</v>
      </c>
      <c r="AM645" t="s">
        <v>171</v>
      </c>
      <c r="AN645" t="s">
        <v>183</v>
      </c>
      <c r="AO645" t="s">
        <v>177</v>
      </c>
      <c r="AP645" t="s">
        <v>177</v>
      </c>
      <c r="AQ645" t="s">
        <v>177</v>
      </c>
      <c r="AR645" t="s">
        <v>171</v>
      </c>
      <c r="AS645" t="s">
        <v>171</v>
      </c>
      <c r="AT645" t="s">
        <v>171</v>
      </c>
      <c r="AU645" t="s">
        <v>171</v>
      </c>
      <c r="AV645" t="s">
        <v>173</v>
      </c>
      <c r="AW645" t="s">
        <v>173</v>
      </c>
      <c r="AX645" t="s">
        <v>192</v>
      </c>
      <c r="AY645" t="s">
        <v>196</v>
      </c>
      <c r="AZ645" t="s">
        <v>183</v>
      </c>
      <c r="BA645" t="s">
        <v>208</v>
      </c>
      <c r="BB645" t="s">
        <v>183</v>
      </c>
      <c r="BC645" t="s">
        <v>183</v>
      </c>
      <c r="BD645" t="s">
        <v>183</v>
      </c>
    </row>
    <row r="646" hidden="1" spans="1:51">
      <c r="A646">
        <v>645</v>
      </c>
      <c r="B646" t="s">
        <v>246</v>
      </c>
      <c r="C646">
        <v>2023</v>
      </c>
      <c r="D646">
        <v>1985</v>
      </c>
      <c r="E646">
        <v>2017</v>
      </c>
      <c r="F646" t="s">
        <v>256</v>
      </c>
      <c r="G646" t="s">
        <v>279</v>
      </c>
      <c r="H646" t="s">
        <v>264</v>
      </c>
      <c r="I646"/>
      <c r="J646" t="s">
        <v>265</v>
      </c>
      <c r="K646" t="b">
        <v>0</v>
      </c>
      <c r="L646" t="b">
        <v>0</v>
      </c>
      <c r="M646" t="b">
        <v>0</v>
      </c>
      <c r="N646" t="b">
        <v>0</v>
      </c>
      <c r="O646" t="b">
        <v>0</v>
      </c>
      <c r="P646" t="b">
        <v>0</v>
      </c>
      <c r="Q646" t="b">
        <v>0</v>
      </c>
      <c r="R646" t="b">
        <v>0</v>
      </c>
      <c r="S646" t="b">
        <v>0</v>
      </c>
      <c r="T646" t="b">
        <v>0</v>
      </c>
      <c r="U646" t="b">
        <v>0</v>
      </c>
      <c r="V646" t="b">
        <v>0</v>
      </c>
      <c r="W646" t="b">
        <v>0</v>
      </c>
      <c r="X646" t="b">
        <v>0</v>
      </c>
      <c r="Y646" t="b">
        <v>0</v>
      </c>
      <c r="Z646" t="b">
        <v>1</v>
      </c>
      <c r="AA646" t="b">
        <v>0</v>
      </c>
      <c r="AB646" t="b">
        <v>0</v>
      </c>
      <c r="AC646" t="s">
        <v>175</v>
      </c>
      <c r="AD646" t="s">
        <v>173</v>
      </c>
      <c r="AE646" t="s">
        <v>173</v>
      </c>
      <c r="AF646" t="s">
        <v>173</v>
      </c>
      <c r="AG646" t="s">
        <v>173</v>
      </c>
      <c r="AH646" t="s">
        <v>173</v>
      </c>
      <c r="AI646" t="s">
        <v>175</v>
      </c>
      <c r="AJ646" t="s">
        <v>173</v>
      </c>
      <c r="AK646" t="s">
        <v>173</v>
      </c>
      <c r="AL646" t="s">
        <v>171</v>
      </c>
      <c r="AM646" t="s">
        <v>171</v>
      </c>
      <c r="AN646" t="s">
        <v>173</v>
      </c>
      <c r="AO646" t="s">
        <v>175</v>
      </c>
      <c r="AP646" t="s">
        <v>175</v>
      </c>
      <c r="AQ646" t="s">
        <v>175</v>
      </c>
      <c r="AR646" t="s">
        <v>173</v>
      </c>
      <c r="AS646" t="s">
        <v>173</v>
      </c>
      <c r="AT646" t="s">
        <v>175</v>
      </c>
      <c r="AU646" t="s">
        <v>173</v>
      </c>
      <c r="AV646" t="s">
        <v>175</v>
      </c>
      <c r="AW646" t="s">
        <v>175</v>
      </c>
      <c r="AX646" t="s">
        <v>192</v>
      </c>
      <c r="AY646" t="s">
        <v>196</v>
      </c>
    </row>
    <row r="647" hidden="1" spans="1:51">
      <c r="A647">
        <v>646</v>
      </c>
      <c r="B647" t="s">
        <v>259</v>
      </c>
      <c r="C647">
        <v>2023</v>
      </c>
      <c r="D647">
        <v>2002</v>
      </c>
      <c r="E647">
        <v>2002</v>
      </c>
      <c r="F647" t="s">
        <v>275</v>
      </c>
      <c r="G647"/>
      <c r="H647" t="s">
        <v>247</v>
      </c>
      <c r="I647"/>
      <c r="J647" t="s">
        <v>252</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1</v>
      </c>
      <c r="AC647" t="s">
        <v>173</v>
      </c>
      <c r="AD647" t="s">
        <v>183</v>
      </c>
      <c r="AE647" t="s">
        <v>173</v>
      </c>
      <c r="AF647" t="s">
        <v>173</v>
      </c>
      <c r="AG647" t="s">
        <v>173</v>
      </c>
      <c r="AH647" t="s">
        <v>173</v>
      </c>
      <c r="AI647" t="s">
        <v>173</v>
      </c>
      <c r="AJ647" t="s">
        <v>173</v>
      </c>
      <c r="AK647" t="s">
        <v>173</v>
      </c>
      <c r="AL647" t="s">
        <v>173</v>
      </c>
      <c r="AM647" t="s">
        <v>173</v>
      </c>
      <c r="AN647" t="s">
        <v>181</v>
      </c>
      <c r="AO647" t="s">
        <v>173</v>
      </c>
      <c r="AP647" t="s">
        <v>173</v>
      </c>
      <c r="AQ647" t="s">
        <v>173</v>
      </c>
      <c r="AR647" t="s">
        <v>173</v>
      </c>
      <c r="AS647" t="s">
        <v>173</v>
      </c>
      <c r="AT647" t="s">
        <v>173</v>
      </c>
      <c r="AU647" t="s">
        <v>173</v>
      </c>
      <c r="AV647" t="s">
        <v>175</v>
      </c>
      <c r="AW647" t="s">
        <v>173</v>
      </c>
      <c r="AX647" t="s">
        <v>192</v>
      </c>
      <c r="AY647" t="s">
        <v>195</v>
      </c>
    </row>
    <row r="648" spans="1:65">
      <c r="A648">
        <v>647</v>
      </c>
      <c r="B648" t="s">
        <v>270</v>
      </c>
      <c r="C648" s="10">
        <v>2023</v>
      </c>
      <c r="D648" s="10">
        <v>1990</v>
      </c>
      <c r="E648" s="10">
        <v>2006</v>
      </c>
      <c r="F648" s="10" t="s">
        <v>241</v>
      </c>
      <c r="G648" s="10" t="s">
        <v>249</v>
      </c>
      <c r="H648" s="10" t="s">
        <v>243</v>
      </c>
      <c r="I648" s="10" t="s">
        <v>244</v>
      </c>
      <c r="J648" s="10" t="s">
        <v>245</v>
      </c>
      <c r="K648" t="b">
        <v>0</v>
      </c>
      <c r="L648" t="b">
        <v>0</v>
      </c>
      <c r="M648" t="b">
        <v>0</v>
      </c>
      <c r="N648" t="b">
        <v>1</v>
      </c>
      <c r="O648" t="b">
        <v>1</v>
      </c>
      <c r="P648" t="b">
        <v>0</v>
      </c>
      <c r="Q648" t="b">
        <v>1</v>
      </c>
      <c r="R648" t="b">
        <v>0</v>
      </c>
      <c r="S648" t="b">
        <v>0</v>
      </c>
      <c r="T648" t="b">
        <v>0</v>
      </c>
      <c r="U648" t="b">
        <v>0</v>
      </c>
      <c r="V648" t="b">
        <v>0</v>
      </c>
      <c r="W648" t="b">
        <v>0</v>
      </c>
      <c r="X648" t="b">
        <v>0</v>
      </c>
      <c r="Y648" t="b">
        <v>0</v>
      </c>
      <c r="Z648" t="b">
        <v>0</v>
      </c>
      <c r="AA648" t="b">
        <v>0</v>
      </c>
      <c r="AB648" t="b">
        <v>0</v>
      </c>
      <c r="AC648" s="10" t="s">
        <v>179</v>
      </c>
      <c r="AD648" t="s">
        <v>179</v>
      </c>
      <c r="AE648" t="s">
        <v>175</v>
      </c>
      <c r="AF648" t="s">
        <v>177</v>
      </c>
      <c r="AG648" t="s">
        <v>173</v>
      </c>
      <c r="AH648" t="s">
        <v>173</v>
      </c>
      <c r="AI648" t="s">
        <v>173</v>
      </c>
      <c r="AJ648" t="s">
        <v>179</v>
      </c>
      <c r="AK648" t="s">
        <v>173</v>
      </c>
      <c r="AL648" t="s">
        <v>175</v>
      </c>
      <c r="AM648" t="s">
        <v>173</v>
      </c>
      <c r="AN648" t="s">
        <v>173</v>
      </c>
      <c r="AO648" t="s">
        <v>179</v>
      </c>
      <c r="AP648" t="s">
        <v>179</v>
      </c>
      <c r="AQ648" t="s">
        <v>179</v>
      </c>
      <c r="AR648" t="s">
        <v>177</v>
      </c>
      <c r="AS648" t="s">
        <v>175</v>
      </c>
      <c r="AT648" t="s">
        <v>173</v>
      </c>
      <c r="AU648" t="s">
        <v>177</v>
      </c>
      <c r="AX648" t="s">
        <v>193</v>
      </c>
      <c r="AY648" t="s">
        <v>197</v>
      </c>
      <c r="AZ648" t="s">
        <v>207</v>
      </c>
      <c r="BA648" t="s">
        <v>207</v>
      </c>
      <c r="BB648" t="s">
        <v>207</v>
      </c>
      <c r="BC648" t="s">
        <v>208</v>
      </c>
      <c r="BD648" t="s">
        <v>207</v>
      </c>
      <c r="BE648" t="str">
        <f>IF(AY648="","Unknown",AY648)</f>
        <v>51-55</v>
      </c>
      <c r="BF648" s="11" t="str">
        <f>IF(AZ648="","unknown",AZ648)</f>
        <v>NO</v>
      </c>
      <c r="BG648" s="11" t="str">
        <f>IF(BA648="","UNKNOWN",BA648)</f>
        <v>NO</v>
      </c>
      <c r="BH648" s="11" t="str">
        <f>IF(BB648="","unknown",BB648)</f>
        <v>NO</v>
      </c>
      <c r="BI648" s="11" t="str">
        <f>IF(BC648="","Unknon",BC648)</f>
        <v>Yes</v>
      </c>
      <c r="BJ648" s="11" t="str">
        <f>IF(BD648="","Unknown",BD648)</f>
        <v>NO</v>
      </c>
      <c r="BK648" s="11">
        <f>VALUE(C648)-VALUE(D648)</f>
        <v>33</v>
      </c>
      <c r="BM648" s="11"/>
    </row>
    <row r="649" hidden="1" spans="1:51">
      <c r="A649">
        <v>648</v>
      </c>
      <c r="B649" t="s">
        <v>255</v>
      </c>
      <c r="C649">
        <v>2023</v>
      </c>
      <c r="D649">
        <v>2001</v>
      </c>
      <c r="E649">
        <v>2006</v>
      </c>
      <c r="F649" t="s">
        <v>289</v>
      </c>
      <c r="G649"/>
      <c r="H649" t="s">
        <v>264</v>
      </c>
      <c r="I649"/>
      <c r="J649" t="s">
        <v>252</v>
      </c>
      <c r="K649" t="b">
        <v>0</v>
      </c>
      <c r="L649" t="b">
        <v>0</v>
      </c>
      <c r="M649" t="b">
        <v>0</v>
      </c>
      <c r="N649" t="b">
        <v>0</v>
      </c>
      <c r="O649" t="b">
        <v>0</v>
      </c>
      <c r="P649" t="b">
        <v>0</v>
      </c>
      <c r="Q649" t="b">
        <v>0</v>
      </c>
      <c r="R649" t="b">
        <v>0</v>
      </c>
      <c r="S649" t="b">
        <v>0</v>
      </c>
      <c r="T649" t="b">
        <v>0</v>
      </c>
      <c r="U649" t="b">
        <v>0</v>
      </c>
      <c r="V649" t="b">
        <v>0</v>
      </c>
      <c r="W649" t="b">
        <v>0</v>
      </c>
      <c r="X649" t="b">
        <v>1</v>
      </c>
      <c r="Y649" t="b">
        <v>0</v>
      </c>
      <c r="Z649" t="b">
        <v>0</v>
      </c>
      <c r="AA649" t="b">
        <v>0</v>
      </c>
      <c r="AB649" t="b">
        <v>0</v>
      </c>
      <c r="AC649" t="s">
        <v>179</v>
      </c>
      <c r="AD649" t="s">
        <v>179</v>
      </c>
      <c r="AE649" t="s">
        <v>175</v>
      </c>
      <c r="AF649" t="s">
        <v>177</v>
      </c>
      <c r="AG649" t="s">
        <v>175</v>
      </c>
      <c r="AH649" t="s">
        <v>173</v>
      </c>
      <c r="AI649" t="s">
        <v>175</v>
      </c>
      <c r="AJ649" t="s">
        <v>173</v>
      </c>
      <c r="AK649" t="s">
        <v>173</v>
      </c>
      <c r="AL649" t="s">
        <v>171</v>
      </c>
      <c r="AM649" t="s">
        <v>171</v>
      </c>
      <c r="AN649" t="s">
        <v>171</v>
      </c>
      <c r="AO649" t="s">
        <v>173</v>
      </c>
      <c r="AP649" t="s">
        <v>173</v>
      </c>
      <c r="AQ649" t="s">
        <v>179</v>
      </c>
      <c r="AR649" t="s">
        <v>177</v>
      </c>
      <c r="AS649" t="s">
        <v>175</v>
      </c>
      <c r="AT649" t="s">
        <v>177</v>
      </c>
      <c r="AU649" t="s">
        <v>179</v>
      </c>
      <c r="AV649" t="s">
        <v>175</v>
      </c>
      <c r="AW649" t="s">
        <v>175</v>
      </c>
      <c r="AX649" t="s">
        <v>192</v>
      </c>
      <c r="AY649" t="s">
        <v>197</v>
      </c>
    </row>
    <row r="650" hidden="1" spans="1:51">
      <c r="A650">
        <v>649</v>
      </c>
      <c r="B650" t="s">
        <v>282</v>
      </c>
      <c r="C650">
        <v>2023</v>
      </c>
      <c r="D650">
        <v>2019</v>
      </c>
      <c r="E650">
        <v>2019</v>
      </c>
      <c r="F650" t="s">
        <v>275</v>
      </c>
      <c r="G650"/>
      <c r="H650" t="s">
        <v>247</v>
      </c>
      <c r="I650"/>
      <c r="J650" t="s">
        <v>265</v>
      </c>
      <c r="K650" t="b">
        <v>0</v>
      </c>
      <c r="L650" t="b">
        <v>1</v>
      </c>
      <c r="M650" t="b">
        <v>0</v>
      </c>
      <c r="N650" t="b">
        <v>1</v>
      </c>
      <c r="O650" t="b">
        <v>1</v>
      </c>
      <c r="P650" t="b">
        <v>0</v>
      </c>
      <c r="Q650" t="b">
        <v>0</v>
      </c>
      <c r="R650" t="b">
        <v>0</v>
      </c>
      <c r="S650" t="b">
        <v>0</v>
      </c>
      <c r="T650" t="b">
        <v>0</v>
      </c>
      <c r="U650" t="b">
        <v>0</v>
      </c>
      <c r="V650" t="b">
        <v>0</v>
      </c>
      <c r="W650" t="b">
        <v>0</v>
      </c>
      <c r="X650" t="b">
        <v>0</v>
      </c>
      <c r="Y650" t="b">
        <v>0</v>
      </c>
      <c r="Z650" t="b">
        <v>0</v>
      </c>
      <c r="AA650" t="b">
        <v>0</v>
      </c>
      <c r="AB650" t="b">
        <v>1</v>
      </c>
      <c r="AC650" t="s">
        <v>171</v>
      </c>
      <c r="AD650" t="s">
        <v>181</v>
      </c>
      <c r="AE650" t="s">
        <v>171</v>
      </c>
      <c r="AF650" t="s">
        <v>171</v>
      </c>
      <c r="AG650" t="s">
        <v>171</v>
      </c>
      <c r="AH650" t="s">
        <v>171</v>
      </c>
      <c r="AI650" t="s">
        <v>171</v>
      </c>
      <c r="AJ650" t="s">
        <v>171</v>
      </c>
      <c r="AK650" t="s">
        <v>171</v>
      </c>
      <c r="AL650" t="s">
        <v>181</v>
      </c>
      <c r="AM650" t="s">
        <v>171</v>
      </c>
      <c r="AN650" t="s">
        <v>181</v>
      </c>
      <c r="AO650" t="s">
        <v>181</v>
      </c>
      <c r="AP650" t="s">
        <v>171</v>
      </c>
      <c r="AQ650" t="s">
        <v>181</v>
      </c>
      <c r="AR650" t="s">
        <v>171</v>
      </c>
      <c r="AS650" t="s">
        <v>171</v>
      </c>
      <c r="AT650" t="s">
        <v>171</v>
      </c>
      <c r="AU650" t="s">
        <v>171</v>
      </c>
      <c r="AV650" t="s">
        <v>171</v>
      </c>
      <c r="AW650" t="s">
        <v>171</v>
      </c>
      <c r="AX650" t="s">
        <v>192</v>
      </c>
      <c r="AY650" t="s">
        <v>197</v>
      </c>
    </row>
    <row r="651" hidden="1" spans="1:51">
      <c r="A651">
        <v>650</v>
      </c>
      <c r="B651" t="s">
        <v>269</v>
      </c>
      <c r="C651">
        <v>2023</v>
      </c>
      <c r="D651">
        <v>2004</v>
      </c>
      <c r="E651">
        <v>2017</v>
      </c>
      <c r="F651" t="s">
        <v>266</v>
      </c>
      <c r="G651"/>
      <c r="H651" t="s">
        <v>261</v>
      </c>
      <c r="I651"/>
      <c r="J651" t="s">
        <v>252</v>
      </c>
      <c r="K651" t="b">
        <v>0</v>
      </c>
      <c r="L651" t="b">
        <v>1</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s">
        <v>175</v>
      </c>
      <c r="AD651" t="s">
        <v>183</v>
      </c>
      <c r="AE651" t="s">
        <v>175</v>
      </c>
      <c r="AF651" t="s">
        <v>175</v>
      </c>
      <c r="AG651" t="s">
        <v>173</v>
      </c>
      <c r="AH651" t="s">
        <v>175</v>
      </c>
      <c r="AI651" t="s">
        <v>175</v>
      </c>
      <c r="AJ651" t="s">
        <v>173</v>
      </c>
      <c r="AK651" t="s">
        <v>173</v>
      </c>
      <c r="AL651" t="s">
        <v>173</v>
      </c>
      <c r="AM651" t="s">
        <v>173</v>
      </c>
      <c r="AN651" t="s">
        <v>173</v>
      </c>
      <c r="AO651" t="s">
        <v>183</v>
      </c>
      <c r="AP651" t="s">
        <v>173</v>
      </c>
      <c r="AQ651" t="s">
        <v>173</v>
      </c>
      <c r="AR651" t="s">
        <v>173</v>
      </c>
      <c r="AS651" t="s">
        <v>173</v>
      </c>
      <c r="AT651" t="s">
        <v>173</v>
      </c>
      <c r="AU651" t="s">
        <v>173</v>
      </c>
      <c r="AV651" t="s">
        <v>173</v>
      </c>
      <c r="AW651" t="s">
        <v>173</v>
      </c>
      <c r="AX651" t="s">
        <v>192</v>
      </c>
      <c r="AY651" t="s">
        <v>197</v>
      </c>
    </row>
    <row r="652" hidden="1" spans="1:51">
      <c r="A652">
        <v>651</v>
      </c>
      <c r="B652" t="s">
        <v>269</v>
      </c>
      <c r="C652">
        <v>2023</v>
      </c>
      <c r="D652">
        <v>2005</v>
      </c>
      <c r="E652">
        <v>2012</v>
      </c>
      <c r="F652" t="s">
        <v>260</v>
      </c>
      <c r="G652"/>
      <c r="H652" t="s">
        <v>267</v>
      </c>
      <c r="I652"/>
      <c r="J652" t="s">
        <v>252</v>
      </c>
      <c r="K652" t="b">
        <v>0</v>
      </c>
      <c r="L652" t="b">
        <v>1</v>
      </c>
      <c r="M652" t="b">
        <v>1</v>
      </c>
      <c r="N652" t="b">
        <v>0</v>
      </c>
      <c r="O652" t="b">
        <v>0</v>
      </c>
      <c r="P652" t="b">
        <v>0</v>
      </c>
      <c r="Q652" t="b">
        <v>0</v>
      </c>
      <c r="R652" t="b">
        <v>0</v>
      </c>
      <c r="S652" t="b">
        <v>1</v>
      </c>
      <c r="T652" t="b">
        <v>0</v>
      </c>
      <c r="U652" t="b">
        <v>0</v>
      </c>
      <c r="V652" t="b">
        <v>0</v>
      </c>
      <c r="W652" t="b">
        <v>0</v>
      </c>
      <c r="X652" t="b">
        <v>0</v>
      </c>
      <c r="Y652" t="b">
        <v>0</v>
      </c>
      <c r="Z652" t="b">
        <v>0</v>
      </c>
      <c r="AA652" t="b">
        <v>0</v>
      </c>
      <c r="AB652" t="b">
        <v>0</v>
      </c>
      <c r="AC652" t="s">
        <v>173</v>
      </c>
      <c r="AD652" t="s">
        <v>179</v>
      </c>
      <c r="AE652" t="s">
        <v>175</v>
      </c>
      <c r="AF652" t="s">
        <v>179</v>
      </c>
      <c r="AG652" t="s">
        <v>179</v>
      </c>
      <c r="AH652" t="s">
        <v>177</v>
      </c>
      <c r="AI652" t="s">
        <v>179</v>
      </c>
      <c r="AJ652" t="s">
        <v>179</v>
      </c>
      <c r="AK652" t="s">
        <v>173</v>
      </c>
      <c r="AL652" t="s">
        <v>177</v>
      </c>
      <c r="AM652" t="s">
        <v>179</v>
      </c>
      <c r="AN652" t="s">
        <v>173</v>
      </c>
      <c r="AO652" t="s">
        <v>177</v>
      </c>
      <c r="AP652" t="s">
        <v>173</v>
      </c>
      <c r="AQ652" t="s">
        <v>173</v>
      </c>
      <c r="AR652" t="s">
        <v>179</v>
      </c>
      <c r="AS652" t="s">
        <v>177</v>
      </c>
      <c r="AT652" t="s">
        <v>173</v>
      </c>
      <c r="AU652" t="s">
        <v>175</v>
      </c>
      <c r="AV652" t="s">
        <v>173</v>
      </c>
      <c r="AW652" t="s">
        <v>173</v>
      </c>
      <c r="AX652" t="s">
        <v>192</v>
      </c>
      <c r="AY652" t="s">
        <v>195</v>
      </c>
    </row>
    <row r="653" hidden="1" spans="1:51">
      <c r="A653">
        <v>652</v>
      </c>
      <c r="B653" t="s">
        <v>255</v>
      </c>
      <c r="C653">
        <v>2023</v>
      </c>
      <c r="D653">
        <v>2019</v>
      </c>
      <c r="E653">
        <v>2021</v>
      </c>
      <c r="F653" t="s">
        <v>256</v>
      </c>
      <c r="G653" t="s">
        <v>257</v>
      </c>
      <c r="H653" t="s">
        <v>258</v>
      </c>
      <c r="I653"/>
      <c r="J653" t="s">
        <v>252</v>
      </c>
      <c r="K653" t="b">
        <v>0</v>
      </c>
      <c r="L653" t="b">
        <v>0</v>
      </c>
      <c r="M653" t="b">
        <v>0</v>
      </c>
      <c r="N653" t="b">
        <v>0</v>
      </c>
      <c r="O653" t="b">
        <v>0</v>
      </c>
      <c r="P653" t="b">
        <v>0</v>
      </c>
      <c r="Q653" t="b">
        <v>0</v>
      </c>
      <c r="R653" t="b">
        <v>0</v>
      </c>
      <c r="S653" t="b">
        <v>0</v>
      </c>
      <c r="T653" t="b">
        <v>0</v>
      </c>
      <c r="U653" t="b">
        <v>0</v>
      </c>
      <c r="V653" t="b">
        <v>0</v>
      </c>
      <c r="W653" t="b">
        <v>0</v>
      </c>
      <c r="X653" t="b">
        <v>0</v>
      </c>
      <c r="Y653" t="b">
        <v>0</v>
      </c>
      <c r="Z653" t="b">
        <v>1</v>
      </c>
      <c r="AA653" t="b">
        <v>1</v>
      </c>
      <c r="AB653" t="b">
        <v>0</v>
      </c>
      <c r="AC653" t="s">
        <v>173</v>
      </c>
      <c r="AD653" t="s">
        <v>183</v>
      </c>
      <c r="AE653" t="s">
        <v>175</v>
      </c>
      <c r="AF653" t="s">
        <v>173</v>
      </c>
      <c r="AG653" t="s">
        <v>173</v>
      </c>
      <c r="AH653" t="s">
        <v>177</v>
      </c>
      <c r="AI653" t="s">
        <v>177</v>
      </c>
      <c r="AJ653" t="s">
        <v>175</v>
      </c>
      <c r="AK653" t="s">
        <v>173</v>
      </c>
      <c r="AL653" t="s">
        <v>173</v>
      </c>
      <c r="AM653" t="s">
        <v>173</v>
      </c>
      <c r="AN653" t="s">
        <v>173</v>
      </c>
      <c r="AO653" t="s">
        <v>173</v>
      </c>
      <c r="AP653" t="s">
        <v>171</v>
      </c>
      <c r="AQ653" t="s">
        <v>171</v>
      </c>
      <c r="AR653" t="s">
        <v>175</v>
      </c>
      <c r="AS653" t="s">
        <v>173</v>
      </c>
      <c r="AT653" t="s">
        <v>175</v>
      </c>
      <c r="AU653" t="s">
        <v>173</v>
      </c>
      <c r="AV653" t="s">
        <v>177</v>
      </c>
      <c r="AW653" t="s">
        <v>177</v>
      </c>
      <c r="AX653" t="s">
        <v>192</v>
      </c>
      <c r="AY653" t="s">
        <v>197</v>
      </c>
    </row>
    <row r="654" hidden="1" spans="1:56">
      <c r="A654">
        <v>653</v>
      </c>
      <c r="B654" t="s">
        <v>272</v>
      </c>
      <c r="C654">
        <v>2023</v>
      </c>
      <c r="D654">
        <v>1995</v>
      </c>
      <c r="E654">
        <v>2002</v>
      </c>
      <c r="F654" t="s">
        <v>260</v>
      </c>
      <c r="G654"/>
      <c r="H654" t="s">
        <v>261</v>
      </c>
      <c r="I654"/>
      <c r="J654" t="s">
        <v>252</v>
      </c>
      <c r="K654" t="b">
        <v>0</v>
      </c>
      <c r="L654" t="b">
        <v>0</v>
      </c>
      <c r="M654" t="b">
        <v>0</v>
      </c>
      <c r="N654" t="b">
        <v>0</v>
      </c>
      <c r="O654" t="b">
        <v>0</v>
      </c>
      <c r="P654" t="b">
        <v>0</v>
      </c>
      <c r="Q654" t="b">
        <v>0</v>
      </c>
      <c r="R654" t="b">
        <v>0</v>
      </c>
      <c r="S654" t="b">
        <v>0</v>
      </c>
      <c r="T654" t="b">
        <v>0</v>
      </c>
      <c r="U654" t="b">
        <v>1</v>
      </c>
      <c r="V654" t="b">
        <v>1</v>
      </c>
      <c r="W654" t="b">
        <v>0</v>
      </c>
      <c r="X654" t="b">
        <v>0</v>
      </c>
      <c r="Y654" t="b">
        <v>0</v>
      </c>
      <c r="Z654" t="b">
        <v>0</v>
      </c>
      <c r="AA654" t="b">
        <v>0</v>
      </c>
      <c r="AB654" t="b">
        <v>0</v>
      </c>
      <c r="AC654" t="s">
        <v>171</v>
      </c>
      <c r="AD654" t="s">
        <v>171</v>
      </c>
      <c r="AE654" t="s">
        <v>171</v>
      </c>
      <c r="AF654" t="s">
        <v>171</v>
      </c>
      <c r="AG654" t="s">
        <v>171</v>
      </c>
      <c r="AH654" t="s">
        <v>173</v>
      </c>
      <c r="AI654" t="s">
        <v>171</v>
      </c>
      <c r="AJ654" t="s">
        <v>171</v>
      </c>
      <c r="AK654" t="s">
        <v>171</v>
      </c>
      <c r="AL654" t="s">
        <v>171</v>
      </c>
      <c r="AM654" t="s">
        <v>171</v>
      </c>
      <c r="AN654" t="s">
        <v>171</v>
      </c>
      <c r="AO654" t="s">
        <v>171</v>
      </c>
      <c r="AP654" t="s">
        <v>171</v>
      </c>
      <c r="AQ654" t="s">
        <v>171</v>
      </c>
      <c r="AR654" t="s">
        <v>171</v>
      </c>
      <c r="AS654" t="s">
        <v>171</v>
      </c>
      <c r="AT654" t="s">
        <v>171</v>
      </c>
      <c r="AU654" t="s">
        <v>171</v>
      </c>
      <c r="AV654" t="s">
        <v>171</v>
      </c>
      <c r="AW654" t="s">
        <v>171</v>
      </c>
      <c r="AX654" t="s">
        <v>192</v>
      </c>
      <c r="AY654" t="s">
        <v>195</v>
      </c>
      <c r="AZ654" t="s">
        <v>183</v>
      </c>
      <c r="BA654" t="s">
        <v>183</v>
      </c>
      <c r="BB654" t="s">
        <v>183</v>
      </c>
      <c r="BC654" t="s">
        <v>183</v>
      </c>
      <c r="BD654" t="s">
        <v>208</v>
      </c>
    </row>
    <row r="655" hidden="1" spans="1:51">
      <c r="A655">
        <v>654</v>
      </c>
      <c r="B655" t="s">
        <v>259</v>
      </c>
      <c r="C655">
        <v>2023</v>
      </c>
      <c r="D655">
        <v>1979</v>
      </c>
      <c r="E655">
        <v>2022</v>
      </c>
      <c r="F655" t="s">
        <v>256</v>
      </c>
      <c r="G655"/>
      <c r="H655" t="s">
        <v>250</v>
      </c>
      <c r="I655" t="s">
        <v>317</v>
      </c>
      <c r="J655" t="s">
        <v>252</v>
      </c>
      <c r="K655" t="b">
        <v>0</v>
      </c>
      <c r="L655" t="b">
        <v>0</v>
      </c>
      <c r="M655" t="b">
        <v>0</v>
      </c>
      <c r="N655" t="b">
        <v>0</v>
      </c>
      <c r="O655" t="b">
        <v>0</v>
      </c>
      <c r="P655" t="b">
        <v>0</v>
      </c>
      <c r="Q655" t="b">
        <v>0</v>
      </c>
      <c r="R655" t="b">
        <v>0</v>
      </c>
      <c r="S655" t="b">
        <v>0</v>
      </c>
      <c r="T655" t="b">
        <v>0</v>
      </c>
      <c r="U655" t="b">
        <v>0</v>
      </c>
      <c r="V655" t="b">
        <v>0</v>
      </c>
      <c r="W655" t="b">
        <v>0</v>
      </c>
      <c r="X655" t="b">
        <v>1</v>
      </c>
      <c r="Y655" t="b">
        <v>0</v>
      </c>
      <c r="Z655" t="b">
        <v>0</v>
      </c>
      <c r="AA655" t="b">
        <v>0</v>
      </c>
      <c r="AB655" t="b">
        <v>0</v>
      </c>
      <c r="AC655" t="s">
        <v>177</v>
      </c>
      <c r="AD655" t="s">
        <v>173</v>
      </c>
      <c r="AE655" t="s">
        <v>173</v>
      </c>
      <c r="AF655" t="s">
        <v>177</v>
      </c>
      <c r="AG655" t="s">
        <v>173</v>
      </c>
      <c r="AH655" t="s">
        <v>177</v>
      </c>
      <c r="AI655" t="s">
        <v>173</v>
      </c>
      <c r="AJ655" t="s">
        <v>177</v>
      </c>
      <c r="AK655" t="s">
        <v>173</v>
      </c>
      <c r="AL655" t="s">
        <v>173</v>
      </c>
      <c r="AM655" t="s">
        <v>173</v>
      </c>
      <c r="AN655" t="s">
        <v>173</v>
      </c>
      <c r="AO655" t="s">
        <v>173</v>
      </c>
      <c r="AP655" t="s">
        <v>173</v>
      </c>
      <c r="AQ655" t="s">
        <v>173</v>
      </c>
      <c r="AR655" t="s">
        <v>177</v>
      </c>
      <c r="AS655" t="s">
        <v>173</v>
      </c>
      <c r="AT655" t="s">
        <v>173</v>
      </c>
      <c r="AU655" t="s">
        <v>177</v>
      </c>
      <c r="AV655" t="s">
        <v>173</v>
      </c>
      <c r="AW655" t="s">
        <v>173</v>
      </c>
      <c r="AX655" t="s">
        <v>192</v>
      </c>
      <c r="AY655" t="s">
        <v>196</v>
      </c>
    </row>
    <row r="656" hidden="1" spans="1:51">
      <c r="A656">
        <v>655</v>
      </c>
      <c r="B656" t="s">
        <v>259</v>
      </c>
      <c r="C656">
        <v>2024</v>
      </c>
      <c r="D656">
        <v>1983</v>
      </c>
      <c r="E656">
        <v>2004</v>
      </c>
      <c r="F656" t="s">
        <v>256</v>
      </c>
      <c r="G656" t="s">
        <v>279</v>
      </c>
      <c r="H656" t="s">
        <v>264</v>
      </c>
      <c r="I656"/>
      <c r="J656" t="s">
        <v>265</v>
      </c>
      <c r="K656" t="b">
        <v>0</v>
      </c>
      <c r="L656" t="b">
        <v>0</v>
      </c>
      <c r="M656" t="b">
        <v>0</v>
      </c>
      <c r="N656" t="b">
        <v>0</v>
      </c>
      <c r="O656" t="b">
        <v>0</v>
      </c>
      <c r="P656" t="b">
        <v>0</v>
      </c>
      <c r="Q656" t="b">
        <v>0</v>
      </c>
      <c r="R656" t="b">
        <v>0</v>
      </c>
      <c r="S656" t="b">
        <v>0</v>
      </c>
      <c r="T656" t="b">
        <v>0</v>
      </c>
      <c r="U656" t="b">
        <v>0</v>
      </c>
      <c r="V656" t="b">
        <v>0</v>
      </c>
      <c r="W656" t="b">
        <v>0</v>
      </c>
      <c r="X656" t="b">
        <v>0</v>
      </c>
      <c r="Y656" t="b">
        <v>0</v>
      </c>
      <c r="Z656" t="b">
        <v>1</v>
      </c>
      <c r="AA656" t="b">
        <v>0</v>
      </c>
      <c r="AB656" t="b">
        <v>0</v>
      </c>
      <c r="AC656" t="s">
        <v>171</v>
      </c>
      <c r="AD656" t="s">
        <v>175</v>
      </c>
      <c r="AE656" t="s">
        <v>173</v>
      </c>
      <c r="AF656" t="s">
        <v>175</v>
      </c>
      <c r="AG656" t="s">
        <v>175</v>
      </c>
      <c r="AH656" t="s">
        <v>173</v>
      </c>
      <c r="AI656" t="s">
        <v>175</v>
      </c>
      <c r="AJ656" t="s">
        <v>173</v>
      </c>
      <c r="AK656" t="s">
        <v>173</v>
      </c>
      <c r="AL656" t="s">
        <v>173</v>
      </c>
      <c r="AM656" t="s">
        <v>173</v>
      </c>
      <c r="AN656" t="s">
        <v>173</v>
      </c>
      <c r="AO656" t="s">
        <v>175</v>
      </c>
      <c r="AP656" t="s">
        <v>175</v>
      </c>
      <c r="AQ656" t="s">
        <v>173</v>
      </c>
      <c r="AR656" t="s">
        <v>173</v>
      </c>
      <c r="AS656" t="s">
        <v>173</v>
      </c>
      <c r="AT656" t="s">
        <v>173</v>
      </c>
      <c r="AU656" t="s">
        <v>173</v>
      </c>
      <c r="AV656" t="s">
        <v>173</v>
      </c>
      <c r="AW656" t="s">
        <v>173</v>
      </c>
      <c r="AX656" t="s">
        <v>192</v>
      </c>
      <c r="AY656" t="s">
        <v>196</v>
      </c>
    </row>
    <row r="657" hidden="1" spans="1:51">
      <c r="A657">
        <v>656</v>
      </c>
      <c r="B657" t="s">
        <v>259</v>
      </c>
      <c r="C657">
        <v>2023</v>
      </c>
      <c r="D657">
        <v>1979</v>
      </c>
      <c r="E657">
        <v>2003</v>
      </c>
      <c r="F657" t="s">
        <v>292</v>
      </c>
      <c r="G657"/>
      <c r="H657" t="s">
        <v>261</v>
      </c>
      <c r="I657"/>
      <c r="J657" t="s">
        <v>252</v>
      </c>
      <c r="K657" t="b">
        <v>0</v>
      </c>
      <c r="L657" t="b">
        <v>0</v>
      </c>
      <c r="M657" t="b">
        <v>0</v>
      </c>
      <c r="N657" t="b">
        <v>0</v>
      </c>
      <c r="O657" t="b">
        <v>0</v>
      </c>
      <c r="P657" t="b">
        <v>0</v>
      </c>
      <c r="Q657" t="b">
        <v>0</v>
      </c>
      <c r="R657" t="b">
        <v>0</v>
      </c>
      <c r="S657" t="b">
        <v>0</v>
      </c>
      <c r="T657" t="b">
        <v>0</v>
      </c>
      <c r="U657" t="b">
        <v>0</v>
      </c>
      <c r="V657" t="b">
        <v>0</v>
      </c>
      <c r="W657" t="b">
        <v>0</v>
      </c>
      <c r="X657" t="b">
        <v>1</v>
      </c>
      <c r="Y657" t="b">
        <v>1</v>
      </c>
      <c r="Z657" t="b">
        <v>1</v>
      </c>
      <c r="AA657" t="b">
        <v>0</v>
      </c>
      <c r="AB657" t="b">
        <v>0</v>
      </c>
      <c r="AC657" t="s">
        <v>173</v>
      </c>
      <c r="AD657" t="s">
        <v>177</v>
      </c>
      <c r="AE657" t="s">
        <v>173</v>
      </c>
      <c r="AF657" t="s">
        <v>173</v>
      </c>
      <c r="AG657" t="s">
        <v>173</v>
      </c>
      <c r="AH657" t="s">
        <v>177</v>
      </c>
      <c r="AI657" t="s">
        <v>177</v>
      </c>
      <c r="AJ657" t="s">
        <v>173</v>
      </c>
      <c r="AK657" t="s">
        <v>173</v>
      </c>
      <c r="AL657" t="s">
        <v>173</v>
      </c>
      <c r="AM657" t="s">
        <v>177</v>
      </c>
      <c r="AN657" t="s">
        <v>173</v>
      </c>
      <c r="AO657" t="s">
        <v>177</v>
      </c>
      <c r="AP657" t="s">
        <v>177</v>
      </c>
      <c r="AQ657" t="s">
        <v>177</v>
      </c>
      <c r="AR657" t="s">
        <v>173</v>
      </c>
      <c r="AS657" t="s">
        <v>173</v>
      </c>
      <c r="AT657" t="s">
        <v>177</v>
      </c>
      <c r="AU657" t="s">
        <v>177</v>
      </c>
      <c r="AV657" t="s">
        <v>173</v>
      </c>
      <c r="AW657" t="s">
        <v>173</v>
      </c>
      <c r="AX657" t="s">
        <v>193</v>
      </c>
      <c r="AY657" t="s">
        <v>196</v>
      </c>
    </row>
    <row r="658" hidden="1" spans="1:51">
      <c r="A658">
        <v>657</v>
      </c>
      <c r="B658" t="s">
        <v>282</v>
      </c>
      <c r="C658">
        <v>2023</v>
      </c>
      <c r="D658">
        <v>2020</v>
      </c>
      <c r="E658">
        <v>2020</v>
      </c>
      <c r="F658" t="s">
        <v>266</v>
      </c>
      <c r="G658"/>
      <c r="H658" t="s">
        <v>247</v>
      </c>
      <c r="I658"/>
      <c r="J658" t="s">
        <v>281</v>
      </c>
      <c r="K658" t="b">
        <v>0</v>
      </c>
      <c r="L658" t="b">
        <v>0</v>
      </c>
      <c r="M658" t="b">
        <v>0</v>
      </c>
      <c r="N658" t="b">
        <v>0</v>
      </c>
      <c r="O658" t="b">
        <v>0</v>
      </c>
      <c r="P658" t="b">
        <v>0</v>
      </c>
      <c r="Q658" t="b">
        <v>0</v>
      </c>
      <c r="R658" t="b">
        <v>0</v>
      </c>
      <c r="S658" t="b">
        <v>0</v>
      </c>
      <c r="T658" t="b">
        <v>0</v>
      </c>
      <c r="U658" t="b">
        <v>1</v>
      </c>
      <c r="V658" t="b">
        <v>0</v>
      </c>
      <c r="W658" t="b">
        <v>0</v>
      </c>
      <c r="X658" t="b">
        <v>0</v>
      </c>
      <c r="Y658" t="b">
        <v>0</v>
      </c>
      <c r="Z658" t="b">
        <v>0</v>
      </c>
      <c r="AA658" t="b">
        <v>0</v>
      </c>
      <c r="AB658" t="b">
        <v>0</v>
      </c>
      <c r="AC658" t="s">
        <v>175</v>
      </c>
      <c r="AD658" t="s">
        <v>177</v>
      </c>
      <c r="AE658" t="s">
        <v>171</v>
      </c>
      <c r="AF658" t="s">
        <v>171</v>
      </c>
      <c r="AG658" t="s">
        <v>171</v>
      </c>
      <c r="AH658" t="s">
        <v>173</v>
      </c>
      <c r="AI658" t="s">
        <v>173</v>
      </c>
      <c r="AJ658" t="s">
        <v>173</v>
      </c>
      <c r="AK658" t="s">
        <v>173</v>
      </c>
      <c r="AL658" t="s">
        <v>175</v>
      </c>
      <c r="AM658" t="s">
        <v>175</v>
      </c>
      <c r="AN658" t="s">
        <v>175</v>
      </c>
      <c r="AO658" t="s">
        <v>175</v>
      </c>
      <c r="AP658" t="s">
        <v>173</v>
      </c>
      <c r="AQ658" t="s">
        <v>177</v>
      </c>
      <c r="AR658" t="s">
        <v>173</v>
      </c>
      <c r="AS658" t="s">
        <v>173</v>
      </c>
      <c r="AT658" t="s">
        <v>173</v>
      </c>
      <c r="AU658" t="s">
        <v>173</v>
      </c>
      <c r="AV658" t="s">
        <v>177</v>
      </c>
      <c r="AW658" t="s">
        <v>175</v>
      </c>
      <c r="AX658" t="s">
        <v>192</v>
      </c>
      <c r="AY658" t="s">
        <v>200</v>
      </c>
    </row>
    <row r="659" hidden="1" spans="1:51">
      <c r="A659">
        <v>658</v>
      </c>
      <c r="B659" t="s">
        <v>259</v>
      </c>
      <c r="C659">
        <v>2023</v>
      </c>
      <c r="D659">
        <v>1987</v>
      </c>
      <c r="E659">
        <v>1987</v>
      </c>
      <c r="F659" t="s">
        <v>256</v>
      </c>
      <c r="G659" t="s">
        <v>257</v>
      </c>
      <c r="H659" t="s">
        <v>274</v>
      </c>
      <c r="I659"/>
      <c r="J659" t="s">
        <v>265</v>
      </c>
      <c r="K659" t="b">
        <v>0</v>
      </c>
      <c r="L659" t="b">
        <v>0</v>
      </c>
      <c r="M659" t="b">
        <v>0</v>
      </c>
      <c r="N659" t="b">
        <v>0</v>
      </c>
      <c r="O659" t="b">
        <v>0</v>
      </c>
      <c r="P659" t="b">
        <v>0</v>
      </c>
      <c r="Q659" t="b">
        <v>0</v>
      </c>
      <c r="R659" t="b">
        <v>0</v>
      </c>
      <c r="S659" t="b">
        <v>0</v>
      </c>
      <c r="T659" t="b">
        <v>0</v>
      </c>
      <c r="U659" t="b">
        <v>1</v>
      </c>
      <c r="V659" t="b">
        <v>0</v>
      </c>
      <c r="W659" t="b">
        <v>0</v>
      </c>
      <c r="X659" t="b">
        <v>1</v>
      </c>
      <c r="Y659" t="b">
        <v>0</v>
      </c>
      <c r="Z659" t="b">
        <v>1</v>
      </c>
      <c r="AA659" t="b">
        <v>0</v>
      </c>
      <c r="AB659" t="b">
        <v>0</v>
      </c>
      <c r="AC659" t="s">
        <v>173</v>
      </c>
      <c r="AD659" t="s">
        <v>175</v>
      </c>
      <c r="AE659" t="s">
        <v>173</v>
      </c>
      <c r="AF659" t="s">
        <v>173</v>
      </c>
      <c r="AG659" t="s">
        <v>173</v>
      </c>
      <c r="AH659" t="s">
        <v>173</v>
      </c>
      <c r="AI659" t="s">
        <v>173</v>
      </c>
      <c r="AJ659" t="s">
        <v>173</v>
      </c>
      <c r="AK659" t="s">
        <v>171</v>
      </c>
      <c r="AL659" t="s">
        <v>173</v>
      </c>
      <c r="AM659" t="s">
        <v>173</v>
      </c>
      <c r="AN659" t="s">
        <v>173</v>
      </c>
      <c r="AO659" t="s">
        <v>177</v>
      </c>
      <c r="AP659" t="s">
        <v>173</v>
      </c>
      <c r="AQ659" t="s">
        <v>173</v>
      </c>
      <c r="AR659" t="s">
        <v>171</v>
      </c>
      <c r="AS659" t="s">
        <v>173</v>
      </c>
      <c r="AT659" t="s">
        <v>173</v>
      </c>
      <c r="AU659" t="s">
        <v>173</v>
      </c>
      <c r="AV659" t="s">
        <v>173</v>
      </c>
      <c r="AW659" t="s">
        <v>173</v>
      </c>
      <c r="AX659" t="s">
        <v>192</v>
      </c>
      <c r="AY659" t="s">
        <v>197</v>
      </c>
    </row>
    <row r="660" hidden="1" spans="1:51">
      <c r="A660">
        <v>659</v>
      </c>
      <c r="B660" t="s">
        <v>272</v>
      </c>
      <c r="C660">
        <v>2023</v>
      </c>
      <c r="D660">
        <v>1980</v>
      </c>
      <c r="E660">
        <v>2011</v>
      </c>
      <c r="F660" t="s">
        <v>256</v>
      </c>
      <c r="G660" t="s">
        <v>263</v>
      </c>
      <c r="H660" t="s">
        <v>274</v>
      </c>
      <c r="I660"/>
      <c r="J660" t="s">
        <v>290</v>
      </c>
      <c r="K660" t="b">
        <v>0</v>
      </c>
      <c r="L660" t="b">
        <v>0</v>
      </c>
      <c r="M660" t="b">
        <v>0</v>
      </c>
      <c r="N660" t="b">
        <v>0</v>
      </c>
      <c r="O660" t="b">
        <v>0</v>
      </c>
      <c r="P660" t="b">
        <v>0</v>
      </c>
      <c r="Q660" t="b">
        <v>0</v>
      </c>
      <c r="R660" t="b">
        <v>0</v>
      </c>
      <c r="S660" t="b">
        <v>0</v>
      </c>
      <c r="T660" t="b">
        <v>0</v>
      </c>
      <c r="U660" t="b">
        <v>0</v>
      </c>
      <c r="V660" t="b">
        <v>1</v>
      </c>
      <c r="W660" t="b">
        <v>0</v>
      </c>
      <c r="X660" t="b">
        <v>0</v>
      </c>
      <c r="Y660" t="b">
        <v>0</v>
      </c>
      <c r="Z660" t="b">
        <v>0</v>
      </c>
      <c r="AA660" t="b">
        <v>0</v>
      </c>
      <c r="AB660" t="b">
        <v>0</v>
      </c>
      <c r="AC660" t="s">
        <v>173</v>
      </c>
      <c r="AD660" t="s">
        <v>183</v>
      </c>
      <c r="AE660" t="s">
        <v>171</v>
      </c>
      <c r="AF660" t="s">
        <v>173</v>
      </c>
      <c r="AG660" t="s">
        <v>173</v>
      </c>
      <c r="AH660" t="s">
        <v>173</v>
      </c>
      <c r="AI660" t="s">
        <v>173</v>
      </c>
      <c r="AJ660" t="s">
        <v>171</v>
      </c>
      <c r="AK660" t="s">
        <v>173</v>
      </c>
      <c r="AL660" t="s">
        <v>171</v>
      </c>
      <c r="AM660" t="s">
        <v>173</v>
      </c>
      <c r="AN660" t="s">
        <v>173</v>
      </c>
      <c r="AO660" t="s">
        <v>175</v>
      </c>
      <c r="AP660" t="s">
        <v>173</v>
      </c>
      <c r="AQ660" t="s">
        <v>173</v>
      </c>
      <c r="AR660" t="s">
        <v>173</v>
      </c>
      <c r="AS660" t="s">
        <v>173</v>
      </c>
      <c r="AT660" t="s">
        <v>173</v>
      </c>
      <c r="AU660" t="s">
        <v>173</v>
      </c>
      <c r="AV660" t="s">
        <v>173</v>
      </c>
      <c r="AW660" t="s">
        <v>173</v>
      </c>
      <c r="AY660" t="s">
        <v>195</v>
      </c>
    </row>
    <row r="661" hidden="1" spans="1:56">
      <c r="A661">
        <v>660</v>
      </c>
      <c r="B661" t="s">
        <v>255</v>
      </c>
      <c r="C661">
        <v>2023</v>
      </c>
      <c r="D661">
        <v>2007</v>
      </c>
      <c r="E661" t="s">
        <v>247</v>
      </c>
      <c r="F661" t="s">
        <v>266</v>
      </c>
      <c r="G661" t="s">
        <v>257</v>
      </c>
      <c r="H661" t="s">
        <v>247</v>
      </c>
      <c r="I661"/>
      <c r="J661" t="s">
        <v>252</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s">
        <v>171</v>
      </c>
      <c r="AD661" t="s">
        <v>175</v>
      </c>
      <c r="AE661" t="s">
        <v>173</v>
      </c>
      <c r="AF661" t="s">
        <v>171</v>
      </c>
      <c r="AG661" t="s">
        <v>173</v>
      </c>
      <c r="AH661" t="s">
        <v>171</v>
      </c>
      <c r="AI661" t="s">
        <v>173</v>
      </c>
      <c r="AJ661" t="s">
        <v>175</v>
      </c>
      <c r="AK661" t="s">
        <v>171</v>
      </c>
      <c r="AL661" t="s">
        <v>171</v>
      </c>
      <c r="AM661" t="s">
        <v>171</v>
      </c>
      <c r="AN661" t="s">
        <v>175</v>
      </c>
      <c r="AO661" t="s">
        <v>175</v>
      </c>
      <c r="AP661" t="s">
        <v>175</v>
      </c>
      <c r="AQ661" t="s">
        <v>171</v>
      </c>
      <c r="AR661" t="s">
        <v>175</v>
      </c>
      <c r="AS661" t="s">
        <v>173</v>
      </c>
      <c r="AT661" t="s">
        <v>173</v>
      </c>
      <c r="AU661" t="s">
        <v>171</v>
      </c>
      <c r="AV661" t="s">
        <v>175</v>
      </c>
      <c r="AW661" t="s">
        <v>173</v>
      </c>
      <c r="AX661" t="s">
        <v>192</v>
      </c>
      <c r="AY661" t="s">
        <v>199</v>
      </c>
      <c r="AZ661" t="s">
        <v>208</v>
      </c>
      <c r="BA661" t="s">
        <v>183</v>
      </c>
      <c r="BB661" t="s">
        <v>183</v>
      </c>
      <c r="BC661" t="s">
        <v>183</v>
      </c>
      <c r="BD661" t="s">
        <v>183</v>
      </c>
    </row>
    <row r="662" hidden="1" spans="1:51">
      <c r="A662">
        <v>661</v>
      </c>
      <c r="B662" t="s">
        <v>259</v>
      </c>
      <c r="C662">
        <v>2023</v>
      </c>
      <c r="D662" t="s">
        <v>247</v>
      </c>
      <c r="E662" t="s">
        <v>247</v>
      </c>
      <c r="F662" t="s">
        <v>275</v>
      </c>
      <c r="G662"/>
      <c r="H662" t="s">
        <v>274</v>
      </c>
      <c r="I662"/>
      <c r="J662" t="s">
        <v>265</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1</v>
      </c>
      <c r="AC662" t="s">
        <v>173</v>
      </c>
      <c r="AD662" t="s">
        <v>183</v>
      </c>
      <c r="AE662" t="s">
        <v>171</v>
      </c>
      <c r="AF662" t="s">
        <v>173</v>
      </c>
      <c r="AG662" t="s">
        <v>173</v>
      </c>
      <c r="AH662" t="s">
        <v>175</v>
      </c>
      <c r="AI662" t="s">
        <v>173</v>
      </c>
      <c r="AJ662" t="s">
        <v>173</v>
      </c>
      <c r="AK662" t="s">
        <v>173</v>
      </c>
      <c r="AL662" t="s">
        <v>173</v>
      </c>
      <c r="AM662" t="s">
        <v>173</v>
      </c>
      <c r="AN662" t="s">
        <v>183</v>
      </c>
      <c r="AO662" t="s">
        <v>183</v>
      </c>
      <c r="AP662" t="s">
        <v>173</v>
      </c>
      <c r="AQ662" t="s">
        <v>175</v>
      </c>
      <c r="AR662" t="s">
        <v>173</v>
      </c>
      <c r="AS662" t="s">
        <v>173</v>
      </c>
      <c r="AT662" t="s">
        <v>173</v>
      </c>
      <c r="AU662" t="s">
        <v>173</v>
      </c>
      <c r="AV662" t="s">
        <v>183</v>
      </c>
      <c r="AW662" t="s">
        <v>173</v>
      </c>
      <c r="AX662" t="s">
        <v>193</v>
      </c>
      <c r="AY662" t="s">
        <v>195</v>
      </c>
    </row>
    <row r="663" hidden="1" spans="1:51">
      <c r="A663">
        <v>662</v>
      </c>
      <c r="B663" t="s">
        <v>259</v>
      </c>
      <c r="C663">
        <v>2024</v>
      </c>
      <c r="D663">
        <v>1979</v>
      </c>
      <c r="E663">
        <v>2019</v>
      </c>
      <c r="F663" t="s">
        <v>256</v>
      </c>
      <c r="G663" t="s">
        <v>263</v>
      </c>
      <c r="H663" t="s">
        <v>274</v>
      </c>
      <c r="I663"/>
      <c r="J663" t="s">
        <v>265</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1</v>
      </c>
      <c r="AC663" t="s">
        <v>173</v>
      </c>
      <c r="AD663" t="s">
        <v>173</v>
      </c>
      <c r="AE663" t="s">
        <v>173</v>
      </c>
      <c r="AF663" t="s">
        <v>173</v>
      </c>
      <c r="AG663" t="s">
        <v>175</v>
      </c>
      <c r="AH663" t="s">
        <v>175</v>
      </c>
      <c r="AI663" t="s">
        <v>173</v>
      </c>
      <c r="AJ663" t="s">
        <v>171</v>
      </c>
      <c r="AK663" t="s">
        <v>171</v>
      </c>
      <c r="AL663" t="s">
        <v>171</v>
      </c>
      <c r="AM663" t="s">
        <v>171</v>
      </c>
      <c r="AN663" t="s">
        <v>173</v>
      </c>
      <c r="AO663" t="s">
        <v>183</v>
      </c>
      <c r="AP663" t="s">
        <v>173</v>
      </c>
      <c r="AQ663" t="s">
        <v>173</v>
      </c>
      <c r="AR663" t="s">
        <v>173</v>
      </c>
      <c r="AS663" t="s">
        <v>171</v>
      </c>
      <c r="AT663" t="s">
        <v>173</v>
      </c>
      <c r="AU663" t="s">
        <v>173</v>
      </c>
      <c r="AV663" t="s">
        <v>175</v>
      </c>
      <c r="AW663" t="s">
        <v>175</v>
      </c>
      <c r="AX663" t="s">
        <v>193</v>
      </c>
      <c r="AY663" t="s">
        <v>195</v>
      </c>
    </row>
    <row r="664" hidden="1" spans="1:51">
      <c r="A664">
        <v>663</v>
      </c>
      <c r="B664" t="s">
        <v>255</v>
      </c>
      <c r="C664">
        <v>2023</v>
      </c>
      <c r="D664" t="s">
        <v>247</v>
      </c>
      <c r="E664" t="s">
        <v>247</v>
      </c>
      <c r="F664" t="s">
        <v>256</v>
      </c>
      <c r="G664" t="s">
        <v>257</v>
      </c>
      <c r="H664" t="s">
        <v>258</v>
      </c>
      <c r="I664"/>
      <c r="J664" t="s">
        <v>265</v>
      </c>
      <c r="K664" t="b">
        <v>0</v>
      </c>
      <c r="L664" t="b">
        <v>0</v>
      </c>
      <c r="M664" t="b">
        <v>0</v>
      </c>
      <c r="N664" t="b">
        <v>0</v>
      </c>
      <c r="O664" t="b">
        <v>0</v>
      </c>
      <c r="P664" t="b">
        <v>0</v>
      </c>
      <c r="Q664" t="b">
        <v>0</v>
      </c>
      <c r="R664" t="b">
        <v>0</v>
      </c>
      <c r="S664" t="b">
        <v>0</v>
      </c>
      <c r="T664" t="b">
        <v>0</v>
      </c>
      <c r="U664" t="b">
        <v>1</v>
      </c>
      <c r="V664" t="b">
        <v>0</v>
      </c>
      <c r="W664" t="b">
        <v>0</v>
      </c>
      <c r="X664" t="b">
        <v>0</v>
      </c>
      <c r="Y664" t="b">
        <v>0</v>
      </c>
      <c r="Z664" t="b">
        <v>0</v>
      </c>
      <c r="AA664" t="b">
        <v>0</v>
      </c>
      <c r="AB664" t="b">
        <v>0</v>
      </c>
      <c r="AC664" t="s">
        <v>171</v>
      </c>
      <c r="AD664" t="s">
        <v>177</v>
      </c>
      <c r="AE664" t="s">
        <v>173</v>
      </c>
      <c r="AF664" t="s">
        <v>173</v>
      </c>
      <c r="AG664" t="s">
        <v>171</v>
      </c>
      <c r="AH664" t="s">
        <v>173</v>
      </c>
      <c r="AI664" t="s">
        <v>173</v>
      </c>
      <c r="AJ664" t="s">
        <v>173</v>
      </c>
      <c r="AK664" t="s">
        <v>173</v>
      </c>
      <c r="AL664" t="s">
        <v>173</v>
      </c>
      <c r="AM664" t="s">
        <v>177</v>
      </c>
      <c r="AN664" t="s">
        <v>177</v>
      </c>
      <c r="AO664" t="s">
        <v>173</v>
      </c>
      <c r="AP664" t="s">
        <v>175</v>
      </c>
      <c r="AQ664" t="s">
        <v>173</v>
      </c>
      <c r="AR664" t="s">
        <v>171</v>
      </c>
      <c r="AS664" t="s">
        <v>171</v>
      </c>
      <c r="AT664" t="s">
        <v>171</v>
      </c>
      <c r="AU664" t="s">
        <v>171</v>
      </c>
      <c r="AV664" t="s">
        <v>173</v>
      </c>
      <c r="AW664" t="s">
        <v>171</v>
      </c>
      <c r="AX664" t="s">
        <v>192</v>
      </c>
      <c r="AY664" t="s">
        <v>198</v>
      </c>
    </row>
    <row r="665" hidden="1" spans="1:51">
      <c r="A665">
        <v>665</v>
      </c>
      <c r="B665" t="s">
        <v>246</v>
      </c>
      <c r="C665">
        <v>2023</v>
      </c>
      <c r="D665">
        <v>1978</v>
      </c>
      <c r="E665" t="s">
        <v>247</v>
      </c>
      <c r="F665" t="s">
        <v>248</v>
      </c>
      <c r="G665" t="s">
        <v>242</v>
      </c>
      <c r="H665" t="s">
        <v>261</v>
      </c>
      <c r="I665"/>
      <c r="J665" t="s">
        <v>265</v>
      </c>
      <c r="K665" t="b">
        <v>0</v>
      </c>
      <c r="L665" t="b">
        <v>0</v>
      </c>
      <c r="M665" t="b">
        <v>0</v>
      </c>
      <c r="N665" t="b">
        <v>0</v>
      </c>
      <c r="O665" t="b">
        <v>0</v>
      </c>
      <c r="P665" t="b">
        <v>0</v>
      </c>
      <c r="Q665" t="b">
        <v>0</v>
      </c>
      <c r="R665" t="b">
        <v>0</v>
      </c>
      <c r="S665" t="b">
        <v>0</v>
      </c>
      <c r="T665" t="b">
        <v>0</v>
      </c>
      <c r="U665" t="b">
        <v>0</v>
      </c>
      <c r="V665" t="b">
        <v>0</v>
      </c>
      <c r="W665" t="b">
        <v>1</v>
      </c>
      <c r="X665" t="b">
        <v>0</v>
      </c>
      <c r="Y665" t="b">
        <v>0</v>
      </c>
      <c r="Z665" t="b">
        <v>1</v>
      </c>
      <c r="AA665" t="b">
        <v>0</v>
      </c>
      <c r="AB665" t="b">
        <v>0</v>
      </c>
      <c r="AC665" t="s">
        <v>173</v>
      </c>
      <c r="AD665" t="s">
        <v>175</v>
      </c>
      <c r="AE665" t="s">
        <v>173</v>
      </c>
      <c r="AF665" t="s">
        <v>175</v>
      </c>
      <c r="AG665" t="s">
        <v>175</v>
      </c>
      <c r="AH665" t="s">
        <v>177</v>
      </c>
      <c r="AI665" t="s">
        <v>175</v>
      </c>
      <c r="AJ665" t="s">
        <v>175</v>
      </c>
      <c r="AK665" t="s">
        <v>171</v>
      </c>
      <c r="AL665" t="s">
        <v>173</v>
      </c>
      <c r="AM665" t="s">
        <v>171</v>
      </c>
      <c r="AN665" t="s">
        <v>173</v>
      </c>
      <c r="AO665" t="s">
        <v>173</v>
      </c>
      <c r="AP665" t="s">
        <v>171</v>
      </c>
      <c r="AQ665" t="s">
        <v>173</v>
      </c>
      <c r="AR665" t="s">
        <v>173</v>
      </c>
      <c r="AS665" t="s">
        <v>171</v>
      </c>
      <c r="AT665" t="s">
        <v>171</v>
      </c>
      <c r="AU665" t="s">
        <v>173</v>
      </c>
      <c r="AV665" t="s">
        <v>173</v>
      </c>
      <c r="AW665" t="s">
        <v>173</v>
      </c>
      <c r="AX665" t="s">
        <v>192</v>
      </c>
      <c r="AY665" t="s">
        <v>195</v>
      </c>
    </row>
    <row r="666" hidden="1" spans="1:51">
      <c r="A666">
        <v>666</v>
      </c>
      <c r="B666" t="s">
        <v>269</v>
      </c>
      <c r="C666">
        <v>2024</v>
      </c>
      <c r="D666">
        <v>2008</v>
      </c>
      <c r="E666">
        <v>2022</v>
      </c>
      <c r="F666" t="s">
        <v>260</v>
      </c>
      <c r="G666"/>
      <c r="H666" t="s">
        <v>267</v>
      </c>
      <c r="I666"/>
      <c r="J666" t="s">
        <v>252</v>
      </c>
      <c r="K666" t="b">
        <v>1</v>
      </c>
      <c r="L666" t="b">
        <v>0</v>
      </c>
      <c r="M666" t="b">
        <v>0</v>
      </c>
      <c r="N666" t="b">
        <v>0</v>
      </c>
      <c r="O666" t="b">
        <v>0</v>
      </c>
      <c r="P666" t="b">
        <v>0</v>
      </c>
      <c r="Q666" t="b">
        <v>0</v>
      </c>
      <c r="R666" t="b">
        <v>0</v>
      </c>
      <c r="S666" t="b">
        <v>0</v>
      </c>
      <c r="T666" t="b">
        <v>0</v>
      </c>
      <c r="U666" t="b">
        <v>0</v>
      </c>
      <c r="V666" t="b">
        <v>0</v>
      </c>
      <c r="W666" t="b">
        <v>1</v>
      </c>
      <c r="X666" t="b">
        <v>0</v>
      </c>
      <c r="Y666" t="b">
        <v>0</v>
      </c>
      <c r="Z666" t="b">
        <v>1</v>
      </c>
      <c r="AA666" t="b">
        <v>0</v>
      </c>
      <c r="AB666" t="b">
        <v>0</v>
      </c>
      <c r="AC666" t="s">
        <v>173</v>
      </c>
      <c r="AD666" t="s">
        <v>173</v>
      </c>
      <c r="AE666" t="s">
        <v>173</v>
      </c>
      <c r="AF666" t="s">
        <v>171</v>
      </c>
      <c r="AG666" t="s">
        <v>173</v>
      </c>
      <c r="AH666" t="s">
        <v>173</v>
      </c>
      <c r="AI666" t="s">
        <v>173</v>
      </c>
      <c r="AJ666" t="s">
        <v>171</v>
      </c>
      <c r="AK666" t="s">
        <v>173</v>
      </c>
      <c r="AL666" t="s">
        <v>171</v>
      </c>
      <c r="AM666" t="s">
        <v>171</v>
      </c>
      <c r="AN666" t="s">
        <v>173</v>
      </c>
      <c r="AO666" t="s">
        <v>171</v>
      </c>
      <c r="AP666" t="s">
        <v>171</v>
      </c>
      <c r="AQ666" t="s">
        <v>173</v>
      </c>
      <c r="AR666" t="s">
        <v>173</v>
      </c>
      <c r="AS666" t="s">
        <v>171</v>
      </c>
      <c r="AT666" t="s">
        <v>173</v>
      </c>
      <c r="AU666" t="s">
        <v>173</v>
      </c>
      <c r="AV666" t="s">
        <v>175</v>
      </c>
      <c r="AW666" t="s">
        <v>173</v>
      </c>
      <c r="AX666" t="s">
        <v>193</v>
      </c>
      <c r="AY666" t="s">
        <v>198</v>
      </c>
    </row>
    <row r="667" hidden="1" spans="1:50">
      <c r="A667">
        <v>667</v>
      </c>
      <c r="B667" t="s">
        <v>259</v>
      </c>
      <c r="C667">
        <v>2024</v>
      </c>
      <c r="D667">
        <v>2000</v>
      </c>
      <c r="E667">
        <v>2010</v>
      </c>
      <c r="F667" t="s">
        <v>256</v>
      </c>
      <c r="G667" t="s">
        <v>279</v>
      </c>
      <c r="H667" t="s">
        <v>264</v>
      </c>
      <c r="I667"/>
      <c r="J667" t="s">
        <v>252</v>
      </c>
      <c r="K667" t="b">
        <v>0</v>
      </c>
      <c r="L667" t="b">
        <v>0</v>
      </c>
      <c r="M667" t="b">
        <v>0</v>
      </c>
      <c r="N667" t="b">
        <v>1</v>
      </c>
      <c r="O667" t="b">
        <v>1</v>
      </c>
      <c r="P667" t="b">
        <v>0</v>
      </c>
      <c r="Q667" t="b">
        <v>1</v>
      </c>
      <c r="R667" t="b">
        <v>0</v>
      </c>
      <c r="S667" t="b">
        <v>0</v>
      </c>
      <c r="T667" t="b">
        <v>0</v>
      </c>
      <c r="U667" t="b">
        <v>0</v>
      </c>
      <c r="V667" t="b">
        <v>0</v>
      </c>
      <c r="W667" t="b">
        <v>1</v>
      </c>
      <c r="X667" t="b">
        <v>0</v>
      </c>
      <c r="Y667" t="b">
        <v>0</v>
      </c>
      <c r="Z667" t="b">
        <v>1</v>
      </c>
      <c r="AA667" t="b">
        <v>0</v>
      </c>
      <c r="AB667" t="b">
        <v>0</v>
      </c>
      <c r="AC667" t="s">
        <v>171</v>
      </c>
      <c r="AD667" t="s">
        <v>177</v>
      </c>
      <c r="AE667" t="s">
        <v>179</v>
      </c>
      <c r="AF667" t="s">
        <v>179</v>
      </c>
      <c r="AG667" t="s">
        <v>173</v>
      </c>
      <c r="AH667" t="s">
        <v>173</v>
      </c>
      <c r="AI667" t="s">
        <v>179</v>
      </c>
      <c r="AJ667" t="s">
        <v>179</v>
      </c>
      <c r="AK667" t="s">
        <v>179</v>
      </c>
      <c r="AL667" t="s">
        <v>173</v>
      </c>
      <c r="AM667" t="s">
        <v>173</v>
      </c>
      <c r="AN667" t="s">
        <v>179</v>
      </c>
      <c r="AO667" t="s">
        <v>173</v>
      </c>
      <c r="AP667" t="s">
        <v>183</v>
      </c>
      <c r="AQ667" t="s">
        <v>179</v>
      </c>
      <c r="AR667" t="s">
        <v>173</v>
      </c>
      <c r="AS667" t="s">
        <v>179</v>
      </c>
      <c r="AT667" t="s">
        <v>173</v>
      </c>
      <c r="AU667" t="s">
        <v>173</v>
      </c>
      <c r="AV667" t="s">
        <v>179</v>
      </c>
      <c r="AW667" t="s">
        <v>179</v>
      </c>
      <c r="AX667" t="s">
        <v>192</v>
      </c>
    </row>
    <row r="668" spans="1:65">
      <c r="A668">
        <v>668</v>
      </c>
      <c r="B668" t="s">
        <v>277</v>
      </c>
      <c r="C668" s="10">
        <v>2024</v>
      </c>
      <c r="D668" s="10">
        <v>2021</v>
      </c>
      <c r="E668" s="10">
        <v>2022</v>
      </c>
      <c r="F668" s="10" t="s">
        <v>241</v>
      </c>
      <c r="G668" s="10" t="s">
        <v>242</v>
      </c>
      <c r="H668" s="10" t="s">
        <v>243</v>
      </c>
      <c r="I668" s="10" t="s">
        <v>278</v>
      </c>
      <c r="J668" s="10" t="s">
        <v>285</v>
      </c>
      <c r="K668" t="b">
        <v>0</v>
      </c>
      <c r="L668" t="b">
        <v>1</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s="10" t="s">
        <v>175</v>
      </c>
      <c r="AD668" t="s">
        <v>173</v>
      </c>
      <c r="AE668" t="s">
        <v>175</v>
      </c>
      <c r="AG668" t="s">
        <v>175</v>
      </c>
      <c r="AH668" t="s">
        <v>173</v>
      </c>
      <c r="AI668" t="s">
        <v>173</v>
      </c>
      <c r="AJ668" t="s">
        <v>173</v>
      </c>
      <c r="AK668" t="s">
        <v>171</v>
      </c>
      <c r="AL668" t="s">
        <v>173</v>
      </c>
      <c r="AM668" t="s">
        <v>173</v>
      </c>
      <c r="AN668" t="s">
        <v>173</v>
      </c>
      <c r="AO668" t="s">
        <v>173</v>
      </c>
      <c r="AP668" t="s">
        <v>173</v>
      </c>
      <c r="AQ668" t="s">
        <v>173</v>
      </c>
      <c r="AR668" t="s">
        <v>173</v>
      </c>
      <c r="AS668" t="s">
        <v>173</v>
      </c>
      <c r="AT668" t="s">
        <v>173</v>
      </c>
      <c r="AU668" t="s">
        <v>173</v>
      </c>
      <c r="AV668" t="s">
        <v>175</v>
      </c>
      <c r="AW668" t="s">
        <v>175</v>
      </c>
      <c r="AX668" t="s">
        <v>193</v>
      </c>
      <c r="AY668" t="s">
        <v>202</v>
      </c>
      <c r="BE668" t="str">
        <f>IF(AY668="","Unknown",AY668)</f>
        <v>21-25</v>
      </c>
      <c r="BF668" s="11" t="str">
        <f>IF(AZ668="","unknown",AZ668)</f>
        <v>unknown</v>
      </c>
      <c r="BG668" s="11" t="str">
        <f>IF(BA668="","UNKNOWN",BA668)</f>
        <v>UNKNOWN</v>
      </c>
      <c r="BH668" s="11" t="str">
        <f>IF(BB668="","unknown",BB668)</f>
        <v>unknown</v>
      </c>
      <c r="BI668" s="11" t="str">
        <f>IF(BC668="","Unknon",BC668)</f>
        <v>Unknon</v>
      </c>
      <c r="BJ668" s="11" t="str">
        <f>IF(BD668="","Unknown",BD668)</f>
        <v>Unknown</v>
      </c>
      <c r="BK668" s="11">
        <f>VALUE(C668)-VALUE(D668)</f>
        <v>3</v>
      </c>
      <c r="BM668" s="11"/>
    </row>
    <row r="669" hidden="1" spans="1:51">
      <c r="A669">
        <v>669</v>
      </c>
      <c r="B669" t="s">
        <v>255</v>
      </c>
      <c r="C669">
        <v>2024</v>
      </c>
      <c r="D669">
        <v>2020</v>
      </c>
      <c r="E669">
        <v>2020</v>
      </c>
      <c r="F669" t="s">
        <v>266</v>
      </c>
      <c r="G669"/>
      <c r="H669" t="s">
        <v>261</v>
      </c>
      <c r="I669"/>
      <c r="J669" t="s">
        <v>265</v>
      </c>
      <c r="K669" t="b">
        <v>0</v>
      </c>
      <c r="L669" t="b">
        <v>0</v>
      </c>
      <c r="M669" t="b">
        <v>0</v>
      </c>
      <c r="N669" t="b">
        <v>0</v>
      </c>
      <c r="O669" t="b">
        <v>0</v>
      </c>
      <c r="P669" t="b">
        <v>0</v>
      </c>
      <c r="Q669" t="b">
        <v>0</v>
      </c>
      <c r="R669" t="b">
        <v>0</v>
      </c>
      <c r="S669" t="b">
        <v>0</v>
      </c>
      <c r="T669" t="b">
        <v>0</v>
      </c>
      <c r="U669" t="b">
        <v>0</v>
      </c>
      <c r="V669" t="b">
        <v>1</v>
      </c>
      <c r="W669" t="b">
        <v>0</v>
      </c>
      <c r="X669" t="b">
        <v>0</v>
      </c>
      <c r="Y669" t="b">
        <v>0</v>
      </c>
      <c r="Z669" t="b">
        <v>0</v>
      </c>
      <c r="AA669" t="b">
        <v>0</v>
      </c>
      <c r="AB669" t="b">
        <v>0</v>
      </c>
      <c r="AC669" t="s">
        <v>173</v>
      </c>
      <c r="AD669" t="s">
        <v>175</v>
      </c>
      <c r="AE669" t="s">
        <v>177</v>
      </c>
      <c r="AF669" t="s">
        <v>173</v>
      </c>
      <c r="AG669" t="s">
        <v>173</v>
      </c>
      <c r="AH669" t="s">
        <v>173</v>
      </c>
      <c r="AI669" t="s">
        <v>173</v>
      </c>
      <c r="AJ669" t="s">
        <v>173</v>
      </c>
      <c r="AK669" t="s">
        <v>173</v>
      </c>
      <c r="AL669" t="s">
        <v>173</v>
      </c>
      <c r="AM669" t="s">
        <v>175</v>
      </c>
      <c r="AN669" t="s">
        <v>175</v>
      </c>
      <c r="AO669" t="s">
        <v>173</v>
      </c>
      <c r="AP669" t="s">
        <v>173</v>
      </c>
      <c r="AQ669" t="s">
        <v>173</v>
      </c>
      <c r="AR669" t="s">
        <v>177</v>
      </c>
      <c r="AS669" t="s">
        <v>181</v>
      </c>
      <c r="AT669" t="s">
        <v>173</v>
      </c>
      <c r="AU669" t="s">
        <v>173</v>
      </c>
      <c r="AV669" t="s">
        <v>177</v>
      </c>
      <c r="AW669" t="s">
        <v>173</v>
      </c>
      <c r="AX669" t="s">
        <v>192</v>
      </c>
      <c r="AY669" t="s">
        <v>199</v>
      </c>
    </row>
    <row r="670" hidden="1" spans="1:51">
      <c r="A670">
        <v>670</v>
      </c>
      <c r="B670" t="s">
        <v>259</v>
      </c>
      <c r="C670">
        <v>2024</v>
      </c>
      <c r="D670">
        <v>1992</v>
      </c>
      <c r="E670">
        <v>2011</v>
      </c>
      <c r="F670" t="s">
        <v>262</v>
      </c>
      <c r="G670"/>
      <c r="H670" t="s">
        <v>261</v>
      </c>
      <c r="I670"/>
      <c r="J670" t="s">
        <v>252</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1</v>
      </c>
      <c r="AC670" t="s">
        <v>171</v>
      </c>
      <c r="AD670" t="s">
        <v>171</v>
      </c>
      <c r="AE670" t="s">
        <v>173</v>
      </c>
      <c r="AF670" t="s">
        <v>175</v>
      </c>
      <c r="AG670" t="s">
        <v>175</v>
      </c>
      <c r="AH670" t="s">
        <v>173</v>
      </c>
      <c r="AI670" t="s">
        <v>173</v>
      </c>
      <c r="AJ670" t="s">
        <v>173</v>
      </c>
      <c r="AK670" t="s">
        <v>171</v>
      </c>
      <c r="AL670" t="s">
        <v>171</v>
      </c>
      <c r="AM670" t="s">
        <v>171</v>
      </c>
      <c r="AN670" t="s">
        <v>171</v>
      </c>
      <c r="AO670" t="s">
        <v>173</v>
      </c>
      <c r="AP670" t="s">
        <v>175</v>
      </c>
      <c r="AQ670" t="s">
        <v>173</v>
      </c>
      <c r="AR670" t="s">
        <v>173</v>
      </c>
      <c r="AS670" t="s">
        <v>171</v>
      </c>
      <c r="AT670" t="s">
        <v>171</v>
      </c>
      <c r="AU670" t="s">
        <v>171</v>
      </c>
      <c r="AV670" t="s">
        <v>173</v>
      </c>
      <c r="AW670" t="s">
        <v>173</v>
      </c>
      <c r="AY670" t="s">
        <v>195</v>
      </c>
    </row>
    <row r="671" hidden="1" spans="1:51">
      <c r="A671">
        <v>671</v>
      </c>
      <c r="B671" t="s">
        <v>272</v>
      </c>
      <c r="C671">
        <v>2024</v>
      </c>
      <c r="D671">
        <v>2022</v>
      </c>
      <c r="E671">
        <v>2022</v>
      </c>
      <c r="F671" t="s">
        <v>310</v>
      </c>
      <c r="G671"/>
      <c r="H671" t="s">
        <v>274</v>
      </c>
      <c r="I671"/>
      <c r="J671" t="s">
        <v>290</v>
      </c>
      <c r="K671" t="b">
        <v>0</v>
      </c>
      <c r="L671" t="b">
        <v>1</v>
      </c>
      <c r="M671" t="b">
        <v>0</v>
      </c>
      <c r="N671" t="b">
        <v>1</v>
      </c>
      <c r="O671" t="b">
        <v>0</v>
      </c>
      <c r="P671" t="b">
        <v>0</v>
      </c>
      <c r="Q671" t="b">
        <v>0</v>
      </c>
      <c r="R671" t="b">
        <v>0</v>
      </c>
      <c r="S671" t="b">
        <v>0</v>
      </c>
      <c r="T671" t="b">
        <v>0</v>
      </c>
      <c r="U671" t="b">
        <v>0</v>
      </c>
      <c r="V671" t="b">
        <v>0</v>
      </c>
      <c r="W671" t="b">
        <v>0</v>
      </c>
      <c r="X671" t="b">
        <v>0</v>
      </c>
      <c r="Y671" t="b">
        <v>0</v>
      </c>
      <c r="Z671" t="b">
        <v>0</v>
      </c>
      <c r="AA671" t="b">
        <v>0</v>
      </c>
      <c r="AB671" t="b">
        <v>0</v>
      </c>
      <c r="AC671" t="s">
        <v>173</v>
      </c>
      <c r="AD671" t="s">
        <v>175</v>
      </c>
      <c r="AE671" t="s">
        <v>173</v>
      </c>
      <c r="AF671" t="s">
        <v>173</v>
      </c>
      <c r="AG671" t="s">
        <v>173</v>
      </c>
      <c r="AH671" t="s">
        <v>171</v>
      </c>
      <c r="AI671" t="s">
        <v>171</v>
      </c>
      <c r="AJ671" t="s">
        <v>173</v>
      </c>
      <c r="AK671" t="s">
        <v>173</v>
      </c>
      <c r="AL671" t="s">
        <v>171</v>
      </c>
      <c r="AM671" t="s">
        <v>179</v>
      </c>
      <c r="AN671" t="s">
        <v>173</v>
      </c>
      <c r="AO671" t="s">
        <v>179</v>
      </c>
      <c r="AP671" t="s">
        <v>177</v>
      </c>
      <c r="AQ671" t="s">
        <v>179</v>
      </c>
      <c r="AR671" t="s">
        <v>173</v>
      </c>
      <c r="AS671" t="s">
        <v>171</v>
      </c>
      <c r="AT671" t="s">
        <v>175</v>
      </c>
      <c r="AU671" t="s">
        <v>173</v>
      </c>
      <c r="AV671" t="s">
        <v>175</v>
      </c>
      <c r="AW671" t="s">
        <v>173</v>
      </c>
      <c r="AX671" t="s">
        <v>192</v>
      </c>
      <c r="AY671" t="s">
        <v>200</v>
      </c>
    </row>
    <row r="672" hidden="1" spans="1:51">
      <c r="A672">
        <v>672</v>
      </c>
      <c r="B672" t="s">
        <v>272</v>
      </c>
      <c r="C672">
        <v>2024</v>
      </c>
      <c r="D672">
        <v>2022</v>
      </c>
      <c r="E672">
        <v>2022</v>
      </c>
      <c r="F672" t="s">
        <v>310</v>
      </c>
      <c r="G672"/>
      <c r="H672" t="s">
        <v>274</v>
      </c>
      <c r="I672"/>
      <c r="J672" t="s">
        <v>290</v>
      </c>
      <c r="K672" t="b">
        <v>0</v>
      </c>
      <c r="L672" t="b">
        <v>0</v>
      </c>
      <c r="M672" t="b">
        <v>0</v>
      </c>
      <c r="N672" t="b">
        <v>0</v>
      </c>
      <c r="O672" t="b">
        <v>0</v>
      </c>
      <c r="P672" t="b">
        <v>0</v>
      </c>
      <c r="Q672" t="b">
        <v>0</v>
      </c>
      <c r="R672" t="b">
        <v>0</v>
      </c>
      <c r="S672" t="b">
        <v>0</v>
      </c>
      <c r="T672" t="b">
        <v>0</v>
      </c>
      <c r="U672" t="b">
        <v>0</v>
      </c>
      <c r="V672" t="b">
        <v>0</v>
      </c>
      <c r="W672" t="b">
        <v>1</v>
      </c>
      <c r="X672" t="b">
        <v>0</v>
      </c>
      <c r="Y672" t="b">
        <v>0</v>
      </c>
      <c r="Z672" t="b">
        <v>0</v>
      </c>
      <c r="AA672" t="b">
        <v>0</v>
      </c>
      <c r="AB672" t="b">
        <v>0</v>
      </c>
      <c r="AC672" t="s">
        <v>175</v>
      </c>
      <c r="AD672" t="s">
        <v>175</v>
      </c>
      <c r="AE672" t="s">
        <v>173</v>
      </c>
      <c r="AF672" t="s">
        <v>173</v>
      </c>
      <c r="AG672" t="s">
        <v>173</v>
      </c>
      <c r="AH672" t="s">
        <v>173</v>
      </c>
      <c r="AI672" t="s">
        <v>173</v>
      </c>
      <c r="AJ672" t="s">
        <v>173</v>
      </c>
      <c r="AK672" t="s">
        <v>175</v>
      </c>
      <c r="AL672" t="s">
        <v>173</v>
      </c>
      <c r="AM672" t="s">
        <v>175</v>
      </c>
      <c r="AN672" t="s">
        <v>175</v>
      </c>
      <c r="AO672" t="s">
        <v>173</v>
      </c>
      <c r="AP672" t="s">
        <v>175</v>
      </c>
      <c r="AQ672" t="s">
        <v>173</v>
      </c>
      <c r="AR672" t="s">
        <v>173</v>
      </c>
      <c r="AS672" t="s">
        <v>173</v>
      </c>
      <c r="AT672" t="s">
        <v>173</v>
      </c>
      <c r="AU672" t="s">
        <v>173</v>
      </c>
      <c r="AV672" t="s">
        <v>175</v>
      </c>
      <c r="AW672" t="s">
        <v>175</v>
      </c>
      <c r="AX672" t="s">
        <v>192</v>
      </c>
      <c r="AY672" t="s">
        <v>202</v>
      </c>
    </row>
    <row r="673" hidden="1" spans="1:51">
      <c r="A673">
        <v>673</v>
      </c>
      <c r="B673" t="s">
        <v>269</v>
      </c>
      <c r="C673">
        <v>2024</v>
      </c>
      <c r="D673">
        <v>2018</v>
      </c>
      <c r="E673">
        <v>2018</v>
      </c>
      <c r="F673" t="s">
        <v>256</v>
      </c>
      <c r="G673" t="s">
        <v>257</v>
      </c>
      <c r="H673" t="s">
        <v>267</v>
      </c>
      <c r="I673"/>
      <c r="J673" t="s">
        <v>252</v>
      </c>
      <c r="K673" t="b">
        <v>0</v>
      </c>
      <c r="L673" t="b">
        <v>1</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s">
        <v>171</v>
      </c>
      <c r="AD673" t="s">
        <v>171</v>
      </c>
      <c r="AE673" t="s">
        <v>171</v>
      </c>
      <c r="AF673" t="s">
        <v>171</v>
      </c>
      <c r="AG673" t="s">
        <v>171</v>
      </c>
      <c r="AH673" t="s">
        <v>171</v>
      </c>
      <c r="AI673" t="s">
        <v>171</v>
      </c>
      <c r="AJ673" t="s">
        <v>171</v>
      </c>
      <c r="AK673" t="s">
        <v>171</v>
      </c>
      <c r="AL673" t="s">
        <v>171</v>
      </c>
      <c r="AM673" t="s">
        <v>171</v>
      </c>
      <c r="AN673" t="s">
        <v>171</v>
      </c>
      <c r="AO673" t="s">
        <v>171</v>
      </c>
      <c r="AP673" t="s">
        <v>171</v>
      </c>
      <c r="AQ673" t="s">
        <v>171</v>
      </c>
      <c r="AR673" t="s">
        <v>171</v>
      </c>
      <c r="AS673" t="s">
        <v>171</v>
      </c>
      <c r="AT673" t="s">
        <v>171</v>
      </c>
      <c r="AU673" t="s">
        <v>171</v>
      </c>
      <c r="AV673" t="s">
        <v>173</v>
      </c>
      <c r="AW673" t="s">
        <v>171</v>
      </c>
      <c r="AX673" t="s">
        <v>192</v>
      </c>
      <c r="AY673" t="s">
        <v>199</v>
      </c>
    </row>
    <row r="674" hidden="1" spans="1:56">
      <c r="A674">
        <v>674</v>
      </c>
      <c r="B674" t="s">
        <v>259</v>
      </c>
      <c r="C674">
        <v>2024</v>
      </c>
      <c r="D674">
        <v>1978</v>
      </c>
      <c r="E674">
        <v>2010</v>
      </c>
      <c r="F674" t="s">
        <v>256</v>
      </c>
      <c r="G674" t="s">
        <v>257</v>
      </c>
      <c r="H674" t="s">
        <v>267</v>
      </c>
      <c r="I674"/>
      <c r="J674" t="s">
        <v>252</v>
      </c>
      <c r="K674" t="b">
        <v>0</v>
      </c>
      <c r="L674" t="b">
        <v>0</v>
      </c>
      <c r="M674" t="b">
        <v>0</v>
      </c>
      <c r="N674" t="b">
        <v>0</v>
      </c>
      <c r="O674" t="b">
        <v>1</v>
      </c>
      <c r="P674" t="b">
        <v>0</v>
      </c>
      <c r="Q674" t="b">
        <v>0</v>
      </c>
      <c r="R674" t="b">
        <v>0</v>
      </c>
      <c r="S674" t="b">
        <v>1</v>
      </c>
      <c r="T674" t="b">
        <v>0</v>
      </c>
      <c r="U674" t="b">
        <v>0</v>
      </c>
      <c r="V674" t="b">
        <v>0</v>
      </c>
      <c r="W674" t="b">
        <v>0</v>
      </c>
      <c r="X674" t="b">
        <v>0</v>
      </c>
      <c r="Y674" t="b">
        <v>0</v>
      </c>
      <c r="Z674" t="b">
        <v>1</v>
      </c>
      <c r="AA674" t="b">
        <v>1</v>
      </c>
      <c r="AB674" t="b">
        <v>0</v>
      </c>
      <c r="AC674" t="s">
        <v>175</v>
      </c>
      <c r="AD674" t="s">
        <v>175</v>
      </c>
      <c r="AE674" t="s">
        <v>177</v>
      </c>
      <c r="AF674" t="s">
        <v>175</v>
      </c>
      <c r="AG674" t="s">
        <v>173</v>
      </c>
      <c r="AH674" t="s">
        <v>177</v>
      </c>
      <c r="AI674" t="s">
        <v>177</v>
      </c>
      <c r="AJ674" t="s">
        <v>177</v>
      </c>
      <c r="AK674" t="s">
        <v>175</v>
      </c>
      <c r="AL674" t="s">
        <v>173</v>
      </c>
      <c r="AM674" t="s">
        <v>175</v>
      </c>
      <c r="AN674" t="s">
        <v>179</v>
      </c>
      <c r="AO674" t="s">
        <v>179</v>
      </c>
      <c r="AP674" t="s">
        <v>179</v>
      </c>
      <c r="AQ674" t="s">
        <v>175</v>
      </c>
      <c r="AR674" t="s">
        <v>175</v>
      </c>
      <c r="AS674" t="s">
        <v>177</v>
      </c>
      <c r="AT674" t="s">
        <v>175</v>
      </c>
      <c r="AU674" t="s">
        <v>175</v>
      </c>
      <c r="AV674" t="s">
        <v>181</v>
      </c>
      <c r="AW674" t="s">
        <v>181</v>
      </c>
      <c r="AX674" t="s">
        <v>192</v>
      </c>
      <c r="AY674" t="s">
        <v>195</v>
      </c>
      <c r="AZ674" t="s">
        <v>183</v>
      </c>
      <c r="BA674" t="s">
        <v>183</v>
      </c>
      <c r="BB674" t="s">
        <v>183</v>
      </c>
      <c r="BC674" t="s">
        <v>183</v>
      </c>
      <c r="BD674" t="s">
        <v>183</v>
      </c>
    </row>
    <row r="675" hidden="1" spans="1:56">
      <c r="A675">
        <v>675</v>
      </c>
      <c r="B675" t="s">
        <v>288</v>
      </c>
      <c r="C675">
        <v>2024</v>
      </c>
      <c r="D675">
        <v>2021</v>
      </c>
      <c r="E675">
        <v>2022</v>
      </c>
      <c r="F675" t="s">
        <v>276</v>
      </c>
      <c r="G675"/>
      <c r="H675" t="s">
        <v>274</v>
      </c>
      <c r="I675"/>
      <c r="J675" t="s">
        <v>281</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1</v>
      </c>
      <c r="AC675" t="s">
        <v>173</v>
      </c>
      <c r="AD675" t="s">
        <v>173</v>
      </c>
      <c r="AE675" t="s">
        <v>173</v>
      </c>
      <c r="AF675" t="s">
        <v>173</v>
      </c>
      <c r="AG675" t="s">
        <v>173</v>
      </c>
      <c r="AH675" t="s">
        <v>173</v>
      </c>
      <c r="AI675" t="s">
        <v>173</v>
      </c>
      <c r="AJ675" t="s">
        <v>173</v>
      </c>
      <c r="AK675" t="s">
        <v>171</v>
      </c>
      <c r="AL675" t="s">
        <v>173</v>
      </c>
      <c r="AM675" t="s">
        <v>173</v>
      </c>
      <c r="AN675" t="s">
        <v>181</v>
      </c>
      <c r="AO675" t="s">
        <v>183</v>
      </c>
      <c r="AP675" t="s">
        <v>175</v>
      </c>
      <c r="AQ675" t="s">
        <v>173</v>
      </c>
      <c r="AR675" t="s">
        <v>183</v>
      </c>
      <c r="AS675" t="s">
        <v>183</v>
      </c>
      <c r="AT675" t="s">
        <v>175</v>
      </c>
      <c r="AU675" t="s">
        <v>175</v>
      </c>
      <c r="AV675" t="s">
        <v>183</v>
      </c>
      <c r="AW675" t="s">
        <v>173</v>
      </c>
      <c r="AX675" t="s">
        <v>192</v>
      </c>
      <c r="AY675" t="s">
        <v>196</v>
      </c>
      <c r="AZ675" t="s">
        <v>183</v>
      </c>
      <c r="BA675" t="s">
        <v>183</v>
      </c>
      <c r="BB675" t="s">
        <v>183</v>
      </c>
      <c r="BC675" t="s">
        <v>183</v>
      </c>
      <c r="BD675" t="s">
        <v>183</v>
      </c>
    </row>
    <row r="676" hidden="1" spans="1:51">
      <c r="A676">
        <v>676</v>
      </c>
      <c r="B676" t="s">
        <v>259</v>
      </c>
      <c r="C676">
        <v>2024</v>
      </c>
      <c r="D676">
        <v>2000</v>
      </c>
      <c r="E676">
        <v>2007</v>
      </c>
      <c r="F676" t="s">
        <v>275</v>
      </c>
      <c r="G676"/>
      <c r="H676" t="s">
        <v>267</v>
      </c>
      <c r="I676"/>
      <c r="J676" t="s">
        <v>252</v>
      </c>
      <c r="K676" t="b">
        <v>0</v>
      </c>
      <c r="L676" t="b">
        <v>0</v>
      </c>
      <c r="M676" t="b">
        <v>0</v>
      </c>
      <c r="N676" t="b">
        <v>0</v>
      </c>
      <c r="O676" t="b">
        <v>0</v>
      </c>
      <c r="P676" t="b">
        <v>0</v>
      </c>
      <c r="Q676" t="b">
        <v>0</v>
      </c>
      <c r="R676" t="b">
        <v>0</v>
      </c>
      <c r="S676" t="b">
        <v>0</v>
      </c>
      <c r="T676" t="b">
        <v>0</v>
      </c>
      <c r="U676" t="b">
        <v>0</v>
      </c>
      <c r="V676" t="b">
        <v>0</v>
      </c>
      <c r="W676" t="b">
        <v>0</v>
      </c>
      <c r="X676" t="b">
        <v>1</v>
      </c>
      <c r="Y676" t="b">
        <v>0</v>
      </c>
      <c r="Z676" t="b">
        <v>0</v>
      </c>
      <c r="AA676" t="b">
        <v>0</v>
      </c>
      <c r="AB676" t="b">
        <v>0</v>
      </c>
      <c r="AC676" t="s">
        <v>171</v>
      </c>
      <c r="AD676" t="s">
        <v>183</v>
      </c>
      <c r="AE676" t="s">
        <v>175</v>
      </c>
      <c r="AF676" t="s">
        <v>173</v>
      </c>
      <c r="AG676" t="s">
        <v>173</v>
      </c>
      <c r="AH676" t="s">
        <v>173</v>
      </c>
      <c r="AI676" t="s">
        <v>173</v>
      </c>
      <c r="AJ676" t="s">
        <v>173</v>
      </c>
      <c r="AK676" t="s">
        <v>179</v>
      </c>
      <c r="AL676" t="s">
        <v>175</v>
      </c>
      <c r="AM676" t="s">
        <v>173</v>
      </c>
      <c r="AN676" t="s">
        <v>183</v>
      </c>
      <c r="AO676" t="s">
        <v>183</v>
      </c>
      <c r="AP676" t="s">
        <v>173</v>
      </c>
      <c r="AQ676" t="s">
        <v>183</v>
      </c>
      <c r="AR676" t="s">
        <v>177</v>
      </c>
      <c r="AS676" t="s">
        <v>173</v>
      </c>
      <c r="AT676" t="s">
        <v>173</v>
      </c>
      <c r="AU676" t="s">
        <v>173</v>
      </c>
      <c r="AV676" t="s">
        <v>183</v>
      </c>
      <c r="AW676" t="s">
        <v>173</v>
      </c>
      <c r="AX676" t="s">
        <v>192</v>
      </c>
      <c r="AY676" t="s">
        <v>197</v>
      </c>
    </row>
    <row r="677" spans="1:65">
      <c r="A677">
        <v>677</v>
      </c>
      <c r="B677" t="s">
        <v>296</v>
      </c>
      <c r="C677" s="10">
        <v>2024</v>
      </c>
      <c r="D677" s="10">
        <v>1997</v>
      </c>
      <c r="E677" s="10">
        <v>1997</v>
      </c>
      <c r="F677" s="10" t="s">
        <v>241</v>
      </c>
      <c r="G677" s="10" t="s">
        <v>301</v>
      </c>
      <c r="H677" s="10" t="s">
        <v>243</v>
      </c>
      <c r="I677" s="10" t="s">
        <v>271</v>
      </c>
      <c r="J677" s="10" t="s">
        <v>302</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1</v>
      </c>
      <c r="AC677" s="10" t="s">
        <v>173</v>
      </c>
      <c r="AD677" t="s">
        <v>177</v>
      </c>
      <c r="AE677" t="s">
        <v>173</v>
      </c>
      <c r="AF677" t="s">
        <v>173</v>
      </c>
      <c r="AG677" t="s">
        <v>173</v>
      </c>
      <c r="AH677" t="s">
        <v>173</v>
      </c>
      <c r="AI677" t="s">
        <v>173</v>
      </c>
      <c r="AJ677" t="s">
        <v>173</v>
      </c>
      <c r="AK677" t="s">
        <v>173</v>
      </c>
      <c r="AL677" t="s">
        <v>173</v>
      </c>
      <c r="AM677" t="s">
        <v>173</v>
      </c>
      <c r="AN677" t="s">
        <v>177</v>
      </c>
      <c r="AO677" t="s">
        <v>177</v>
      </c>
      <c r="AP677" t="s">
        <v>173</v>
      </c>
      <c r="AQ677" t="s">
        <v>177</v>
      </c>
      <c r="AR677" t="s">
        <v>173</v>
      </c>
      <c r="AS677" t="s">
        <v>173</v>
      </c>
      <c r="AT677" t="s">
        <v>173</v>
      </c>
      <c r="AU677" t="s">
        <v>173</v>
      </c>
      <c r="AV677" t="s">
        <v>177</v>
      </c>
      <c r="AW677" t="s">
        <v>173</v>
      </c>
      <c r="AX677" t="s">
        <v>192</v>
      </c>
      <c r="AY677" t="s">
        <v>204</v>
      </c>
      <c r="BE677" t="str">
        <f>IF(AY677="","Unknown",AY677)</f>
        <v>61Not StatedorNot Statedolder</v>
      </c>
      <c r="BF677" s="11" t="str">
        <f>IF(AZ677="","unknown",AZ677)</f>
        <v>unknown</v>
      </c>
      <c r="BG677" s="11" t="str">
        <f>IF(BA677="","UNKNOWN",BA677)</f>
        <v>UNKNOWN</v>
      </c>
      <c r="BH677" s="11" t="str">
        <f>IF(BB677="","unknown",BB677)</f>
        <v>unknown</v>
      </c>
      <c r="BI677" s="11" t="str">
        <f>IF(BC677="","Unknon",BC677)</f>
        <v>Unknon</v>
      </c>
      <c r="BJ677" s="11" t="str">
        <f>IF(BD677="","Unknown",BD677)</f>
        <v>Unknown</v>
      </c>
      <c r="BK677" s="11">
        <f>VALUE(C677)-VALUE(D677)</f>
        <v>27</v>
      </c>
      <c r="BM677" s="11"/>
    </row>
    <row r="678" hidden="1" spans="1:51">
      <c r="A678">
        <v>678</v>
      </c>
      <c r="B678" t="s">
        <v>269</v>
      </c>
      <c r="C678">
        <v>2024</v>
      </c>
      <c r="D678">
        <v>2019</v>
      </c>
      <c r="E678">
        <v>2020</v>
      </c>
      <c r="F678" t="s">
        <v>256</v>
      </c>
      <c r="G678" t="s">
        <v>263</v>
      </c>
      <c r="H678" t="s">
        <v>273</v>
      </c>
      <c r="I678"/>
      <c r="J678" t="s">
        <v>252</v>
      </c>
      <c r="K678" t="b">
        <v>0</v>
      </c>
      <c r="L678" t="b">
        <v>1</v>
      </c>
      <c r="M678" t="b">
        <v>0</v>
      </c>
      <c r="N678" t="b">
        <v>0</v>
      </c>
      <c r="O678" t="b">
        <v>0</v>
      </c>
      <c r="P678" t="b">
        <v>0</v>
      </c>
      <c r="Q678" t="b">
        <v>1</v>
      </c>
      <c r="R678" t="b">
        <v>0</v>
      </c>
      <c r="S678" t="b">
        <v>0</v>
      </c>
      <c r="T678" t="b">
        <v>0</v>
      </c>
      <c r="U678" t="b">
        <v>0</v>
      </c>
      <c r="V678" t="b">
        <v>0</v>
      </c>
      <c r="W678" t="b">
        <v>0</v>
      </c>
      <c r="X678" t="b">
        <v>0</v>
      </c>
      <c r="Y678" t="b">
        <v>0</v>
      </c>
      <c r="Z678" t="b">
        <v>0</v>
      </c>
      <c r="AA678" t="b">
        <v>0</v>
      </c>
      <c r="AB678" t="b">
        <v>0</v>
      </c>
      <c r="AC678" t="s">
        <v>171</v>
      </c>
      <c r="AD678" t="s">
        <v>173</v>
      </c>
      <c r="AE678" t="s">
        <v>175</v>
      </c>
      <c r="AF678" t="s">
        <v>175</v>
      </c>
      <c r="AG678" t="s">
        <v>173</v>
      </c>
      <c r="AH678" t="s">
        <v>177</v>
      </c>
      <c r="AI678" t="s">
        <v>179</v>
      </c>
      <c r="AJ678" t="s">
        <v>177</v>
      </c>
      <c r="AK678" t="s">
        <v>173</v>
      </c>
      <c r="AL678" t="s">
        <v>171</v>
      </c>
      <c r="AM678" t="s">
        <v>173</v>
      </c>
      <c r="AN678" t="s">
        <v>173</v>
      </c>
      <c r="AO678" t="s">
        <v>171</v>
      </c>
      <c r="AP678" t="s">
        <v>173</v>
      </c>
      <c r="AQ678" t="s">
        <v>171</v>
      </c>
      <c r="AR678" t="s">
        <v>179</v>
      </c>
      <c r="AS678" t="s">
        <v>179</v>
      </c>
      <c r="AT678" t="s">
        <v>173</v>
      </c>
      <c r="AU678" t="s">
        <v>177</v>
      </c>
      <c r="AV678" t="s">
        <v>177</v>
      </c>
      <c r="AW678" t="s">
        <v>173</v>
      </c>
      <c r="AX678" t="s">
        <v>192</v>
      </c>
      <c r="AY678" t="s">
        <v>200</v>
      </c>
    </row>
    <row r="679" hidden="1" spans="1:51">
      <c r="A679">
        <v>679</v>
      </c>
      <c r="B679" t="s">
        <v>280</v>
      </c>
      <c r="C679">
        <v>2024</v>
      </c>
      <c r="D679">
        <v>2000</v>
      </c>
      <c r="E679">
        <v>2000</v>
      </c>
      <c r="F679" t="s">
        <v>256</v>
      </c>
      <c r="G679" t="s">
        <v>263</v>
      </c>
      <c r="H679" t="s">
        <v>274</v>
      </c>
      <c r="I679"/>
      <c r="J679" t="s">
        <v>265</v>
      </c>
      <c r="K679" t="b">
        <v>0</v>
      </c>
      <c r="L679" t="b">
        <v>0</v>
      </c>
      <c r="M679" t="b">
        <v>0</v>
      </c>
      <c r="N679" t="b">
        <v>0</v>
      </c>
      <c r="O679" t="b">
        <v>0</v>
      </c>
      <c r="P679" t="b">
        <v>0</v>
      </c>
      <c r="Q679" t="b">
        <v>0</v>
      </c>
      <c r="R679" t="b">
        <v>0</v>
      </c>
      <c r="S679" t="b">
        <v>0</v>
      </c>
      <c r="T679" t="b">
        <v>0</v>
      </c>
      <c r="U679" t="b">
        <v>0</v>
      </c>
      <c r="V679" t="b">
        <v>0</v>
      </c>
      <c r="W679" t="b">
        <v>0</v>
      </c>
      <c r="X679" t="b">
        <v>1</v>
      </c>
      <c r="Y679" t="b">
        <v>0</v>
      </c>
      <c r="Z679" t="b">
        <v>0</v>
      </c>
      <c r="AA679" t="b">
        <v>0</v>
      </c>
      <c r="AB679" t="b">
        <v>0</v>
      </c>
      <c r="AC679" t="s">
        <v>173</v>
      </c>
      <c r="AD679" t="s">
        <v>173</v>
      </c>
      <c r="AE679" t="s">
        <v>173</v>
      </c>
      <c r="AF679" t="s">
        <v>173</v>
      </c>
      <c r="AG679" t="s">
        <v>175</v>
      </c>
      <c r="AH679" t="s">
        <v>177</v>
      </c>
      <c r="AI679" t="s">
        <v>173</v>
      </c>
      <c r="AJ679" t="s">
        <v>179</v>
      </c>
      <c r="AK679" t="s">
        <v>173</v>
      </c>
      <c r="AL679" t="s">
        <v>173</v>
      </c>
      <c r="AM679" t="s">
        <v>179</v>
      </c>
      <c r="AN679" t="s">
        <v>175</v>
      </c>
      <c r="AO679" t="s">
        <v>173</v>
      </c>
      <c r="AP679" t="s">
        <v>173</v>
      </c>
      <c r="AQ679" t="s">
        <v>171</v>
      </c>
      <c r="AR679" t="s">
        <v>173</v>
      </c>
      <c r="AS679" t="s">
        <v>171</v>
      </c>
      <c r="AT679" t="s">
        <v>171</v>
      </c>
      <c r="AU679" t="s">
        <v>171</v>
      </c>
      <c r="AV679" t="s">
        <v>173</v>
      </c>
      <c r="AW679" t="s">
        <v>173</v>
      </c>
      <c r="AX679" t="s">
        <v>192</v>
      </c>
      <c r="AY679" t="s">
        <v>196</v>
      </c>
    </row>
    <row r="680" hidden="1" spans="1:51">
      <c r="A680">
        <v>680</v>
      </c>
      <c r="B680" t="s">
        <v>272</v>
      </c>
      <c r="C680">
        <v>2024</v>
      </c>
      <c r="D680">
        <v>2021</v>
      </c>
      <c r="E680">
        <v>2021</v>
      </c>
      <c r="F680"/>
      <c r="G680"/>
      <c r="H680" t="s">
        <v>258</v>
      </c>
      <c r="I680"/>
      <c r="J680" t="s">
        <v>313</v>
      </c>
      <c r="K680" t="b">
        <v>0</v>
      </c>
      <c r="L680" t="b">
        <v>0</v>
      </c>
      <c r="M680" t="b">
        <v>0</v>
      </c>
      <c r="N680" t="b">
        <v>0</v>
      </c>
      <c r="O680" t="b">
        <v>0</v>
      </c>
      <c r="P680" t="b">
        <v>0</v>
      </c>
      <c r="Q680" t="b">
        <v>0</v>
      </c>
      <c r="R680" t="b">
        <v>0</v>
      </c>
      <c r="S680" t="b">
        <v>0</v>
      </c>
      <c r="T680" t="b">
        <v>0</v>
      </c>
      <c r="U680" t="b">
        <v>0</v>
      </c>
      <c r="V680" t="b">
        <v>1</v>
      </c>
      <c r="W680" t="b">
        <v>0</v>
      </c>
      <c r="X680" t="b">
        <v>0</v>
      </c>
      <c r="Y680" t="b">
        <v>0</v>
      </c>
      <c r="Z680" t="b">
        <v>0</v>
      </c>
      <c r="AA680" t="b">
        <v>0</v>
      </c>
      <c r="AB680" t="b">
        <v>0</v>
      </c>
      <c r="AC680" t="s">
        <v>173</v>
      </c>
      <c r="AD680" t="s">
        <v>173</v>
      </c>
      <c r="AE680" t="s">
        <v>173</v>
      </c>
      <c r="AF680" t="s">
        <v>173</v>
      </c>
      <c r="AG680" t="s">
        <v>173</v>
      </c>
      <c r="AH680" t="s">
        <v>173</v>
      </c>
      <c r="AI680" t="s">
        <v>173</v>
      </c>
      <c r="AJ680" t="s">
        <v>173</v>
      </c>
      <c r="AK680" t="s">
        <v>173</v>
      </c>
      <c r="AL680" t="s">
        <v>173</v>
      </c>
      <c r="AM680" t="s">
        <v>173</v>
      </c>
      <c r="AN680" t="s">
        <v>173</v>
      </c>
      <c r="AO680" t="s">
        <v>173</v>
      </c>
      <c r="AP680" t="s">
        <v>173</v>
      </c>
      <c r="AQ680" t="s">
        <v>173</v>
      </c>
      <c r="AR680" t="s">
        <v>173</v>
      </c>
      <c r="AS680" t="s">
        <v>173</v>
      </c>
      <c r="AT680" t="s">
        <v>173</v>
      </c>
      <c r="AU680" t="s">
        <v>173</v>
      </c>
      <c r="AV680" t="s">
        <v>173</v>
      </c>
      <c r="AW680" t="s">
        <v>173</v>
      </c>
      <c r="AX680" t="s">
        <v>192</v>
      </c>
      <c r="AY680" t="s">
        <v>201</v>
      </c>
    </row>
    <row r="681" hidden="1" spans="1:51">
      <c r="A681">
        <v>681</v>
      </c>
      <c r="B681" t="s">
        <v>259</v>
      </c>
      <c r="C681">
        <v>2024</v>
      </c>
      <c r="D681">
        <v>2010</v>
      </c>
      <c r="E681">
        <v>2010</v>
      </c>
      <c r="F681" t="s">
        <v>275</v>
      </c>
      <c r="G681"/>
      <c r="H681" t="s">
        <v>274</v>
      </c>
      <c r="I681"/>
      <c r="J681" t="s">
        <v>265</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s">
        <v>173</v>
      </c>
      <c r="AD681" t="s">
        <v>183</v>
      </c>
      <c r="AE681" t="s">
        <v>173</v>
      </c>
      <c r="AF681" t="s">
        <v>173</v>
      </c>
      <c r="AG681" t="s">
        <v>173</v>
      </c>
      <c r="AH681" t="s">
        <v>173</v>
      </c>
      <c r="AI681" t="s">
        <v>173</v>
      </c>
      <c r="AJ681" t="s">
        <v>173</v>
      </c>
      <c r="AK681" t="s">
        <v>173</v>
      </c>
      <c r="AL681" t="s">
        <v>183</v>
      </c>
      <c r="AM681" t="s">
        <v>183</v>
      </c>
      <c r="AN681" t="s">
        <v>173</v>
      </c>
      <c r="AO681" t="s">
        <v>183</v>
      </c>
      <c r="AP681" t="s">
        <v>173</v>
      </c>
      <c r="AQ681" t="s">
        <v>183</v>
      </c>
      <c r="AR681" t="s">
        <v>173</v>
      </c>
      <c r="AS681" t="s">
        <v>173</v>
      </c>
      <c r="AT681" t="s">
        <v>173</v>
      </c>
      <c r="AU681" t="s">
        <v>173</v>
      </c>
      <c r="AV681" t="s">
        <v>183</v>
      </c>
      <c r="AW681" t="s">
        <v>173</v>
      </c>
      <c r="AX681" t="s">
        <v>192</v>
      </c>
      <c r="AY681" t="s">
        <v>195</v>
      </c>
    </row>
    <row r="682" spans="1:65">
      <c r="A682">
        <v>682</v>
      </c>
      <c r="B682" t="s">
        <v>284</v>
      </c>
      <c r="C682" s="10">
        <v>2024</v>
      </c>
      <c r="D682" s="10">
        <v>2022</v>
      </c>
      <c r="E682" s="10">
        <v>2022</v>
      </c>
      <c r="F682" s="10" t="s">
        <v>241</v>
      </c>
      <c r="G682" s="10" t="s">
        <v>242</v>
      </c>
      <c r="H682" s="10" t="s">
        <v>243</v>
      </c>
      <c r="I682" s="10" t="s">
        <v>282</v>
      </c>
      <c r="J682" s="10" t="s">
        <v>287</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D682" t="s">
        <v>177</v>
      </c>
      <c r="AE682" t="s">
        <v>173</v>
      </c>
      <c r="AF682" t="s">
        <v>173</v>
      </c>
      <c r="AG682" t="s">
        <v>173</v>
      </c>
      <c r="AH682" t="s">
        <v>171</v>
      </c>
      <c r="AI682" t="s">
        <v>173</v>
      </c>
      <c r="AJ682" t="s">
        <v>171</v>
      </c>
      <c r="AK682" t="s">
        <v>171</v>
      </c>
      <c r="AL682" t="s">
        <v>173</v>
      </c>
      <c r="AM682" t="s">
        <v>173</v>
      </c>
      <c r="AN682" t="s">
        <v>177</v>
      </c>
      <c r="AO682" t="s">
        <v>173</v>
      </c>
      <c r="AP682" t="s">
        <v>173</v>
      </c>
      <c r="AQ682" t="s">
        <v>173</v>
      </c>
      <c r="AR682" t="s">
        <v>173</v>
      </c>
      <c r="AS682" t="s">
        <v>173</v>
      </c>
      <c r="AT682" t="s">
        <v>173</v>
      </c>
      <c r="AU682" t="s">
        <v>173</v>
      </c>
      <c r="AV682" t="s">
        <v>173</v>
      </c>
      <c r="AW682" t="s">
        <v>173</v>
      </c>
      <c r="AX682" t="s">
        <v>192</v>
      </c>
      <c r="AY682" t="s">
        <v>202</v>
      </c>
      <c r="AZ682" t="s">
        <v>208</v>
      </c>
      <c r="BA682" t="s">
        <v>208</v>
      </c>
      <c r="BB682" t="s">
        <v>208</v>
      </c>
      <c r="BE682" t="str">
        <f>IF(AY682="","Unknown",AY682)</f>
        <v>21-25</v>
      </c>
      <c r="BF682" s="11" t="str">
        <f>IF(AZ682="","unknown",AZ682)</f>
        <v>Yes</v>
      </c>
      <c r="BG682" s="11" t="str">
        <f>IF(BA682="","UNKNOWN",BA682)</f>
        <v>Yes</v>
      </c>
      <c r="BH682" s="11" t="str">
        <f>IF(BB682="","unknown",BB682)</f>
        <v>Yes</v>
      </c>
      <c r="BI682" s="11" t="str">
        <f>IF(BC682="","Unknon",BC682)</f>
        <v>Unknon</v>
      </c>
      <c r="BJ682" s="11" t="str">
        <f>IF(BD682="","Unknown",BD682)</f>
        <v>Unknown</v>
      </c>
      <c r="BK682" s="11">
        <f>VALUE(C682)-VALUE(D682)</f>
        <v>2</v>
      </c>
      <c r="BM682" s="11"/>
    </row>
    <row r="683" hidden="1" spans="1:51">
      <c r="A683">
        <v>683</v>
      </c>
      <c r="B683" t="s">
        <v>259</v>
      </c>
      <c r="C683">
        <v>2024</v>
      </c>
      <c r="D683">
        <v>1987</v>
      </c>
      <c r="E683">
        <v>2003</v>
      </c>
      <c r="F683" t="s">
        <v>256</v>
      </c>
      <c r="G683"/>
      <c r="H683" t="s">
        <v>264</v>
      </c>
      <c r="I683"/>
      <c r="J683" t="s">
        <v>265</v>
      </c>
      <c r="K683" t="b">
        <v>0</v>
      </c>
      <c r="L683" t="b">
        <v>0</v>
      </c>
      <c r="M683" t="b">
        <v>0</v>
      </c>
      <c r="N683" t="b">
        <v>0</v>
      </c>
      <c r="O683" t="b">
        <v>0</v>
      </c>
      <c r="P683" t="b">
        <v>0</v>
      </c>
      <c r="Q683" t="b">
        <v>0</v>
      </c>
      <c r="R683" t="b">
        <v>0</v>
      </c>
      <c r="S683" t="b">
        <v>0</v>
      </c>
      <c r="T683" t="b">
        <v>0</v>
      </c>
      <c r="U683" t="b">
        <v>0</v>
      </c>
      <c r="V683" t="b">
        <v>0</v>
      </c>
      <c r="W683" t="b">
        <v>0</v>
      </c>
      <c r="X683" t="b">
        <v>1</v>
      </c>
      <c r="Y683" t="b">
        <v>0</v>
      </c>
      <c r="Z683" t="b">
        <v>0</v>
      </c>
      <c r="AA683" t="b">
        <v>0</v>
      </c>
      <c r="AB683" t="b">
        <v>0</v>
      </c>
      <c r="AC683" t="s">
        <v>173</v>
      </c>
      <c r="AD683" t="s">
        <v>173</v>
      </c>
      <c r="AE683" t="s">
        <v>175</v>
      </c>
      <c r="AF683" t="s">
        <v>173</v>
      </c>
      <c r="AG683" t="s">
        <v>177</v>
      </c>
      <c r="AH683" t="s">
        <v>173</v>
      </c>
      <c r="AI683" t="s">
        <v>173</v>
      </c>
      <c r="AJ683" t="s">
        <v>175</v>
      </c>
      <c r="AK683" t="s">
        <v>173</v>
      </c>
      <c r="AL683" t="s">
        <v>175</v>
      </c>
      <c r="AM683" t="s">
        <v>173</v>
      </c>
      <c r="AN683" t="s">
        <v>171</v>
      </c>
      <c r="AO683" t="s">
        <v>175</v>
      </c>
      <c r="AP683" t="s">
        <v>173</v>
      </c>
      <c r="AQ683" t="s">
        <v>171</v>
      </c>
      <c r="AR683" t="s">
        <v>171</v>
      </c>
      <c r="AS683" t="s">
        <v>175</v>
      </c>
      <c r="AT683" t="s">
        <v>177</v>
      </c>
      <c r="AU683" t="s">
        <v>173</v>
      </c>
      <c r="AV683" t="s">
        <v>177</v>
      </c>
      <c r="AW683" t="s">
        <v>173</v>
      </c>
      <c r="AX683" t="s">
        <v>192</v>
      </c>
      <c r="AY683" t="s">
        <v>197</v>
      </c>
    </row>
    <row r="684" hidden="1" spans="1:51">
      <c r="A684">
        <v>684</v>
      </c>
      <c r="B684" t="s">
        <v>269</v>
      </c>
      <c r="C684">
        <v>2024</v>
      </c>
      <c r="D684">
        <v>1997</v>
      </c>
      <c r="E684">
        <v>2000</v>
      </c>
      <c r="F684" t="s">
        <v>256</v>
      </c>
      <c r="G684" t="s">
        <v>263</v>
      </c>
      <c r="H684" t="s">
        <v>267</v>
      </c>
      <c r="I684"/>
      <c r="J684" t="s">
        <v>252</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s">
        <v>175</v>
      </c>
      <c r="AD684" t="s">
        <v>175</v>
      </c>
      <c r="AE684" t="s">
        <v>173</v>
      </c>
      <c r="AF684" t="s">
        <v>173</v>
      </c>
      <c r="AG684" t="s">
        <v>173</v>
      </c>
      <c r="AH684" t="s">
        <v>173</v>
      </c>
      <c r="AI684" t="s">
        <v>173</v>
      </c>
      <c r="AJ684" t="s">
        <v>173</v>
      </c>
      <c r="AK684" t="s">
        <v>173</v>
      </c>
      <c r="AL684" t="s">
        <v>173</v>
      </c>
      <c r="AM684" t="s">
        <v>173</v>
      </c>
      <c r="AN684" t="s">
        <v>173</v>
      </c>
      <c r="AO684" t="s">
        <v>173</v>
      </c>
      <c r="AP684" t="s">
        <v>173</v>
      </c>
      <c r="AQ684" t="s">
        <v>173</v>
      </c>
      <c r="AR684" t="s">
        <v>173</v>
      </c>
      <c r="AS684" t="s">
        <v>173</v>
      </c>
      <c r="AT684" t="s">
        <v>173</v>
      </c>
      <c r="AU684" t="s">
        <v>173</v>
      </c>
      <c r="AV684" t="s">
        <v>173</v>
      </c>
      <c r="AW684" t="s">
        <v>173</v>
      </c>
      <c r="AY684" t="s">
        <v>198</v>
      </c>
    </row>
    <row r="685" hidden="1" spans="1:51">
      <c r="A685">
        <v>685</v>
      </c>
      <c r="B685" t="s">
        <v>269</v>
      </c>
      <c r="C685" t="s">
        <v>247</v>
      </c>
      <c r="D685">
        <v>2020</v>
      </c>
      <c r="E685">
        <v>2021</v>
      </c>
      <c r="F685" t="s">
        <v>256</v>
      </c>
      <c r="G685" t="s">
        <v>257</v>
      </c>
      <c r="H685" t="s">
        <v>258</v>
      </c>
      <c r="I685"/>
      <c r="J685" t="s">
        <v>252</v>
      </c>
      <c r="K685" t="b">
        <v>0</v>
      </c>
      <c r="L685" t="b">
        <v>1</v>
      </c>
      <c r="M685" t="b">
        <v>0</v>
      </c>
      <c r="N685" t="b">
        <v>0</v>
      </c>
      <c r="O685" t="b">
        <v>0</v>
      </c>
      <c r="P685" t="b">
        <v>0</v>
      </c>
      <c r="Q685" t="b">
        <v>1</v>
      </c>
      <c r="R685" t="b">
        <v>0</v>
      </c>
      <c r="S685" t="b">
        <v>1</v>
      </c>
      <c r="T685" t="b">
        <v>0</v>
      </c>
      <c r="U685" t="b">
        <v>0</v>
      </c>
      <c r="V685" t="b">
        <v>0</v>
      </c>
      <c r="W685" t="b">
        <v>0</v>
      </c>
      <c r="X685" t="b">
        <v>0</v>
      </c>
      <c r="Y685" t="b">
        <v>0</v>
      </c>
      <c r="Z685" t="b">
        <v>0</v>
      </c>
      <c r="AA685" t="b">
        <v>0</v>
      </c>
      <c r="AB685" t="b">
        <v>0</v>
      </c>
      <c r="AC685" t="s">
        <v>175</v>
      </c>
      <c r="AD685" t="s">
        <v>175</v>
      </c>
      <c r="AE685" t="s">
        <v>173</v>
      </c>
      <c r="AF685" t="s">
        <v>173</v>
      </c>
      <c r="AG685" t="s">
        <v>171</v>
      </c>
      <c r="AH685" t="s">
        <v>175</v>
      </c>
      <c r="AI685" t="s">
        <v>177</v>
      </c>
      <c r="AJ685" t="s">
        <v>175</v>
      </c>
      <c r="AK685" t="s">
        <v>171</v>
      </c>
      <c r="AL685" t="s">
        <v>173</v>
      </c>
      <c r="AM685" t="s">
        <v>173</v>
      </c>
      <c r="AN685" t="s">
        <v>175</v>
      </c>
      <c r="AO685" t="s">
        <v>173</v>
      </c>
      <c r="AP685" t="s">
        <v>175</v>
      </c>
      <c r="AQ685" t="s">
        <v>175</v>
      </c>
      <c r="AR685" t="s">
        <v>177</v>
      </c>
      <c r="AS685" t="s">
        <v>175</v>
      </c>
      <c r="AT685" t="s">
        <v>175</v>
      </c>
      <c r="AU685" t="s">
        <v>175</v>
      </c>
      <c r="AV685" t="s">
        <v>175</v>
      </c>
      <c r="AW685" t="s">
        <v>175</v>
      </c>
      <c r="AX685" t="s">
        <v>193</v>
      </c>
      <c r="AY685" t="s">
        <v>202</v>
      </c>
    </row>
    <row r="686" hidden="1" spans="1:51">
      <c r="A686">
        <v>686</v>
      </c>
      <c r="B686" t="s">
        <v>269</v>
      </c>
      <c r="C686">
        <v>2024</v>
      </c>
      <c r="D686">
        <v>2013</v>
      </c>
      <c r="E686">
        <v>2013</v>
      </c>
      <c r="F686" t="s">
        <v>253</v>
      </c>
      <c r="G686"/>
      <c r="H686" t="s">
        <v>261</v>
      </c>
      <c r="I686"/>
      <c r="J686" t="s">
        <v>252</v>
      </c>
      <c r="K686" t="b">
        <v>0</v>
      </c>
      <c r="L686" t="b">
        <v>0</v>
      </c>
      <c r="M686" t="b">
        <v>1</v>
      </c>
      <c r="N686" t="b">
        <v>0</v>
      </c>
      <c r="O686" t="b">
        <v>0</v>
      </c>
      <c r="P686" t="b">
        <v>0</v>
      </c>
      <c r="Q686" t="b">
        <v>0</v>
      </c>
      <c r="R686" t="b">
        <v>0</v>
      </c>
      <c r="S686" t="b">
        <v>0</v>
      </c>
      <c r="T686" t="b">
        <v>1</v>
      </c>
      <c r="U686" t="b">
        <v>0</v>
      </c>
      <c r="V686" t="b">
        <v>0</v>
      </c>
      <c r="W686" t="b">
        <v>0</v>
      </c>
      <c r="X686" t="b">
        <v>0</v>
      </c>
      <c r="Y686" t="b">
        <v>1</v>
      </c>
      <c r="Z686" t="b">
        <v>0</v>
      </c>
      <c r="AA686" t="b">
        <v>0</v>
      </c>
      <c r="AB686" t="b">
        <v>0</v>
      </c>
      <c r="AC686" t="s">
        <v>175</v>
      </c>
      <c r="AD686" t="s">
        <v>177</v>
      </c>
      <c r="AE686" t="s">
        <v>179</v>
      </c>
      <c r="AF686" t="s">
        <v>179</v>
      </c>
      <c r="AG686" t="s">
        <v>173</v>
      </c>
      <c r="AH686" t="s">
        <v>177</v>
      </c>
      <c r="AI686" t="s">
        <v>175</v>
      </c>
      <c r="AJ686" t="s">
        <v>179</v>
      </c>
      <c r="AK686" t="s">
        <v>173</v>
      </c>
      <c r="AL686" t="s">
        <v>175</v>
      </c>
      <c r="AM686" t="s">
        <v>175</v>
      </c>
      <c r="AN686" t="s">
        <v>179</v>
      </c>
      <c r="AO686" t="s">
        <v>175</v>
      </c>
      <c r="AP686" t="s">
        <v>177</v>
      </c>
      <c r="AQ686" t="s">
        <v>179</v>
      </c>
      <c r="AR686" t="s">
        <v>175</v>
      </c>
      <c r="AS686" t="s">
        <v>175</v>
      </c>
      <c r="AT686" t="s">
        <v>175</v>
      </c>
      <c r="AU686" t="s">
        <v>179</v>
      </c>
      <c r="AV686" t="s">
        <v>177</v>
      </c>
      <c r="AW686" t="s">
        <v>177</v>
      </c>
      <c r="AX686" t="s">
        <v>192</v>
      </c>
      <c r="AY686" t="s">
        <v>198</v>
      </c>
    </row>
    <row r="687" spans="1:65">
      <c r="A687">
        <v>687</v>
      </c>
      <c r="B687" t="s">
        <v>277</v>
      </c>
      <c r="C687" s="10">
        <v>2024</v>
      </c>
      <c r="D687" s="10">
        <v>1994</v>
      </c>
      <c r="E687" s="10">
        <v>2019</v>
      </c>
      <c r="F687" s="10" t="s">
        <v>241</v>
      </c>
      <c r="G687" s="10" t="s">
        <v>301</v>
      </c>
      <c r="H687" s="10" t="s">
        <v>243</v>
      </c>
      <c r="I687" s="10" t="s">
        <v>244</v>
      </c>
      <c r="J687" s="10" t="s">
        <v>245</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s="10" t="s">
        <v>173</v>
      </c>
      <c r="AD687" t="s">
        <v>173</v>
      </c>
      <c r="AE687" t="s">
        <v>173</v>
      </c>
      <c r="AG687" t="s">
        <v>173</v>
      </c>
      <c r="AH687" t="s">
        <v>173</v>
      </c>
      <c r="AI687" t="s">
        <v>171</v>
      </c>
      <c r="AJ687" t="s">
        <v>171</v>
      </c>
      <c r="AK687" t="s">
        <v>173</v>
      </c>
      <c r="AL687" t="s">
        <v>171</v>
      </c>
      <c r="AM687" t="s">
        <v>171</v>
      </c>
      <c r="AO687" t="s">
        <v>171</v>
      </c>
      <c r="AP687" t="s">
        <v>171</v>
      </c>
      <c r="AQ687" t="s">
        <v>171</v>
      </c>
      <c r="AR687" t="s">
        <v>173</v>
      </c>
      <c r="AS687" t="s">
        <v>171</v>
      </c>
      <c r="AT687" t="s">
        <v>171</v>
      </c>
      <c r="AU687" t="s">
        <v>173</v>
      </c>
      <c r="AV687" t="s">
        <v>171</v>
      </c>
      <c r="AW687" t="s">
        <v>171</v>
      </c>
      <c r="AX687" t="s">
        <v>193</v>
      </c>
      <c r="AY687" t="s">
        <v>196</v>
      </c>
      <c r="BE687" t="str">
        <f>IF(AY687="","Unknown",AY687)</f>
        <v>56-60</v>
      </c>
      <c r="BF687" s="11" t="str">
        <f>IF(AZ687="","unknown",AZ687)</f>
        <v>unknown</v>
      </c>
      <c r="BG687" s="11" t="str">
        <f>IF(BA687="","UNKNOWN",BA687)</f>
        <v>UNKNOWN</v>
      </c>
      <c r="BH687" s="11" t="str">
        <f>IF(BB687="","unknown",BB687)</f>
        <v>unknown</v>
      </c>
      <c r="BI687" s="11" t="str">
        <f>IF(BC687="","Unknon",BC687)</f>
        <v>Unknon</v>
      </c>
      <c r="BJ687" s="11" t="str">
        <f>IF(BD687="","Unknown",BD687)</f>
        <v>Unknown</v>
      </c>
      <c r="BK687" s="11">
        <f>VALUE(C687)-VALUE(D687)</f>
        <v>30</v>
      </c>
      <c r="BM687" s="11"/>
    </row>
    <row r="688" hidden="1" spans="1:55">
      <c r="A688">
        <v>688</v>
      </c>
      <c r="B688" t="s">
        <v>280</v>
      </c>
      <c r="C688">
        <v>2024</v>
      </c>
      <c r="D688" t="s">
        <v>247</v>
      </c>
      <c r="E688" t="s">
        <v>247</v>
      </c>
      <c r="F688" t="s">
        <v>256</v>
      </c>
      <c r="G688" t="s">
        <v>257</v>
      </c>
      <c r="H688" t="s">
        <v>261</v>
      </c>
      <c r="I688"/>
      <c r="J688" t="s">
        <v>265</v>
      </c>
      <c r="K688" t="b">
        <v>0</v>
      </c>
      <c r="L688" t="b">
        <v>0</v>
      </c>
      <c r="M688" t="b">
        <v>0</v>
      </c>
      <c r="N688" t="b">
        <v>0</v>
      </c>
      <c r="O688" t="b">
        <v>0</v>
      </c>
      <c r="P688" t="b">
        <v>0</v>
      </c>
      <c r="Q688" t="b">
        <v>0</v>
      </c>
      <c r="R688" t="b">
        <v>0</v>
      </c>
      <c r="S688" t="b">
        <v>0</v>
      </c>
      <c r="T688" t="b">
        <v>0</v>
      </c>
      <c r="U688" t="b">
        <v>0</v>
      </c>
      <c r="V688" t="b">
        <v>0</v>
      </c>
      <c r="W688" t="b">
        <v>0</v>
      </c>
      <c r="X688" t="b">
        <v>1</v>
      </c>
      <c r="Y688" t="b">
        <v>0</v>
      </c>
      <c r="Z688" t="b">
        <v>0</v>
      </c>
      <c r="AA688" t="b">
        <v>0</v>
      </c>
      <c r="AB688" t="b">
        <v>0</v>
      </c>
      <c r="AC688" t="s">
        <v>171</v>
      </c>
      <c r="AD688" t="s">
        <v>173</v>
      </c>
      <c r="AE688" t="s">
        <v>173</v>
      </c>
      <c r="AF688" t="s">
        <v>171</v>
      </c>
      <c r="AG688" t="s">
        <v>171</v>
      </c>
      <c r="AH688" t="s">
        <v>173</v>
      </c>
      <c r="AI688" t="s">
        <v>173</v>
      </c>
      <c r="AJ688" t="s">
        <v>171</v>
      </c>
      <c r="AK688" t="s">
        <v>173</v>
      </c>
      <c r="AL688" t="s">
        <v>173</v>
      </c>
      <c r="AM688" t="s">
        <v>173</v>
      </c>
      <c r="AN688" t="s">
        <v>175</v>
      </c>
      <c r="AO688" t="s">
        <v>173</v>
      </c>
      <c r="AP688" t="s">
        <v>173</v>
      </c>
      <c r="AQ688" t="s">
        <v>173</v>
      </c>
      <c r="AR688" t="s">
        <v>173</v>
      </c>
      <c r="AS688" t="s">
        <v>173</v>
      </c>
      <c r="AT688" t="s">
        <v>173</v>
      </c>
      <c r="AU688" t="s">
        <v>173</v>
      </c>
      <c r="AV688" t="s">
        <v>173</v>
      </c>
      <c r="AW688" t="s">
        <v>175</v>
      </c>
      <c r="AX688" t="s">
        <v>192</v>
      </c>
      <c r="AY688" t="s">
        <v>196</v>
      </c>
      <c r="BC688" t="s">
        <v>208</v>
      </c>
    </row>
    <row r="689" hidden="1" spans="1:51">
      <c r="A689">
        <v>689</v>
      </c>
      <c r="B689" t="s">
        <v>255</v>
      </c>
      <c r="C689">
        <v>2024</v>
      </c>
      <c r="D689">
        <v>2022</v>
      </c>
      <c r="E689">
        <v>2022</v>
      </c>
      <c r="F689" t="s">
        <v>266</v>
      </c>
      <c r="G689"/>
      <c r="H689" t="s">
        <v>264</v>
      </c>
      <c r="I689"/>
      <c r="J689" t="s">
        <v>265</v>
      </c>
      <c r="K689" t="b">
        <v>1</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s">
        <v>173</v>
      </c>
      <c r="AD689" t="s">
        <v>175</v>
      </c>
      <c r="AE689" t="s">
        <v>173</v>
      </c>
      <c r="AF689" t="s">
        <v>173</v>
      </c>
      <c r="AG689" t="s">
        <v>173</v>
      </c>
      <c r="AH689" t="s">
        <v>173</v>
      </c>
      <c r="AI689" t="s">
        <v>173</v>
      </c>
      <c r="AJ689" t="s">
        <v>173</v>
      </c>
      <c r="AK689" t="s">
        <v>173</v>
      </c>
      <c r="AL689" t="s">
        <v>173</v>
      </c>
      <c r="AM689" t="s">
        <v>173</v>
      </c>
      <c r="AN689" t="s">
        <v>173</v>
      </c>
      <c r="AO689" t="s">
        <v>175</v>
      </c>
      <c r="AP689" t="s">
        <v>175</v>
      </c>
      <c r="AQ689" t="s">
        <v>175</v>
      </c>
      <c r="AR689" t="s">
        <v>173</v>
      </c>
      <c r="AS689" t="s">
        <v>173</v>
      </c>
      <c r="AT689" t="s">
        <v>173</v>
      </c>
      <c r="AU689" t="s">
        <v>173</v>
      </c>
      <c r="AV689" t="s">
        <v>173</v>
      </c>
      <c r="AW689" t="s">
        <v>175</v>
      </c>
      <c r="AX689" t="s">
        <v>192</v>
      </c>
      <c r="AY689" t="s">
        <v>198</v>
      </c>
    </row>
    <row r="690" hidden="1" spans="1:51">
      <c r="A690">
        <v>690</v>
      </c>
      <c r="B690" t="s">
        <v>259</v>
      </c>
      <c r="C690">
        <v>2024</v>
      </c>
      <c r="D690">
        <v>2011</v>
      </c>
      <c r="E690">
        <v>2011</v>
      </c>
      <c r="F690" t="s">
        <v>282</v>
      </c>
      <c r="G690"/>
      <c r="H690" t="s">
        <v>261</v>
      </c>
      <c r="I690"/>
      <c r="J690" t="s">
        <v>252</v>
      </c>
      <c r="K690" t="b">
        <v>0</v>
      </c>
      <c r="L690" t="b">
        <v>0</v>
      </c>
      <c r="M690" t="b">
        <v>0</v>
      </c>
      <c r="N690" t="b">
        <v>0</v>
      </c>
      <c r="O690" t="b">
        <v>0</v>
      </c>
      <c r="P690" t="b">
        <v>0</v>
      </c>
      <c r="Q690" t="b">
        <v>0</v>
      </c>
      <c r="R690" t="b">
        <v>0</v>
      </c>
      <c r="S690" t="b">
        <v>0</v>
      </c>
      <c r="T690" t="b">
        <v>0</v>
      </c>
      <c r="U690" t="b">
        <v>0</v>
      </c>
      <c r="V690" t="b">
        <v>0</v>
      </c>
      <c r="W690" t="b">
        <v>0</v>
      </c>
      <c r="X690" t="b">
        <v>0</v>
      </c>
      <c r="Y690" t="b">
        <v>0</v>
      </c>
      <c r="Z690" t="b">
        <v>1</v>
      </c>
      <c r="AA690" t="b">
        <v>0</v>
      </c>
      <c r="AB690" t="b">
        <v>0</v>
      </c>
      <c r="AC690" t="s">
        <v>171</v>
      </c>
      <c r="AD690" t="s">
        <v>175</v>
      </c>
      <c r="AE690" t="s">
        <v>173</v>
      </c>
      <c r="AF690" t="s">
        <v>175</v>
      </c>
      <c r="AG690" t="s">
        <v>173</v>
      </c>
      <c r="AH690" t="s">
        <v>173</v>
      </c>
      <c r="AI690" t="s">
        <v>171</v>
      </c>
      <c r="AJ690" t="s">
        <v>171</v>
      </c>
      <c r="AK690" t="s">
        <v>171</v>
      </c>
      <c r="AL690" t="s">
        <v>171</v>
      </c>
      <c r="AM690" t="s">
        <v>171</v>
      </c>
      <c r="AN690" t="s">
        <v>171</v>
      </c>
      <c r="AO690" t="s">
        <v>177</v>
      </c>
      <c r="AP690" t="s">
        <v>177</v>
      </c>
      <c r="AQ690" t="s">
        <v>173</v>
      </c>
      <c r="AR690" t="s">
        <v>173</v>
      </c>
      <c r="AS690" t="s">
        <v>171</v>
      </c>
      <c r="AT690" t="s">
        <v>171</v>
      </c>
      <c r="AU690" t="s">
        <v>171</v>
      </c>
      <c r="AV690" t="s">
        <v>179</v>
      </c>
      <c r="AW690" t="s">
        <v>173</v>
      </c>
      <c r="AX690" t="s">
        <v>192</v>
      </c>
      <c r="AY690" t="s">
        <v>195</v>
      </c>
    </row>
    <row r="691" hidden="1" spans="1:51">
      <c r="A691">
        <v>691</v>
      </c>
      <c r="B691" t="s">
        <v>259</v>
      </c>
      <c r="C691" t="s">
        <v>247</v>
      </c>
      <c r="D691">
        <v>1984</v>
      </c>
      <c r="E691">
        <v>1984</v>
      </c>
      <c r="F691" t="s">
        <v>256</v>
      </c>
      <c r="G691" t="s">
        <v>263</v>
      </c>
      <c r="H691" t="s">
        <v>274</v>
      </c>
      <c r="I691"/>
      <c r="J691" t="s">
        <v>265</v>
      </c>
      <c r="K691" t="b">
        <v>0</v>
      </c>
      <c r="L691" t="b">
        <v>0</v>
      </c>
      <c r="M691" t="b">
        <v>0</v>
      </c>
      <c r="N691" t="b">
        <v>0</v>
      </c>
      <c r="O691" t="b">
        <v>0</v>
      </c>
      <c r="P691" t="b">
        <v>0</v>
      </c>
      <c r="Q691" t="b">
        <v>0</v>
      </c>
      <c r="R691" t="b">
        <v>0</v>
      </c>
      <c r="S691" t="b">
        <v>0</v>
      </c>
      <c r="T691" t="b">
        <v>0</v>
      </c>
      <c r="U691" t="b">
        <v>0</v>
      </c>
      <c r="V691" t="b">
        <v>0</v>
      </c>
      <c r="W691" t="b">
        <v>0</v>
      </c>
      <c r="X691" t="b">
        <v>0</v>
      </c>
      <c r="Y691" t="b">
        <v>0</v>
      </c>
      <c r="Z691" t="b">
        <v>1</v>
      </c>
      <c r="AA691" t="b">
        <v>0</v>
      </c>
      <c r="AB691" t="b">
        <v>0</v>
      </c>
      <c r="AC691" t="s">
        <v>171</v>
      </c>
      <c r="AD691" t="s">
        <v>173</v>
      </c>
      <c r="AE691" t="s">
        <v>173</v>
      </c>
      <c r="AF691" t="s">
        <v>171</v>
      </c>
      <c r="AG691" t="s">
        <v>173</v>
      </c>
      <c r="AH691" t="s">
        <v>175</v>
      </c>
      <c r="AI691" t="s">
        <v>175</v>
      </c>
      <c r="AJ691" t="s">
        <v>171</v>
      </c>
      <c r="AK691" t="s">
        <v>173</v>
      </c>
      <c r="AL691" t="s">
        <v>175</v>
      </c>
      <c r="AM691" t="s">
        <v>173</v>
      </c>
      <c r="AN691" t="s">
        <v>173</v>
      </c>
      <c r="AO691" t="s">
        <v>173</v>
      </c>
      <c r="AP691" t="s">
        <v>173</v>
      </c>
      <c r="AQ691" t="s">
        <v>173</v>
      </c>
      <c r="AR691" t="s">
        <v>171</v>
      </c>
      <c r="AS691" t="s">
        <v>171</v>
      </c>
      <c r="AT691" t="s">
        <v>171</v>
      </c>
      <c r="AU691" t="s">
        <v>173</v>
      </c>
      <c r="AV691" t="s">
        <v>173</v>
      </c>
      <c r="AW691" t="s">
        <v>173</v>
      </c>
      <c r="AX691" t="s">
        <v>192</v>
      </c>
      <c r="AY691" t="s">
        <v>196</v>
      </c>
    </row>
    <row r="692" hidden="1" spans="1:51">
      <c r="A692">
        <v>692</v>
      </c>
      <c r="B692" t="s">
        <v>272</v>
      </c>
      <c r="C692">
        <v>2024</v>
      </c>
      <c r="D692">
        <v>2013</v>
      </c>
      <c r="E692">
        <v>2013</v>
      </c>
      <c r="F692" t="s">
        <v>256</v>
      </c>
      <c r="G692" t="s">
        <v>263</v>
      </c>
      <c r="H692" t="s">
        <v>261</v>
      </c>
      <c r="I692"/>
      <c r="J692" t="s">
        <v>252</v>
      </c>
      <c r="K692" t="b">
        <v>0</v>
      </c>
      <c r="L692" t="b">
        <v>1</v>
      </c>
      <c r="M692" t="b">
        <v>0</v>
      </c>
      <c r="N692" t="b">
        <v>0</v>
      </c>
      <c r="O692" t="b">
        <v>0</v>
      </c>
      <c r="P692" t="b">
        <v>0</v>
      </c>
      <c r="Q692" t="b">
        <v>0</v>
      </c>
      <c r="R692" t="b">
        <v>0</v>
      </c>
      <c r="S692" t="b">
        <v>0</v>
      </c>
      <c r="T692" t="b">
        <v>0</v>
      </c>
      <c r="U692" t="b">
        <v>0</v>
      </c>
      <c r="V692" t="b">
        <v>1</v>
      </c>
      <c r="W692" t="b">
        <v>1</v>
      </c>
      <c r="X692" t="b">
        <v>0</v>
      </c>
      <c r="Y692" t="b">
        <v>0</v>
      </c>
      <c r="Z692" t="b">
        <v>0</v>
      </c>
      <c r="AA692" t="b">
        <v>0</v>
      </c>
      <c r="AB692" t="b">
        <v>0</v>
      </c>
      <c r="AC692" t="s">
        <v>173</v>
      </c>
      <c r="AD692" t="s">
        <v>177</v>
      </c>
      <c r="AE692" t="s">
        <v>177</v>
      </c>
      <c r="AF692" t="s">
        <v>173</v>
      </c>
      <c r="AG692" t="s">
        <v>173</v>
      </c>
      <c r="AH692" t="s">
        <v>173</v>
      </c>
      <c r="AI692" t="s">
        <v>177</v>
      </c>
      <c r="AJ692" t="s">
        <v>175</v>
      </c>
      <c r="AK692" t="s">
        <v>175</v>
      </c>
      <c r="AL692" t="s">
        <v>173</v>
      </c>
      <c r="AM692" t="s">
        <v>173</v>
      </c>
      <c r="AN692" t="s">
        <v>173</v>
      </c>
      <c r="AO692" t="s">
        <v>173</v>
      </c>
      <c r="AP692" t="s">
        <v>173</v>
      </c>
      <c r="AQ692" t="s">
        <v>173</v>
      </c>
      <c r="AR692" t="s">
        <v>173</v>
      </c>
      <c r="AS692" t="s">
        <v>173</v>
      </c>
      <c r="AT692" t="s">
        <v>173</v>
      </c>
      <c r="AU692" t="s">
        <v>173</v>
      </c>
      <c r="AV692" t="s">
        <v>173</v>
      </c>
      <c r="AW692" t="s">
        <v>173</v>
      </c>
      <c r="AX692" t="s">
        <v>192</v>
      </c>
      <c r="AY692" t="s">
        <v>203</v>
      </c>
    </row>
    <row r="693" hidden="1" spans="1:51">
      <c r="A693">
        <v>693</v>
      </c>
      <c r="B693" t="s">
        <v>269</v>
      </c>
      <c r="C693">
        <v>2024</v>
      </c>
      <c r="D693">
        <v>2007</v>
      </c>
      <c r="E693">
        <v>2022</v>
      </c>
      <c r="F693" t="s">
        <v>256</v>
      </c>
      <c r="G693"/>
      <c r="H693" t="s">
        <v>264</v>
      </c>
      <c r="I693"/>
      <c r="J693" t="s">
        <v>252</v>
      </c>
      <c r="K693" t="b">
        <v>0</v>
      </c>
      <c r="L693" t="b">
        <v>1</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s">
        <v>171</v>
      </c>
      <c r="AD693" t="s">
        <v>171</v>
      </c>
      <c r="AE693" t="s">
        <v>175</v>
      </c>
      <c r="AF693" t="s">
        <v>173</v>
      </c>
      <c r="AG693" t="s">
        <v>173</v>
      </c>
      <c r="AH693" t="s">
        <v>175</v>
      </c>
      <c r="AI693" t="s">
        <v>175</v>
      </c>
      <c r="AJ693" t="s">
        <v>175</v>
      </c>
      <c r="AK693" t="s">
        <v>173</v>
      </c>
      <c r="AL693" t="s">
        <v>173</v>
      </c>
      <c r="AM693" t="s">
        <v>173</v>
      </c>
      <c r="AN693" t="s">
        <v>173</v>
      </c>
      <c r="AO693" t="s">
        <v>171</v>
      </c>
      <c r="AP693" t="s">
        <v>171</v>
      </c>
      <c r="AQ693" t="s">
        <v>171</v>
      </c>
      <c r="AR693" t="s">
        <v>173</v>
      </c>
      <c r="AS693" t="s">
        <v>171</v>
      </c>
      <c r="AT693" t="s">
        <v>171</v>
      </c>
      <c r="AU693" t="s">
        <v>171</v>
      </c>
      <c r="AV693" t="s">
        <v>175</v>
      </c>
      <c r="AW693" t="s">
        <v>173</v>
      </c>
      <c r="AX693" t="s">
        <v>192</v>
      </c>
      <c r="AY693" t="s">
        <v>201</v>
      </c>
    </row>
    <row r="694" hidden="1" spans="1:51">
      <c r="A694">
        <v>694</v>
      </c>
      <c r="B694" t="s">
        <v>255</v>
      </c>
      <c r="C694">
        <v>2024</v>
      </c>
      <c r="D694">
        <v>2021</v>
      </c>
      <c r="E694">
        <v>2021</v>
      </c>
      <c r="F694" t="s">
        <v>256</v>
      </c>
      <c r="G694" t="s">
        <v>263</v>
      </c>
      <c r="H694" t="s">
        <v>268</v>
      </c>
      <c r="I694"/>
      <c r="J694" t="s">
        <v>265</v>
      </c>
      <c r="K694" t="b">
        <v>0</v>
      </c>
      <c r="L694" t="b">
        <v>0</v>
      </c>
      <c r="M694" t="b">
        <v>0</v>
      </c>
      <c r="N694" t="b">
        <v>0</v>
      </c>
      <c r="O694" t="b">
        <v>0</v>
      </c>
      <c r="P694" t="b">
        <v>0</v>
      </c>
      <c r="Q694" t="b">
        <v>0</v>
      </c>
      <c r="R694" t="b">
        <v>0</v>
      </c>
      <c r="S694" t="b">
        <v>0</v>
      </c>
      <c r="T694" t="b">
        <v>0</v>
      </c>
      <c r="U694" t="b">
        <v>0</v>
      </c>
      <c r="V694" t="b">
        <v>1</v>
      </c>
      <c r="W694" t="b">
        <v>0</v>
      </c>
      <c r="X694" t="b">
        <v>0</v>
      </c>
      <c r="Y694" t="b">
        <v>0</v>
      </c>
      <c r="Z694" t="b">
        <v>0</v>
      </c>
      <c r="AA694" t="b">
        <v>0</v>
      </c>
      <c r="AB694" t="b">
        <v>0</v>
      </c>
      <c r="AC694" t="s">
        <v>173</v>
      </c>
      <c r="AD694" t="s">
        <v>175</v>
      </c>
      <c r="AE694" t="s">
        <v>171</v>
      </c>
      <c r="AF694" t="s">
        <v>175</v>
      </c>
      <c r="AG694" t="s">
        <v>173</v>
      </c>
      <c r="AH694" t="s">
        <v>173</v>
      </c>
      <c r="AI694" t="s">
        <v>175</v>
      </c>
      <c r="AJ694" t="s">
        <v>173</v>
      </c>
      <c r="AK694" t="s">
        <v>173</v>
      </c>
      <c r="AL694" t="s">
        <v>175</v>
      </c>
      <c r="AM694" t="s">
        <v>177</v>
      </c>
      <c r="AN694" t="s">
        <v>177</v>
      </c>
      <c r="AO694" t="s">
        <v>177</v>
      </c>
      <c r="AP694" t="s">
        <v>177</v>
      </c>
      <c r="AQ694" t="s">
        <v>177</v>
      </c>
      <c r="AR694" t="s">
        <v>173</v>
      </c>
      <c r="AS694" t="s">
        <v>175</v>
      </c>
      <c r="AT694" t="s">
        <v>173</v>
      </c>
      <c r="AU694" t="s">
        <v>173</v>
      </c>
      <c r="AV694" t="s">
        <v>175</v>
      </c>
      <c r="AW694" t="s">
        <v>173</v>
      </c>
      <c r="AX694" t="s">
        <v>192</v>
      </c>
      <c r="AY694" t="s">
        <v>202</v>
      </c>
    </row>
    <row r="695" hidden="1" spans="1:51">
      <c r="A695">
        <v>695</v>
      </c>
      <c r="B695" t="s">
        <v>272</v>
      </c>
      <c r="C695">
        <v>2024</v>
      </c>
      <c r="D695">
        <v>2019</v>
      </c>
      <c r="E695">
        <v>2019</v>
      </c>
      <c r="F695" t="s">
        <v>256</v>
      </c>
      <c r="G695" t="s">
        <v>263</v>
      </c>
      <c r="H695" t="s">
        <v>261</v>
      </c>
      <c r="I695"/>
      <c r="J695" t="s">
        <v>252</v>
      </c>
      <c r="K695" t="b">
        <v>0</v>
      </c>
      <c r="L695" t="b">
        <v>0</v>
      </c>
      <c r="M695" t="b">
        <v>0</v>
      </c>
      <c r="N695" t="b">
        <v>0</v>
      </c>
      <c r="O695" t="b">
        <v>0</v>
      </c>
      <c r="P695" t="b">
        <v>0</v>
      </c>
      <c r="Q695" t="b">
        <v>0</v>
      </c>
      <c r="R695" t="b">
        <v>0</v>
      </c>
      <c r="S695" t="b">
        <v>0</v>
      </c>
      <c r="T695" t="b">
        <v>0</v>
      </c>
      <c r="U695" t="b">
        <v>0</v>
      </c>
      <c r="V695" t="b">
        <v>1</v>
      </c>
      <c r="W695" t="b">
        <v>0</v>
      </c>
      <c r="X695" t="b">
        <v>0</v>
      </c>
      <c r="Y695" t="b">
        <v>0</v>
      </c>
      <c r="Z695" t="b">
        <v>0</v>
      </c>
      <c r="AA695" t="b">
        <v>0</v>
      </c>
      <c r="AB695" t="b">
        <v>0</v>
      </c>
      <c r="AC695" t="s">
        <v>171</v>
      </c>
      <c r="AD695" t="s">
        <v>171</v>
      </c>
      <c r="AE695" t="s">
        <v>175</v>
      </c>
      <c r="AF695" t="s">
        <v>177</v>
      </c>
      <c r="AG695" t="s">
        <v>175</v>
      </c>
      <c r="AH695" t="s">
        <v>177</v>
      </c>
      <c r="AI695" t="s">
        <v>177</v>
      </c>
      <c r="AJ695" t="s">
        <v>173</v>
      </c>
      <c r="AK695" t="s">
        <v>173</v>
      </c>
      <c r="AL695" t="s">
        <v>173</v>
      </c>
      <c r="AM695" t="s">
        <v>173</v>
      </c>
      <c r="AN695" t="s">
        <v>173</v>
      </c>
      <c r="AO695" t="s">
        <v>173</v>
      </c>
      <c r="AP695" t="s">
        <v>173</v>
      </c>
      <c r="AQ695" t="s">
        <v>173</v>
      </c>
      <c r="AR695" t="s">
        <v>175</v>
      </c>
      <c r="AS695" t="s">
        <v>175</v>
      </c>
      <c r="AT695" t="s">
        <v>175</v>
      </c>
      <c r="AU695" t="s">
        <v>173</v>
      </c>
      <c r="AV695" t="s">
        <v>179</v>
      </c>
      <c r="AW695" t="s">
        <v>175</v>
      </c>
      <c r="AX695" t="s">
        <v>193</v>
      </c>
      <c r="AY695" t="s">
        <v>199</v>
      </c>
    </row>
    <row r="696" hidden="1" spans="1:51">
      <c r="A696">
        <v>696</v>
      </c>
      <c r="B696" t="s">
        <v>255</v>
      </c>
      <c r="C696" t="s">
        <v>247</v>
      </c>
      <c r="D696">
        <v>2021</v>
      </c>
      <c r="E696" t="s">
        <v>247</v>
      </c>
      <c r="F696" t="s">
        <v>266</v>
      </c>
      <c r="G696"/>
      <c r="H696" t="s">
        <v>274</v>
      </c>
      <c r="I696"/>
      <c r="J696" t="s">
        <v>313</v>
      </c>
      <c r="K696" t="b">
        <v>0</v>
      </c>
      <c r="L696" t="b">
        <v>0</v>
      </c>
      <c r="M696" t="b">
        <v>0</v>
      </c>
      <c r="N696" t="b">
        <v>0</v>
      </c>
      <c r="O696" t="b">
        <v>0</v>
      </c>
      <c r="P696" t="b">
        <v>0</v>
      </c>
      <c r="Q696" t="b">
        <v>0</v>
      </c>
      <c r="R696" t="b">
        <v>0</v>
      </c>
      <c r="S696" t="b">
        <v>0</v>
      </c>
      <c r="T696" t="b">
        <v>0</v>
      </c>
      <c r="U696" t="b">
        <v>1</v>
      </c>
      <c r="V696" t="b">
        <v>0</v>
      </c>
      <c r="W696" t="b">
        <v>0</v>
      </c>
      <c r="X696" t="b">
        <v>0</v>
      </c>
      <c r="Y696" t="b">
        <v>0</v>
      </c>
      <c r="Z696" t="b">
        <v>0</v>
      </c>
      <c r="AA696" t="b">
        <v>0</v>
      </c>
      <c r="AB696" t="b">
        <v>0</v>
      </c>
      <c r="AC696" t="s">
        <v>183</v>
      </c>
      <c r="AD696" t="s">
        <v>183</v>
      </c>
      <c r="AE696" t="s">
        <v>183</v>
      </c>
      <c r="AF696" t="s">
        <v>183</v>
      </c>
      <c r="AG696" t="s">
        <v>183</v>
      </c>
      <c r="AH696" t="s">
        <v>183</v>
      </c>
      <c r="AI696" t="s">
        <v>183</v>
      </c>
      <c r="AJ696" t="s">
        <v>183</v>
      </c>
      <c r="AK696" t="s">
        <v>183</v>
      </c>
      <c r="AL696" t="s">
        <v>183</v>
      </c>
      <c r="AM696" t="s">
        <v>183</v>
      </c>
      <c r="AN696" t="s">
        <v>183</v>
      </c>
      <c r="AO696" t="s">
        <v>183</v>
      </c>
      <c r="AP696" t="s">
        <v>183</v>
      </c>
      <c r="AQ696" t="s">
        <v>183</v>
      </c>
      <c r="AR696" t="s">
        <v>183</v>
      </c>
      <c r="AS696" t="s">
        <v>183</v>
      </c>
      <c r="AT696" t="s">
        <v>183</v>
      </c>
      <c r="AU696" t="s">
        <v>183</v>
      </c>
      <c r="AV696" t="s">
        <v>183</v>
      </c>
      <c r="AW696" t="s">
        <v>183</v>
      </c>
      <c r="AX696" t="s">
        <v>192</v>
      </c>
      <c r="AY696" t="s">
        <v>198</v>
      </c>
    </row>
    <row r="697" hidden="1" spans="1:51">
      <c r="A697">
        <v>697</v>
      </c>
      <c r="B697" t="s">
        <v>259</v>
      </c>
      <c r="C697">
        <v>2023</v>
      </c>
      <c r="D697">
        <v>2020</v>
      </c>
      <c r="E697">
        <v>2020</v>
      </c>
      <c r="F697" t="s">
        <v>256</v>
      </c>
      <c r="G697" t="s">
        <v>257</v>
      </c>
      <c r="H697" t="s">
        <v>261</v>
      </c>
      <c r="I697"/>
      <c r="J697" t="s">
        <v>265</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s">
        <v>173</v>
      </c>
      <c r="AD697" t="s">
        <v>175</v>
      </c>
      <c r="AE697" t="s">
        <v>173</v>
      </c>
      <c r="AF697" t="s">
        <v>173</v>
      </c>
      <c r="AG697" t="s">
        <v>173</v>
      </c>
      <c r="AH697" t="s">
        <v>171</v>
      </c>
      <c r="AI697" t="s">
        <v>173</v>
      </c>
      <c r="AJ697" t="s">
        <v>171</v>
      </c>
      <c r="AK697" t="s">
        <v>177</v>
      </c>
      <c r="AL697" t="s">
        <v>171</v>
      </c>
      <c r="AM697" t="s">
        <v>171</v>
      </c>
      <c r="AN697" t="s">
        <v>175</v>
      </c>
      <c r="AO697" t="s">
        <v>171</v>
      </c>
      <c r="AP697" t="s">
        <v>171</v>
      </c>
      <c r="AQ697" t="s">
        <v>171</v>
      </c>
      <c r="AR697" t="s">
        <v>171</v>
      </c>
      <c r="AS697" t="s">
        <v>171</v>
      </c>
      <c r="AT697" t="s">
        <v>171</v>
      </c>
      <c r="AU697" t="s">
        <v>171</v>
      </c>
      <c r="AV697" t="s">
        <v>173</v>
      </c>
      <c r="AW697" t="s">
        <v>173</v>
      </c>
      <c r="AX697" t="s">
        <v>193</v>
      </c>
      <c r="AY697" t="s">
        <v>195</v>
      </c>
    </row>
    <row r="698" hidden="1" spans="1:52">
      <c r="A698">
        <v>698</v>
      </c>
      <c r="B698" t="s">
        <v>272</v>
      </c>
      <c r="C698">
        <v>2023</v>
      </c>
      <c r="D698">
        <v>2017</v>
      </c>
      <c r="E698">
        <v>2017</v>
      </c>
      <c r="F698" t="s">
        <v>266</v>
      </c>
      <c r="G698"/>
      <c r="H698" t="s">
        <v>264</v>
      </c>
      <c r="I698"/>
      <c r="J698" t="s">
        <v>252</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s">
        <v>171</v>
      </c>
      <c r="AD698" t="s">
        <v>171</v>
      </c>
      <c r="AE698" t="s">
        <v>171</v>
      </c>
      <c r="AF698" t="s">
        <v>171</v>
      </c>
      <c r="AG698" t="s">
        <v>173</v>
      </c>
      <c r="AH698" t="s">
        <v>173</v>
      </c>
      <c r="AI698" t="s">
        <v>171</v>
      </c>
      <c r="AJ698" t="s">
        <v>173</v>
      </c>
      <c r="AK698" t="s">
        <v>171</v>
      </c>
      <c r="AL698" t="s">
        <v>173</v>
      </c>
      <c r="AM698" t="s">
        <v>173</v>
      </c>
      <c r="AN698" t="s">
        <v>171</v>
      </c>
      <c r="AO698" t="s">
        <v>171</v>
      </c>
      <c r="AP698" t="s">
        <v>173</v>
      </c>
      <c r="AQ698" t="s">
        <v>171</v>
      </c>
      <c r="AR698" t="s">
        <v>171</v>
      </c>
      <c r="AS698" t="s">
        <v>171</v>
      </c>
      <c r="AT698" t="s">
        <v>173</v>
      </c>
      <c r="AU698" t="s">
        <v>173</v>
      </c>
      <c r="AV698" t="s">
        <v>173</v>
      </c>
      <c r="AW698" t="s">
        <v>173</v>
      </c>
      <c r="AX698" t="s">
        <v>193</v>
      </c>
      <c r="AY698" t="s">
        <v>200</v>
      </c>
      <c r="AZ698" t="s">
        <v>208</v>
      </c>
    </row>
    <row r="699" hidden="1" spans="1:51">
      <c r="A699">
        <v>699</v>
      </c>
      <c r="B699" t="s">
        <v>259</v>
      </c>
      <c r="C699">
        <v>2023</v>
      </c>
      <c r="D699">
        <v>1983</v>
      </c>
      <c r="E699">
        <v>1998</v>
      </c>
      <c r="F699" t="s">
        <v>276</v>
      </c>
      <c r="G699"/>
      <c r="H699" t="s">
        <v>267</v>
      </c>
      <c r="I699"/>
      <c r="J699" t="s">
        <v>252</v>
      </c>
      <c r="K699" t="b">
        <v>0</v>
      </c>
      <c r="L699" t="b">
        <v>0</v>
      </c>
      <c r="M699" t="b">
        <v>0</v>
      </c>
      <c r="N699" t="b">
        <v>0</v>
      </c>
      <c r="O699" t="b">
        <v>0</v>
      </c>
      <c r="P699" t="b">
        <v>0</v>
      </c>
      <c r="Q699" t="b">
        <v>1</v>
      </c>
      <c r="R699" t="b">
        <v>0</v>
      </c>
      <c r="S699" t="b">
        <v>0</v>
      </c>
      <c r="T699" t="b">
        <v>0</v>
      </c>
      <c r="U699" t="b">
        <v>0</v>
      </c>
      <c r="V699" t="b">
        <v>0</v>
      </c>
      <c r="W699" t="b">
        <v>0</v>
      </c>
      <c r="X699" t="b">
        <v>0</v>
      </c>
      <c r="Y699" t="b">
        <v>0</v>
      </c>
      <c r="Z699" t="b">
        <v>1</v>
      </c>
      <c r="AA699" t="b">
        <v>1</v>
      </c>
      <c r="AB699" t="b">
        <v>0</v>
      </c>
      <c r="AC699" t="s">
        <v>171</v>
      </c>
      <c r="AD699" t="s">
        <v>173</v>
      </c>
      <c r="AE699" t="s">
        <v>175</v>
      </c>
      <c r="AF699" t="s">
        <v>175</v>
      </c>
      <c r="AG699" t="s">
        <v>175</v>
      </c>
      <c r="AH699" t="s">
        <v>177</v>
      </c>
      <c r="AI699" t="s">
        <v>175</v>
      </c>
      <c r="AJ699" t="s">
        <v>175</v>
      </c>
      <c r="AK699" t="s">
        <v>171</v>
      </c>
      <c r="AL699" t="s">
        <v>175</v>
      </c>
      <c r="AM699" t="s">
        <v>175</v>
      </c>
      <c r="AN699" t="s">
        <v>177</v>
      </c>
      <c r="AO699" t="s">
        <v>175</v>
      </c>
      <c r="AP699" t="s">
        <v>177</v>
      </c>
      <c r="AQ699" t="s">
        <v>173</v>
      </c>
      <c r="AR699" t="s">
        <v>177</v>
      </c>
      <c r="AS699" t="s">
        <v>175</v>
      </c>
      <c r="AT699" t="s">
        <v>175</v>
      </c>
      <c r="AU699" t="s">
        <v>177</v>
      </c>
      <c r="AV699" t="s">
        <v>175</v>
      </c>
      <c r="AW699" t="s">
        <v>173</v>
      </c>
      <c r="AX699" t="s">
        <v>192</v>
      </c>
      <c r="AY699" t="s">
        <v>197</v>
      </c>
    </row>
    <row r="700" hidden="1" spans="1:51">
      <c r="A700">
        <v>700</v>
      </c>
      <c r="B700" t="s">
        <v>255</v>
      </c>
      <c r="C700">
        <v>2023</v>
      </c>
      <c r="D700">
        <v>2019</v>
      </c>
      <c r="E700">
        <v>2019</v>
      </c>
      <c r="F700" t="s">
        <v>275</v>
      </c>
      <c r="G700"/>
      <c r="H700" t="s">
        <v>258</v>
      </c>
      <c r="I700"/>
      <c r="J700" t="s">
        <v>265</v>
      </c>
      <c r="K700" t="b">
        <v>0</v>
      </c>
      <c r="L700" t="b">
        <v>0</v>
      </c>
      <c r="M700" t="b">
        <v>0</v>
      </c>
      <c r="N700" t="b">
        <v>0</v>
      </c>
      <c r="O700" t="b">
        <v>0</v>
      </c>
      <c r="P700" t="b">
        <v>0</v>
      </c>
      <c r="Q700" t="b">
        <v>0</v>
      </c>
      <c r="R700" t="b">
        <v>0</v>
      </c>
      <c r="S700" t="b">
        <v>0</v>
      </c>
      <c r="T700" t="b">
        <v>0</v>
      </c>
      <c r="U700" t="b">
        <v>0</v>
      </c>
      <c r="V700" t="b">
        <v>0</v>
      </c>
      <c r="W700" t="b">
        <v>0</v>
      </c>
      <c r="X700" t="b">
        <v>0</v>
      </c>
      <c r="Y700" t="b">
        <v>0</v>
      </c>
      <c r="Z700" t="b">
        <v>1</v>
      </c>
      <c r="AA700" t="b">
        <v>0</v>
      </c>
      <c r="AB700" t="b">
        <v>0</v>
      </c>
      <c r="AC700" t="s">
        <v>171</v>
      </c>
      <c r="AD700" t="s">
        <v>171</v>
      </c>
      <c r="AE700" t="s">
        <v>173</v>
      </c>
      <c r="AF700" t="s">
        <v>173</v>
      </c>
      <c r="AG700" t="s">
        <v>171</v>
      </c>
      <c r="AH700" t="s">
        <v>171</v>
      </c>
      <c r="AI700" t="s">
        <v>171</v>
      </c>
      <c r="AJ700" t="s">
        <v>171</v>
      </c>
      <c r="AK700" t="s">
        <v>171</v>
      </c>
      <c r="AL700" t="s">
        <v>171</v>
      </c>
      <c r="AM700" t="s">
        <v>171</v>
      </c>
      <c r="AN700" t="s">
        <v>171</v>
      </c>
      <c r="AO700" t="s">
        <v>171</v>
      </c>
      <c r="AP700" t="s">
        <v>171</v>
      </c>
      <c r="AQ700" t="s">
        <v>171</v>
      </c>
      <c r="AR700" t="s">
        <v>171</v>
      </c>
      <c r="AS700" t="s">
        <v>171</v>
      </c>
      <c r="AT700" t="s">
        <v>171</v>
      </c>
      <c r="AU700" t="s">
        <v>171</v>
      </c>
      <c r="AV700" t="s">
        <v>173</v>
      </c>
      <c r="AW700" t="s">
        <v>173</v>
      </c>
      <c r="AX700" t="s">
        <v>192</v>
      </c>
      <c r="AY700" t="s">
        <v>199</v>
      </c>
    </row>
    <row r="701" hidden="1" spans="1:51">
      <c r="A701">
        <v>701</v>
      </c>
      <c r="B701" t="s">
        <v>259</v>
      </c>
      <c r="C701" t="s">
        <v>247</v>
      </c>
      <c r="D701">
        <v>2015</v>
      </c>
      <c r="E701">
        <v>2015</v>
      </c>
      <c r="F701" t="s">
        <v>253</v>
      </c>
      <c r="G701"/>
      <c r="H701" t="s">
        <v>274</v>
      </c>
      <c r="I701"/>
      <c r="J701" t="s">
        <v>252</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s">
        <v>173</v>
      </c>
      <c r="AD701" t="s">
        <v>181</v>
      </c>
      <c r="AE701" t="s">
        <v>175</v>
      </c>
      <c r="AF701" t="s">
        <v>175</v>
      </c>
      <c r="AG701" t="s">
        <v>173</v>
      </c>
      <c r="AH701" t="s">
        <v>173</v>
      </c>
      <c r="AI701" t="s">
        <v>175</v>
      </c>
      <c r="AJ701" t="s">
        <v>175</v>
      </c>
      <c r="AK701" t="s">
        <v>175</v>
      </c>
      <c r="AL701" t="s">
        <v>175</v>
      </c>
      <c r="AM701" t="s">
        <v>175</v>
      </c>
      <c r="AN701" t="s">
        <v>175</v>
      </c>
      <c r="AO701" t="s">
        <v>177</v>
      </c>
      <c r="AP701" t="s">
        <v>177</v>
      </c>
      <c r="AQ701" t="s">
        <v>177</v>
      </c>
      <c r="AR701" t="s">
        <v>175</v>
      </c>
      <c r="AS701" t="s">
        <v>175</v>
      </c>
      <c r="AT701" t="s">
        <v>175</v>
      </c>
      <c r="AU701" t="s">
        <v>175</v>
      </c>
      <c r="AV701" t="s">
        <v>177</v>
      </c>
      <c r="AW701" t="s">
        <v>177</v>
      </c>
      <c r="AX701" t="s">
        <v>193</v>
      </c>
      <c r="AY701" t="s">
        <v>195</v>
      </c>
    </row>
    <row r="702" hidden="1" spans="1:51">
      <c r="A702">
        <v>702</v>
      </c>
      <c r="B702" t="s">
        <v>269</v>
      </c>
      <c r="C702">
        <v>2023</v>
      </c>
      <c r="D702">
        <v>2016</v>
      </c>
      <c r="E702">
        <v>2022</v>
      </c>
      <c r="F702" t="s">
        <v>282</v>
      </c>
      <c r="G702"/>
      <c r="H702" t="s">
        <v>250</v>
      </c>
      <c r="I702" t="s">
        <v>283</v>
      </c>
      <c r="J702" t="s">
        <v>313</v>
      </c>
      <c r="K702" t="b">
        <v>1</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s">
        <v>175</v>
      </c>
      <c r="AD702" t="s">
        <v>177</v>
      </c>
      <c r="AE702" t="s">
        <v>175</v>
      </c>
      <c r="AF702" t="s">
        <v>173</v>
      </c>
      <c r="AG702" t="s">
        <v>171</v>
      </c>
      <c r="AH702" t="s">
        <v>171</v>
      </c>
      <c r="AI702" t="s">
        <v>171</v>
      </c>
      <c r="AJ702" t="s">
        <v>171</v>
      </c>
      <c r="AK702" t="s">
        <v>171</v>
      </c>
      <c r="AL702" t="s">
        <v>173</v>
      </c>
      <c r="AM702" t="s">
        <v>177</v>
      </c>
      <c r="AN702" t="s">
        <v>175</v>
      </c>
      <c r="AO702" t="s">
        <v>171</v>
      </c>
      <c r="AP702" t="s">
        <v>171</v>
      </c>
      <c r="AQ702" t="s">
        <v>173</v>
      </c>
      <c r="AR702" t="s">
        <v>171</v>
      </c>
      <c r="AS702" t="s">
        <v>171</v>
      </c>
      <c r="AT702" t="s">
        <v>171</v>
      </c>
      <c r="AU702" t="s">
        <v>171</v>
      </c>
      <c r="AV702" t="s">
        <v>171</v>
      </c>
      <c r="AW702" t="s">
        <v>183</v>
      </c>
      <c r="AX702" t="s">
        <v>193</v>
      </c>
      <c r="AY702" t="s">
        <v>202</v>
      </c>
    </row>
    <row r="703" hidden="1" spans="1:51">
      <c r="A703">
        <v>703</v>
      </c>
      <c r="B703" t="s">
        <v>255</v>
      </c>
      <c r="C703">
        <v>2023</v>
      </c>
      <c r="D703">
        <v>1997</v>
      </c>
      <c r="E703">
        <v>1997</v>
      </c>
      <c r="F703" t="s">
        <v>256</v>
      </c>
      <c r="G703" t="s">
        <v>257</v>
      </c>
      <c r="H703" t="s">
        <v>258</v>
      </c>
      <c r="I703"/>
      <c r="J703" t="s">
        <v>265</v>
      </c>
      <c r="K703" t="b">
        <v>0</v>
      </c>
      <c r="L703" t="b">
        <v>1</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s">
        <v>173</v>
      </c>
      <c r="AD703" t="s">
        <v>173</v>
      </c>
      <c r="AE703" t="s">
        <v>173</v>
      </c>
      <c r="AF703" t="s">
        <v>173</v>
      </c>
      <c r="AG703" t="s">
        <v>173</v>
      </c>
      <c r="AH703" t="s">
        <v>173</v>
      </c>
      <c r="AI703" t="s">
        <v>173</v>
      </c>
      <c r="AJ703" t="s">
        <v>177</v>
      </c>
      <c r="AK703" t="s">
        <v>171</v>
      </c>
      <c r="AL703" t="s">
        <v>171</v>
      </c>
      <c r="AM703" t="s">
        <v>171</v>
      </c>
      <c r="AN703" t="s">
        <v>173</v>
      </c>
      <c r="AO703" t="s">
        <v>173</v>
      </c>
      <c r="AP703" t="s">
        <v>173</v>
      </c>
      <c r="AQ703" t="s">
        <v>173</v>
      </c>
      <c r="AR703" t="s">
        <v>173</v>
      </c>
      <c r="AS703" t="s">
        <v>173</v>
      </c>
      <c r="AT703" t="s">
        <v>173</v>
      </c>
      <c r="AU703" t="s">
        <v>173</v>
      </c>
      <c r="AV703" t="s">
        <v>177</v>
      </c>
      <c r="AW703" t="s">
        <v>173</v>
      </c>
      <c r="AX703" t="s">
        <v>192</v>
      </c>
      <c r="AY703" t="s">
        <v>198</v>
      </c>
    </row>
    <row r="704" hidden="1" spans="1:51">
      <c r="A704">
        <v>704</v>
      </c>
      <c r="B704" t="s">
        <v>282</v>
      </c>
      <c r="C704">
        <v>2023</v>
      </c>
      <c r="D704">
        <v>2007</v>
      </c>
      <c r="E704">
        <v>2015</v>
      </c>
      <c r="F704" t="s">
        <v>275</v>
      </c>
      <c r="G704"/>
      <c r="H704" t="s">
        <v>273</v>
      </c>
      <c r="I704"/>
      <c r="J704" t="s">
        <v>265</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s">
        <v>173</v>
      </c>
      <c r="AD704" t="s">
        <v>175</v>
      </c>
      <c r="AE704" t="s">
        <v>171</v>
      </c>
      <c r="AF704" t="s">
        <v>171</v>
      </c>
      <c r="AG704" t="s">
        <v>173</v>
      </c>
      <c r="AH704" t="s">
        <v>171</v>
      </c>
      <c r="AI704" t="s">
        <v>171</v>
      </c>
      <c r="AJ704" t="s">
        <v>171</v>
      </c>
      <c r="AK704" t="s">
        <v>171</v>
      </c>
      <c r="AL704" t="s">
        <v>171</v>
      </c>
      <c r="AM704" t="s">
        <v>171</v>
      </c>
      <c r="AN704" t="s">
        <v>171</v>
      </c>
      <c r="AO704" t="s">
        <v>175</v>
      </c>
      <c r="AP704" t="s">
        <v>175</v>
      </c>
      <c r="AQ704" t="s">
        <v>175</v>
      </c>
      <c r="AR704" t="s">
        <v>171</v>
      </c>
      <c r="AS704" t="s">
        <v>171</v>
      </c>
      <c r="AT704" t="s">
        <v>173</v>
      </c>
      <c r="AU704" t="s">
        <v>173</v>
      </c>
      <c r="AV704" t="s">
        <v>171</v>
      </c>
      <c r="AW704" t="s">
        <v>171</v>
      </c>
      <c r="AX704" t="s">
        <v>192</v>
      </c>
      <c r="AY704" t="s">
        <v>196</v>
      </c>
    </row>
    <row r="705" spans="1:65">
      <c r="A705">
        <v>705</v>
      </c>
      <c r="B705" t="s">
        <v>315</v>
      </c>
      <c r="C705" s="10">
        <v>2023</v>
      </c>
      <c r="D705" s="10">
        <v>2022</v>
      </c>
      <c r="E705" s="10">
        <v>2022</v>
      </c>
      <c r="F705" s="10" t="s">
        <v>241</v>
      </c>
      <c r="G705" s="10" t="s">
        <v>242</v>
      </c>
      <c r="H705" s="10" t="s">
        <v>243</v>
      </c>
      <c r="I705" s="10" t="s">
        <v>311</v>
      </c>
      <c r="J705" s="10" t="s">
        <v>245</v>
      </c>
      <c r="K705" t="b">
        <v>0</v>
      </c>
      <c r="L705" t="b">
        <v>0</v>
      </c>
      <c r="M705" t="b">
        <v>1</v>
      </c>
      <c r="N705" t="b">
        <v>0</v>
      </c>
      <c r="O705" t="b">
        <v>1</v>
      </c>
      <c r="P705" t="b">
        <v>0</v>
      </c>
      <c r="Q705" t="b">
        <v>0</v>
      </c>
      <c r="R705" t="b">
        <v>0</v>
      </c>
      <c r="S705" t="b">
        <v>0</v>
      </c>
      <c r="T705" t="b">
        <v>0</v>
      </c>
      <c r="U705" t="b">
        <v>0</v>
      </c>
      <c r="V705" t="b">
        <v>0</v>
      </c>
      <c r="W705" t="b">
        <v>0</v>
      </c>
      <c r="X705" t="b">
        <v>0</v>
      </c>
      <c r="Y705" t="b">
        <v>0</v>
      </c>
      <c r="Z705" t="b">
        <v>0</v>
      </c>
      <c r="AA705" t="b">
        <v>0</v>
      </c>
      <c r="AB705" t="b">
        <v>0</v>
      </c>
      <c r="AC705" s="10" t="s">
        <v>179</v>
      </c>
      <c r="AE705" t="s">
        <v>179</v>
      </c>
      <c r="AF705" t="s">
        <v>179</v>
      </c>
      <c r="AG705" t="s">
        <v>173</v>
      </c>
      <c r="AH705" t="s">
        <v>173</v>
      </c>
      <c r="AI705" t="s">
        <v>177</v>
      </c>
      <c r="AJ705" t="s">
        <v>177</v>
      </c>
      <c r="AK705" t="s">
        <v>179</v>
      </c>
      <c r="AL705" t="s">
        <v>173</v>
      </c>
      <c r="AM705" t="s">
        <v>173</v>
      </c>
      <c r="AR705" t="s">
        <v>179</v>
      </c>
      <c r="AS705" t="s">
        <v>177</v>
      </c>
      <c r="AT705" t="s">
        <v>179</v>
      </c>
      <c r="AU705" t="s">
        <v>179</v>
      </c>
      <c r="AX705" t="s">
        <v>192</v>
      </c>
      <c r="AY705" t="s">
        <v>197</v>
      </c>
      <c r="BE705" t="str">
        <f>IF(AY705="","Unknown",AY705)</f>
        <v>51-55</v>
      </c>
      <c r="BF705" s="11" t="str">
        <f>IF(AZ705="","unknown",AZ705)</f>
        <v>unknown</v>
      </c>
      <c r="BG705" s="11" t="str">
        <f>IF(BA705="","UNKNOWN",BA705)</f>
        <v>UNKNOWN</v>
      </c>
      <c r="BH705" s="11" t="str">
        <f>IF(BB705="","unknown",BB705)</f>
        <v>unknown</v>
      </c>
      <c r="BI705" s="11" t="str">
        <f>IF(BC705="","Unknon",BC705)</f>
        <v>Unknon</v>
      </c>
      <c r="BJ705" s="11" t="str">
        <f>IF(BD705="","Unknown",BD705)</f>
        <v>Unknown</v>
      </c>
      <c r="BK705" s="11">
        <f>VALUE(C705)-VALUE(D705)</f>
        <v>1</v>
      </c>
      <c r="BM705" s="11"/>
    </row>
    <row r="706" hidden="1" spans="1:51">
      <c r="A706">
        <v>706</v>
      </c>
      <c r="B706" t="s">
        <v>255</v>
      </c>
      <c r="C706" t="s">
        <v>247</v>
      </c>
      <c r="D706">
        <v>2015</v>
      </c>
      <c r="E706">
        <v>2016</v>
      </c>
      <c r="F706" t="s">
        <v>266</v>
      </c>
      <c r="G706"/>
      <c r="H706" t="s">
        <v>264</v>
      </c>
      <c r="I706"/>
      <c r="J706" t="s">
        <v>252</v>
      </c>
      <c r="K706" t="b">
        <v>0</v>
      </c>
      <c r="L706" t="b">
        <v>0</v>
      </c>
      <c r="M706" t="b">
        <v>0</v>
      </c>
      <c r="N706" t="b">
        <v>0</v>
      </c>
      <c r="O706" t="b">
        <v>0</v>
      </c>
      <c r="P706" t="b">
        <v>0</v>
      </c>
      <c r="Q706" t="b">
        <v>0</v>
      </c>
      <c r="R706" t="b">
        <v>0</v>
      </c>
      <c r="S706" t="b">
        <v>0</v>
      </c>
      <c r="T706" t="b">
        <v>0</v>
      </c>
      <c r="U706" t="b">
        <v>0</v>
      </c>
      <c r="V706" t="b">
        <v>1</v>
      </c>
      <c r="W706" t="b">
        <v>1</v>
      </c>
      <c r="X706" t="b">
        <v>0</v>
      </c>
      <c r="Y706" t="b">
        <v>0</v>
      </c>
      <c r="Z706" t="b">
        <v>0</v>
      </c>
      <c r="AA706" t="b">
        <v>0</v>
      </c>
      <c r="AB706" t="b">
        <v>0</v>
      </c>
      <c r="AC706" t="s">
        <v>171</v>
      </c>
      <c r="AD706" t="s">
        <v>175</v>
      </c>
      <c r="AE706" t="s">
        <v>173</v>
      </c>
      <c r="AF706" t="s">
        <v>171</v>
      </c>
      <c r="AG706" t="s">
        <v>171</v>
      </c>
      <c r="AH706" t="s">
        <v>171</v>
      </c>
      <c r="AI706" t="s">
        <v>171</v>
      </c>
      <c r="AJ706" t="s">
        <v>171</v>
      </c>
      <c r="AK706" t="s">
        <v>173</v>
      </c>
      <c r="AL706" t="s">
        <v>171</v>
      </c>
      <c r="AM706" t="s">
        <v>173</v>
      </c>
      <c r="AN706" t="s">
        <v>173</v>
      </c>
      <c r="AO706" t="s">
        <v>173</v>
      </c>
      <c r="AP706" t="s">
        <v>173</v>
      </c>
      <c r="AQ706" t="s">
        <v>171</v>
      </c>
      <c r="AR706" t="s">
        <v>171</v>
      </c>
      <c r="AS706" t="s">
        <v>171</v>
      </c>
      <c r="AT706" t="s">
        <v>173</v>
      </c>
      <c r="AU706" t="s">
        <v>173</v>
      </c>
      <c r="AV706" t="s">
        <v>173</v>
      </c>
      <c r="AW706" t="s">
        <v>173</v>
      </c>
      <c r="AX706" t="s">
        <v>192</v>
      </c>
      <c r="AY706" t="s">
        <v>199</v>
      </c>
    </row>
    <row r="707" hidden="1" spans="1:51">
      <c r="A707">
        <v>707</v>
      </c>
      <c r="B707" t="s">
        <v>259</v>
      </c>
      <c r="C707">
        <v>2023</v>
      </c>
      <c r="D707">
        <v>1993</v>
      </c>
      <c r="E707" t="s">
        <v>247</v>
      </c>
      <c r="F707" t="s">
        <v>266</v>
      </c>
      <c r="G707"/>
      <c r="H707" t="s">
        <v>274</v>
      </c>
      <c r="I707"/>
      <c r="J707" t="s">
        <v>265</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s">
        <v>173</v>
      </c>
      <c r="AD707" t="s">
        <v>181</v>
      </c>
      <c r="AE707" t="s">
        <v>173</v>
      </c>
      <c r="AF707" t="s">
        <v>173</v>
      </c>
      <c r="AG707" t="s">
        <v>173</v>
      </c>
      <c r="AH707" t="s">
        <v>173</v>
      </c>
      <c r="AI707" t="s">
        <v>173</v>
      </c>
      <c r="AJ707" t="s">
        <v>173</v>
      </c>
      <c r="AK707" t="s">
        <v>173</v>
      </c>
      <c r="AL707" t="s">
        <v>173</v>
      </c>
      <c r="AM707" t="s">
        <v>173</v>
      </c>
      <c r="AN707" t="s">
        <v>181</v>
      </c>
      <c r="AO707" t="s">
        <v>181</v>
      </c>
      <c r="AP707" t="s">
        <v>181</v>
      </c>
      <c r="AQ707" t="s">
        <v>181</v>
      </c>
      <c r="AR707" t="s">
        <v>173</v>
      </c>
      <c r="AS707" t="s">
        <v>173</v>
      </c>
      <c r="AT707" t="s">
        <v>173</v>
      </c>
      <c r="AU707" t="s">
        <v>173</v>
      </c>
      <c r="AV707" t="s">
        <v>173</v>
      </c>
      <c r="AW707" t="s">
        <v>173</v>
      </c>
      <c r="AX707" t="s">
        <v>192</v>
      </c>
      <c r="AY707" t="s">
        <v>195</v>
      </c>
    </row>
    <row r="708" hidden="1" spans="1:51">
      <c r="A708">
        <v>708</v>
      </c>
      <c r="B708" t="s">
        <v>259</v>
      </c>
      <c r="C708">
        <v>2023</v>
      </c>
      <c r="D708">
        <v>1985</v>
      </c>
      <c r="E708">
        <v>1985</v>
      </c>
      <c r="F708" t="s">
        <v>266</v>
      </c>
      <c r="G708"/>
      <c r="H708" t="s">
        <v>274</v>
      </c>
      <c r="I708"/>
      <c r="J708" t="s">
        <v>265</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s">
        <v>173</v>
      </c>
      <c r="AD708" t="s">
        <v>173</v>
      </c>
      <c r="AE708" t="s">
        <v>173</v>
      </c>
      <c r="AF708" t="s">
        <v>173</v>
      </c>
      <c r="AG708" t="s">
        <v>173</v>
      </c>
      <c r="AH708" t="s">
        <v>171</v>
      </c>
      <c r="AI708" t="s">
        <v>173</v>
      </c>
      <c r="AJ708" t="s">
        <v>173</v>
      </c>
      <c r="AK708" t="s">
        <v>173</v>
      </c>
      <c r="AL708" t="s">
        <v>173</v>
      </c>
      <c r="AM708" t="s">
        <v>171</v>
      </c>
      <c r="AN708" t="s">
        <v>173</v>
      </c>
      <c r="AO708" t="s">
        <v>173</v>
      </c>
      <c r="AP708" t="s">
        <v>173</v>
      </c>
      <c r="AQ708" t="s">
        <v>173</v>
      </c>
      <c r="AR708" t="s">
        <v>173</v>
      </c>
      <c r="AS708" t="s">
        <v>173</v>
      </c>
      <c r="AT708" t="s">
        <v>173</v>
      </c>
      <c r="AU708" t="s">
        <v>173</v>
      </c>
      <c r="AV708" t="s">
        <v>173</v>
      </c>
      <c r="AW708" t="s">
        <v>173</v>
      </c>
      <c r="AX708" t="s">
        <v>192</v>
      </c>
      <c r="AY708" t="s">
        <v>195</v>
      </c>
    </row>
    <row r="709" hidden="1" spans="1:56">
      <c r="A709">
        <v>709</v>
      </c>
      <c r="B709" t="s">
        <v>280</v>
      </c>
      <c r="C709">
        <v>2023</v>
      </c>
      <c r="D709">
        <v>2016</v>
      </c>
      <c r="E709">
        <v>2017</v>
      </c>
      <c r="F709" t="s">
        <v>282</v>
      </c>
      <c r="G709"/>
      <c r="H709" t="s">
        <v>250</v>
      </c>
      <c r="I709" t="s">
        <v>254</v>
      </c>
      <c r="J709" t="s">
        <v>265</v>
      </c>
      <c r="K709" t="b">
        <v>0</v>
      </c>
      <c r="L709" t="b">
        <v>0</v>
      </c>
      <c r="M709" t="b">
        <v>0</v>
      </c>
      <c r="N709" t="b">
        <v>0</v>
      </c>
      <c r="O709" t="b">
        <v>0</v>
      </c>
      <c r="P709" t="b">
        <v>0</v>
      </c>
      <c r="Q709" t="b">
        <v>0</v>
      </c>
      <c r="R709" t="b">
        <v>0</v>
      </c>
      <c r="S709" t="b">
        <v>0</v>
      </c>
      <c r="T709" t="b">
        <v>0</v>
      </c>
      <c r="U709" t="b">
        <v>0</v>
      </c>
      <c r="V709" t="b">
        <v>0</v>
      </c>
      <c r="W709" t="b">
        <v>0</v>
      </c>
      <c r="X709" t="b">
        <v>1</v>
      </c>
      <c r="Y709" t="b">
        <v>0</v>
      </c>
      <c r="Z709" t="b">
        <v>0</v>
      </c>
      <c r="AA709" t="b">
        <v>0</v>
      </c>
      <c r="AB709" t="b">
        <v>0</v>
      </c>
      <c r="AC709" t="s">
        <v>171</v>
      </c>
      <c r="AD709" t="s">
        <v>173</v>
      </c>
      <c r="AE709" t="s">
        <v>173</v>
      </c>
      <c r="AF709" t="s">
        <v>173</v>
      </c>
      <c r="AG709" t="s">
        <v>173</v>
      </c>
      <c r="AH709" t="s">
        <v>171</v>
      </c>
      <c r="AI709" t="s">
        <v>171</v>
      </c>
      <c r="AJ709" t="s">
        <v>171</v>
      </c>
      <c r="AK709" t="s">
        <v>171</v>
      </c>
      <c r="AL709" t="s">
        <v>171</v>
      </c>
      <c r="AM709" t="s">
        <v>171</v>
      </c>
      <c r="AN709" t="s">
        <v>173</v>
      </c>
      <c r="AO709" t="s">
        <v>171</v>
      </c>
      <c r="AP709" t="s">
        <v>171</v>
      </c>
      <c r="AQ709" t="s">
        <v>173</v>
      </c>
      <c r="AR709" t="s">
        <v>173</v>
      </c>
      <c r="AS709" t="s">
        <v>173</v>
      </c>
      <c r="AT709" t="s">
        <v>173</v>
      </c>
      <c r="AU709" t="s">
        <v>171</v>
      </c>
      <c r="AV709" t="s">
        <v>171</v>
      </c>
      <c r="AW709" t="s">
        <v>171</v>
      </c>
      <c r="AX709" t="s">
        <v>192</v>
      </c>
      <c r="AY709" t="s">
        <v>199</v>
      </c>
      <c r="BD709" t="s">
        <v>208</v>
      </c>
    </row>
    <row r="710" hidden="1" spans="1:52">
      <c r="A710">
        <v>710</v>
      </c>
      <c r="B710" t="s">
        <v>280</v>
      </c>
      <c r="C710" t="s">
        <v>247</v>
      </c>
      <c r="D710" t="s">
        <v>247</v>
      </c>
      <c r="E710" t="s">
        <v>247</v>
      </c>
      <c r="F710" t="s">
        <v>275</v>
      </c>
      <c r="G710"/>
      <c r="H710" t="s">
        <v>273</v>
      </c>
      <c r="I710"/>
      <c r="J710" t="s">
        <v>252</v>
      </c>
      <c r="K710" t="b">
        <v>0</v>
      </c>
      <c r="L710" t="b">
        <v>0</v>
      </c>
      <c r="M710" t="b">
        <v>0</v>
      </c>
      <c r="N710" t="b">
        <v>0</v>
      </c>
      <c r="O710" t="b">
        <v>0</v>
      </c>
      <c r="P710" t="b">
        <v>0</v>
      </c>
      <c r="Q710" t="b">
        <v>0</v>
      </c>
      <c r="R710" t="b">
        <v>0</v>
      </c>
      <c r="S710" t="b">
        <v>0</v>
      </c>
      <c r="T710" t="b">
        <v>0</v>
      </c>
      <c r="U710" t="b">
        <v>0</v>
      </c>
      <c r="V710" t="b">
        <v>0</v>
      </c>
      <c r="W710" t="b">
        <v>0</v>
      </c>
      <c r="X710" t="b">
        <v>1</v>
      </c>
      <c r="Y710" t="b">
        <v>0</v>
      </c>
      <c r="Z710" t="b">
        <v>0</v>
      </c>
      <c r="AA710" t="b">
        <v>0</v>
      </c>
      <c r="AB710" t="b">
        <v>0</v>
      </c>
      <c r="AC710" t="s">
        <v>173</v>
      </c>
      <c r="AD710" t="s">
        <v>183</v>
      </c>
      <c r="AE710" t="s">
        <v>173</v>
      </c>
      <c r="AF710" t="s">
        <v>173</v>
      </c>
      <c r="AG710" t="s">
        <v>173</v>
      </c>
      <c r="AH710" t="s">
        <v>173</v>
      </c>
      <c r="AI710" t="s">
        <v>183</v>
      </c>
      <c r="AJ710" t="s">
        <v>173</v>
      </c>
      <c r="AK710" t="s">
        <v>173</v>
      </c>
      <c r="AL710" t="s">
        <v>173</v>
      </c>
      <c r="AM710" t="s">
        <v>173</v>
      </c>
      <c r="AN710" t="s">
        <v>173</v>
      </c>
      <c r="AO710" t="s">
        <v>183</v>
      </c>
      <c r="AP710" t="s">
        <v>173</v>
      </c>
      <c r="AQ710" t="s">
        <v>183</v>
      </c>
      <c r="AR710" t="s">
        <v>173</v>
      </c>
      <c r="AS710" t="s">
        <v>173</v>
      </c>
      <c r="AT710" t="s">
        <v>173</v>
      </c>
      <c r="AU710" t="s">
        <v>173</v>
      </c>
      <c r="AV710" t="s">
        <v>183</v>
      </c>
      <c r="AW710" t="s">
        <v>173</v>
      </c>
      <c r="AX710" t="s">
        <v>192</v>
      </c>
      <c r="AZ710" t="s">
        <v>208</v>
      </c>
    </row>
    <row r="711" hidden="1" spans="1:51">
      <c r="A711">
        <v>711</v>
      </c>
      <c r="B711" t="s">
        <v>269</v>
      </c>
      <c r="C711" t="s">
        <v>247</v>
      </c>
      <c r="D711" t="s">
        <v>247</v>
      </c>
      <c r="E711" t="s">
        <v>247</v>
      </c>
      <c r="F711" t="s">
        <v>256</v>
      </c>
      <c r="G711" t="s">
        <v>257</v>
      </c>
      <c r="H711" t="s">
        <v>250</v>
      </c>
      <c r="I711" t="s">
        <v>254</v>
      </c>
      <c r="J711" t="s">
        <v>252</v>
      </c>
      <c r="K711" t="b">
        <v>0</v>
      </c>
      <c r="L711" t="b">
        <v>1</v>
      </c>
      <c r="M711" t="b">
        <v>0</v>
      </c>
      <c r="N711" t="b">
        <v>0</v>
      </c>
      <c r="O711" t="b">
        <v>0</v>
      </c>
      <c r="P711" t="b">
        <v>0</v>
      </c>
      <c r="Q711" t="b">
        <v>0</v>
      </c>
      <c r="R711" t="b">
        <v>0</v>
      </c>
      <c r="S711" t="b">
        <v>0</v>
      </c>
      <c r="T711" t="b">
        <v>0</v>
      </c>
      <c r="U711" t="b">
        <v>0</v>
      </c>
      <c r="V711" t="b">
        <v>0</v>
      </c>
      <c r="W711" t="b">
        <v>0</v>
      </c>
      <c r="X711" t="b">
        <v>0</v>
      </c>
      <c r="Y711" t="b">
        <v>0</v>
      </c>
      <c r="Z711" t="b">
        <v>1</v>
      </c>
      <c r="AA711" t="b">
        <v>1</v>
      </c>
      <c r="AB711" t="b">
        <v>0</v>
      </c>
      <c r="AC711" t="s">
        <v>173</v>
      </c>
      <c r="AD711" t="s">
        <v>177</v>
      </c>
      <c r="AE711" t="s">
        <v>175</v>
      </c>
      <c r="AF711" t="s">
        <v>173</v>
      </c>
      <c r="AG711" t="s">
        <v>171</v>
      </c>
      <c r="AH711" t="s">
        <v>177</v>
      </c>
      <c r="AI711" t="s">
        <v>175</v>
      </c>
      <c r="AJ711" t="s">
        <v>175</v>
      </c>
      <c r="AK711" t="s">
        <v>171</v>
      </c>
      <c r="AL711" t="s">
        <v>171</v>
      </c>
      <c r="AM711" t="s">
        <v>173</v>
      </c>
      <c r="AN711" t="s">
        <v>175</v>
      </c>
      <c r="AO711" t="s">
        <v>173</v>
      </c>
      <c r="AP711" t="s">
        <v>175</v>
      </c>
      <c r="AQ711" t="s">
        <v>173</v>
      </c>
      <c r="AR711" t="s">
        <v>173</v>
      </c>
      <c r="AS711" t="s">
        <v>173</v>
      </c>
      <c r="AT711" t="s">
        <v>171</v>
      </c>
      <c r="AU711" t="s">
        <v>173</v>
      </c>
      <c r="AV711" t="s">
        <v>175</v>
      </c>
      <c r="AW711" t="s">
        <v>173</v>
      </c>
      <c r="AX711" t="s">
        <v>192</v>
      </c>
      <c r="AY711" t="s">
        <v>197</v>
      </c>
    </row>
    <row r="712" hidden="1" spans="1:51">
      <c r="A712">
        <v>712</v>
      </c>
      <c r="B712" t="s">
        <v>282</v>
      </c>
      <c r="C712">
        <v>2023</v>
      </c>
      <c r="D712">
        <v>1999</v>
      </c>
      <c r="E712">
        <v>1999</v>
      </c>
      <c r="F712" t="s">
        <v>266</v>
      </c>
      <c r="G712"/>
      <c r="H712" t="s">
        <v>261</v>
      </c>
      <c r="I712"/>
      <c r="J712" t="s">
        <v>252</v>
      </c>
      <c r="K712" t="b">
        <v>0</v>
      </c>
      <c r="L712" t="b">
        <v>0</v>
      </c>
      <c r="M712" t="b">
        <v>0</v>
      </c>
      <c r="N712" t="b">
        <v>0</v>
      </c>
      <c r="O712" t="b">
        <v>0</v>
      </c>
      <c r="P712" t="b">
        <v>0</v>
      </c>
      <c r="Q712" t="b">
        <v>0</v>
      </c>
      <c r="R712" t="b">
        <v>0</v>
      </c>
      <c r="S712" t="b">
        <v>0</v>
      </c>
      <c r="T712" t="b">
        <v>0</v>
      </c>
      <c r="U712" t="b">
        <v>1</v>
      </c>
      <c r="V712" t="b">
        <v>0</v>
      </c>
      <c r="W712" t="b">
        <v>1</v>
      </c>
      <c r="X712" t="b">
        <v>0</v>
      </c>
      <c r="Y712" t="b">
        <v>0</v>
      </c>
      <c r="Z712" t="b">
        <v>0</v>
      </c>
      <c r="AA712" t="b">
        <v>0</v>
      </c>
      <c r="AB712" t="b">
        <v>0</v>
      </c>
      <c r="AC712" t="s">
        <v>171</v>
      </c>
      <c r="AD712" t="s">
        <v>177</v>
      </c>
      <c r="AE712" t="s">
        <v>173</v>
      </c>
      <c r="AF712" t="s">
        <v>177</v>
      </c>
      <c r="AG712" t="s">
        <v>177</v>
      </c>
      <c r="AH712" t="s">
        <v>173</v>
      </c>
      <c r="AI712" t="s">
        <v>173</v>
      </c>
      <c r="AJ712" t="s">
        <v>173</v>
      </c>
      <c r="AK712" t="s">
        <v>171</v>
      </c>
      <c r="AL712" t="s">
        <v>175</v>
      </c>
      <c r="AM712" t="s">
        <v>173</v>
      </c>
      <c r="AN712" t="s">
        <v>177</v>
      </c>
      <c r="AO712" t="s">
        <v>177</v>
      </c>
      <c r="AP712" t="s">
        <v>175</v>
      </c>
      <c r="AQ712" t="s">
        <v>177</v>
      </c>
      <c r="AR712" t="s">
        <v>177</v>
      </c>
      <c r="AS712" t="s">
        <v>177</v>
      </c>
      <c r="AT712" t="s">
        <v>175</v>
      </c>
      <c r="AU712" t="s">
        <v>177</v>
      </c>
      <c r="AV712" t="s">
        <v>173</v>
      </c>
      <c r="AW712" t="s">
        <v>175</v>
      </c>
      <c r="AX712" t="s">
        <v>192</v>
      </c>
      <c r="AY712" t="s">
        <v>196</v>
      </c>
    </row>
    <row r="713" hidden="1" spans="1:51">
      <c r="A713">
        <v>713</v>
      </c>
      <c r="B713" t="s">
        <v>259</v>
      </c>
      <c r="C713">
        <v>2023</v>
      </c>
      <c r="D713">
        <v>1987</v>
      </c>
      <c r="E713">
        <v>1987</v>
      </c>
      <c r="F713" t="s">
        <v>256</v>
      </c>
      <c r="G713"/>
      <c r="H713" t="s">
        <v>258</v>
      </c>
      <c r="I713"/>
      <c r="J713" t="s">
        <v>252</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s">
        <v>171</v>
      </c>
      <c r="AD713" t="s">
        <v>175</v>
      </c>
      <c r="AE713" t="s">
        <v>173</v>
      </c>
      <c r="AF713" t="s">
        <v>171</v>
      </c>
      <c r="AG713" t="s">
        <v>171</v>
      </c>
      <c r="AH713" t="s">
        <v>171</v>
      </c>
      <c r="AI713" t="s">
        <v>171</v>
      </c>
      <c r="AJ713" t="s">
        <v>171</v>
      </c>
      <c r="AK713" t="s">
        <v>171</v>
      </c>
      <c r="AL713" t="s">
        <v>171</v>
      </c>
      <c r="AM713" t="s">
        <v>171</v>
      </c>
      <c r="AN713" t="s">
        <v>173</v>
      </c>
      <c r="AO713" t="s">
        <v>173</v>
      </c>
      <c r="AP713" t="s">
        <v>171</v>
      </c>
      <c r="AQ713" t="s">
        <v>175</v>
      </c>
      <c r="AR713" t="s">
        <v>171</v>
      </c>
      <c r="AS713" t="s">
        <v>171</v>
      </c>
      <c r="AT713" t="s">
        <v>171</v>
      </c>
      <c r="AU713" t="s">
        <v>171</v>
      </c>
      <c r="AV713" t="s">
        <v>175</v>
      </c>
      <c r="AW713" t="s">
        <v>175</v>
      </c>
      <c r="AX713" t="s">
        <v>193</v>
      </c>
      <c r="AY713" t="s">
        <v>195</v>
      </c>
    </row>
    <row r="714" hidden="1" spans="1:51">
      <c r="A714">
        <v>714</v>
      </c>
      <c r="B714" t="s">
        <v>255</v>
      </c>
      <c r="C714">
        <v>2023</v>
      </c>
      <c r="D714" t="s">
        <v>247</v>
      </c>
      <c r="E714" t="s">
        <v>247</v>
      </c>
      <c r="F714" t="s">
        <v>266</v>
      </c>
      <c r="G714"/>
      <c r="H714" t="s">
        <v>274</v>
      </c>
      <c r="I714"/>
      <c r="J714" t="s">
        <v>265</v>
      </c>
      <c r="K714" t="b">
        <v>0</v>
      </c>
      <c r="L714" t="b">
        <v>0</v>
      </c>
      <c r="M714" t="b">
        <v>0</v>
      </c>
      <c r="N714" t="b">
        <v>0</v>
      </c>
      <c r="O714" t="b">
        <v>0</v>
      </c>
      <c r="P714" t="b">
        <v>0</v>
      </c>
      <c r="Q714" t="b">
        <v>0</v>
      </c>
      <c r="R714" t="b">
        <v>0</v>
      </c>
      <c r="S714" t="b">
        <v>0</v>
      </c>
      <c r="T714" t="b">
        <v>0</v>
      </c>
      <c r="U714" t="b">
        <v>1</v>
      </c>
      <c r="V714" t="b">
        <v>0</v>
      </c>
      <c r="W714" t="b">
        <v>0</v>
      </c>
      <c r="X714" t="b">
        <v>0</v>
      </c>
      <c r="Y714" t="b">
        <v>0</v>
      </c>
      <c r="Z714" t="b">
        <v>0</v>
      </c>
      <c r="AA714" t="b">
        <v>0</v>
      </c>
      <c r="AB714" t="b">
        <v>0</v>
      </c>
      <c r="AC714" t="s">
        <v>173</v>
      </c>
      <c r="AD714" t="s">
        <v>175</v>
      </c>
      <c r="AE714" t="s">
        <v>173</v>
      </c>
      <c r="AF714" t="s">
        <v>175</v>
      </c>
      <c r="AG714" t="s">
        <v>173</v>
      </c>
      <c r="AH714" t="s">
        <v>173</v>
      </c>
      <c r="AI714" t="s">
        <v>173</v>
      </c>
      <c r="AJ714" t="s">
        <v>173</v>
      </c>
      <c r="AK714" t="s">
        <v>173</v>
      </c>
      <c r="AL714" t="s">
        <v>173</v>
      </c>
      <c r="AM714" t="s">
        <v>173</v>
      </c>
      <c r="AN714" t="s">
        <v>173</v>
      </c>
      <c r="AO714" t="s">
        <v>175</v>
      </c>
      <c r="AP714" t="s">
        <v>173</v>
      </c>
      <c r="AQ714" t="s">
        <v>173</v>
      </c>
      <c r="AR714" t="s">
        <v>173</v>
      </c>
      <c r="AS714" t="s">
        <v>173</v>
      </c>
      <c r="AT714" t="s">
        <v>173</v>
      </c>
      <c r="AU714" t="s">
        <v>173</v>
      </c>
      <c r="AV714" t="s">
        <v>173</v>
      </c>
      <c r="AW714" t="s">
        <v>173</v>
      </c>
      <c r="AX714" t="s">
        <v>192</v>
      </c>
      <c r="AY714" t="s">
        <v>195</v>
      </c>
    </row>
    <row r="715" hidden="1" spans="1:51">
      <c r="A715">
        <v>715</v>
      </c>
      <c r="B715" t="s">
        <v>259</v>
      </c>
      <c r="C715">
        <v>2023</v>
      </c>
      <c r="D715">
        <v>1985</v>
      </c>
      <c r="E715">
        <v>2010</v>
      </c>
      <c r="F715" t="s">
        <v>256</v>
      </c>
      <c r="G715" t="s">
        <v>279</v>
      </c>
      <c r="H715" t="s">
        <v>274</v>
      </c>
      <c r="I715"/>
      <c r="J715" t="s">
        <v>265</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s">
        <v>173</v>
      </c>
      <c r="AD715" t="s">
        <v>173</v>
      </c>
      <c r="AE715" t="s">
        <v>173</v>
      </c>
      <c r="AF715" t="s">
        <v>173</v>
      </c>
      <c r="AG715" t="s">
        <v>173</v>
      </c>
      <c r="AH715" t="s">
        <v>175</v>
      </c>
      <c r="AI715" t="s">
        <v>175</v>
      </c>
      <c r="AJ715" t="s">
        <v>175</v>
      </c>
      <c r="AK715" t="s">
        <v>173</v>
      </c>
      <c r="AL715" t="s">
        <v>173</v>
      </c>
      <c r="AM715" t="s">
        <v>173</v>
      </c>
      <c r="AN715" t="s">
        <v>173</v>
      </c>
      <c r="AO715" t="s">
        <v>173</v>
      </c>
      <c r="AP715" t="s">
        <v>173</v>
      </c>
      <c r="AQ715" t="s">
        <v>173</v>
      </c>
      <c r="AR715" t="s">
        <v>175</v>
      </c>
      <c r="AS715" t="s">
        <v>173</v>
      </c>
      <c r="AT715" t="s">
        <v>173</v>
      </c>
      <c r="AU715" t="s">
        <v>173</v>
      </c>
      <c r="AV715" t="s">
        <v>173</v>
      </c>
      <c r="AW715" t="s">
        <v>173</v>
      </c>
      <c r="AX715" t="s">
        <v>192</v>
      </c>
      <c r="AY715" t="s">
        <v>196</v>
      </c>
    </row>
    <row r="716" hidden="1" spans="1:51">
      <c r="A716">
        <v>716</v>
      </c>
      <c r="B716" t="s">
        <v>259</v>
      </c>
      <c r="C716">
        <v>2023</v>
      </c>
      <c r="D716">
        <v>1988</v>
      </c>
      <c r="E716">
        <v>1988</v>
      </c>
      <c r="F716" t="s">
        <v>256</v>
      </c>
      <c r="G716" t="s">
        <v>257</v>
      </c>
      <c r="H716" t="s">
        <v>261</v>
      </c>
      <c r="I716"/>
      <c r="J716" t="s">
        <v>265</v>
      </c>
      <c r="K716" t="b">
        <v>0</v>
      </c>
      <c r="L716" t="b">
        <v>0</v>
      </c>
      <c r="M716" t="b">
        <v>0</v>
      </c>
      <c r="N716" t="b">
        <v>0</v>
      </c>
      <c r="O716" t="b">
        <v>0</v>
      </c>
      <c r="P716" t="b">
        <v>0</v>
      </c>
      <c r="Q716" t="b">
        <v>0</v>
      </c>
      <c r="R716" t="b">
        <v>0</v>
      </c>
      <c r="S716" t="b">
        <v>0</v>
      </c>
      <c r="T716" t="b">
        <v>0</v>
      </c>
      <c r="U716" t="b">
        <v>0</v>
      </c>
      <c r="V716" t="b">
        <v>0</v>
      </c>
      <c r="W716" t="b">
        <v>0</v>
      </c>
      <c r="X716" t="b">
        <v>0</v>
      </c>
      <c r="Y716" t="b">
        <v>0</v>
      </c>
      <c r="Z716" t="b">
        <v>1</v>
      </c>
      <c r="AA716" t="b">
        <v>0</v>
      </c>
      <c r="AB716" t="b">
        <v>0</v>
      </c>
      <c r="AC716" t="s">
        <v>171</v>
      </c>
      <c r="AD716" t="s">
        <v>171</v>
      </c>
      <c r="AE716" t="s">
        <v>173</v>
      </c>
      <c r="AF716" t="s">
        <v>171</v>
      </c>
      <c r="AG716" t="s">
        <v>173</v>
      </c>
      <c r="AH716" t="s">
        <v>173</v>
      </c>
      <c r="AI716" t="s">
        <v>171</v>
      </c>
      <c r="AJ716" t="s">
        <v>171</v>
      </c>
      <c r="AK716" t="s">
        <v>171</v>
      </c>
      <c r="AL716" t="s">
        <v>171</v>
      </c>
      <c r="AM716" t="s">
        <v>171</v>
      </c>
      <c r="AN716" t="s">
        <v>173</v>
      </c>
      <c r="AO716" t="s">
        <v>173</v>
      </c>
      <c r="AP716" t="s">
        <v>171</v>
      </c>
      <c r="AQ716" t="s">
        <v>173</v>
      </c>
      <c r="AR716" t="s">
        <v>171</v>
      </c>
      <c r="AS716" t="s">
        <v>171</v>
      </c>
      <c r="AT716" t="s">
        <v>171</v>
      </c>
      <c r="AU716" t="s">
        <v>171</v>
      </c>
      <c r="AV716" t="s">
        <v>173</v>
      </c>
      <c r="AW716" t="s">
        <v>171</v>
      </c>
      <c r="AX716" t="s">
        <v>193</v>
      </c>
      <c r="AY716" t="s">
        <v>196</v>
      </c>
    </row>
    <row r="717" hidden="1" spans="1:51">
      <c r="A717">
        <v>717</v>
      </c>
      <c r="B717" t="s">
        <v>288</v>
      </c>
      <c r="C717">
        <v>2023</v>
      </c>
      <c r="D717">
        <v>2019</v>
      </c>
      <c r="E717">
        <v>2022</v>
      </c>
      <c r="F717" t="s">
        <v>266</v>
      </c>
      <c r="G717"/>
      <c r="H717" t="s">
        <v>268</v>
      </c>
      <c r="I717"/>
      <c r="J717" t="s">
        <v>281</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s">
        <v>173</v>
      </c>
      <c r="AD717" t="s">
        <v>175</v>
      </c>
      <c r="AE717" t="s">
        <v>173</v>
      </c>
      <c r="AF717" t="s">
        <v>173</v>
      </c>
      <c r="AG717" t="s">
        <v>173</v>
      </c>
      <c r="AH717" t="s">
        <v>171</v>
      </c>
      <c r="AI717" t="s">
        <v>171</v>
      </c>
      <c r="AJ717" t="s">
        <v>171</v>
      </c>
      <c r="AK717" t="s">
        <v>171</v>
      </c>
      <c r="AL717" t="s">
        <v>171</v>
      </c>
      <c r="AM717" t="s">
        <v>173</v>
      </c>
      <c r="AN717" t="s">
        <v>175</v>
      </c>
      <c r="AO717" t="s">
        <v>173</v>
      </c>
      <c r="AP717" t="s">
        <v>173</v>
      </c>
      <c r="AQ717" t="s">
        <v>173</v>
      </c>
      <c r="AR717" t="s">
        <v>173</v>
      </c>
      <c r="AS717" t="s">
        <v>173</v>
      </c>
      <c r="AT717" t="s">
        <v>173</v>
      </c>
      <c r="AU717" t="s">
        <v>173</v>
      </c>
      <c r="AV717" t="s">
        <v>173</v>
      </c>
      <c r="AW717" t="s">
        <v>173</v>
      </c>
      <c r="AX717" t="s">
        <v>192</v>
      </c>
      <c r="AY717" t="s">
        <v>201</v>
      </c>
    </row>
    <row r="718" hidden="1" spans="1:51">
      <c r="A718">
        <v>718</v>
      </c>
      <c r="B718" t="s">
        <v>255</v>
      </c>
      <c r="C718">
        <v>2023</v>
      </c>
      <c r="D718">
        <v>2009</v>
      </c>
      <c r="E718">
        <v>2010</v>
      </c>
      <c r="F718" t="s">
        <v>266</v>
      </c>
      <c r="G718"/>
      <c r="H718" t="s">
        <v>274</v>
      </c>
      <c r="I718"/>
      <c r="J718" t="s">
        <v>265</v>
      </c>
      <c r="K718" t="b">
        <v>0</v>
      </c>
      <c r="L718" t="b">
        <v>0</v>
      </c>
      <c r="M718" t="b">
        <v>0</v>
      </c>
      <c r="N718" t="b">
        <v>0</v>
      </c>
      <c r="O718" t="b">
        <v>0</v>
      </c>
      <c r="P718" t="b">
        <v>0</v>
      </c>
      <c r="Q718" t="b">
        <v>0</v>
      </c>
      <c r="R718" t="b">
        <v>0</v>
      </c>
      <c r="S718" t="b">
        <v>0</v>
      </c>
      <c r="T718" t="b">
        <v>0</v>
      </c>
      <c r="U718" t="b">
        <v>0</v>
      </c>
      <c r="V718" t="b">
        <v>0</v>
      </c>
      <c r="W718" t="b">
        <v>0</v>
      </c>
      <c r="X718" t="b">
        <v>0</v>
      </c>
      <c r="Y718" t="b">
        <v>0</v>
      </c>
      <c r="Z718" t="b">
        <v>1</v>
      </c>
      <c r="AA718" t="b">
        <v>0</v>
      </c>
      <c r="AB718" t="b">
        <v>0</v>
      </c>
      <c r="AC718" t="s">
        <v>173</v>
      </c>
      <c r="AD718" t="s">
        <v>175</v>
      </c>
      <c r="AE718" t="s">
        <v>175</v>
      </c>
      <c r="AF718" t="s">
        <v>173</v>
      </c>
      <c r="AG718" t="s">
        <v>173</v>
      </c>
      <c r="AH718" t="s">
        <v>173</v>
      </c>
      <c r="AI718" t="s">
        <v>175</v>
      </c>
      <c r="AJ718" t="s">
        <v>175</v>
      </c>
      <c r="AK718" t="s">
        <v>173</v>
      </c>
      <c r="AL718" t="s">
        <v>175</v>
      </c>
      <c r="AM718" t="s">
        <v>173</v>
      </c>
      <c r="AN718" t="s">
        <v>173</v>
      </c>
      <c r="AO718" t="s">
        <v>175</v>
      </c>
      <c r="AP718" t="s">
        <v>175</v>
      </c>
      <c r="AQ718" t="s">
        <v>173</v>
      </c>
      <c r="AR718" t="s">
        <v>173</v>
      </c>
      <c r="AS718" t="s">
        <v>173</v>
      </c>
      <c r="AT718" t="s">
        <v>173</v>
      </c>
      <c r="AU718" t="s">
        <v>173</v>
      </c>
      <c r="AV718" t="s">
        <v>173</v>
      </c>
      <c r="AW718" t="s">
        <v>173</v>
      </c>
      <c r="AX718" t="s">
        <v>192</v>
      </c>
      <c r="AY718" t="s">
        <v>197</v>
      </c>
    </row>
    <row r="719" hidden="1" spans="1:51">
      <c r="A719">
        <v>719</v>
      </c>
      <c r="B719" t="s">
        <v>259</v>
      </c>
      <c r="C719">
        <v>2023</v>
      </c>
      <c r="D719">
        <v>2001</v>
      </c>
      <c r="E719">
        <v>2012</v>
      </c>
      <c r="F719" t="s">
        <v>248</v>
      </c>
      <c r="G719" t="s">
        <v>242</v>
      </c>
      <c r="H719" t="s">
        <v>267</v>
      </c>
      <c r="I719"/>
      <c r="J719" t="s">
        <v>252</v>
      </c>
      <c r="K719" t="b">
        <v>0</v>
      </c>
      <c r="L719" t="b">
        <v>0</v>
      </c>
      <c r="M719" t="b">
        <v>0</v>
      </c>
      <c r="N719" t="b">
        <v>0</v>
      </c>
      <c r="O719" t="b">
        <v>0</v>
      </c>
      <c r="P719" t="b">
        <v>0</v>
      </c>
      <c r="Q719" t="b">
        <v>0</v>
      </c>
      <c r="R719" t="b">
        <v>0</v>
      </c>
      <c r="S719" t="b">
        <v>0</v>
      </c>
      <c r="T719" t="b">
        <v>0</v>
      </c>
      <c r="U719" t="b">
        <v>0</v>
      </c>
      <c r="V719" t="b">
        <v>0</v>
      </c>
      <c r="W719" t="b">
        <v>1</v>
      </c>
      <c r="X719" t="b">
        <v>0</v>
      </c>
      <c r="Y719" t="b">
        <v>0</v>
      </c>
      <c r="Z719" t="b">
        <v>1</v>
      </c>
      <c r="AA719" t="b">
        <v>0</v>
      </c>
      <c r="AB719" t="b">
        <v>0</v>
      </c>
      <c r="AC719" t="s">
        <v>173</v>
      </c>
      <c r="AD719" t="s">
        <v>179</v>
      </c>
      <c r="AE719" t="s">
        <v>177</v>
      </c>
      <c r="AF719" t="s">
        <v>179</v>
      </c>
      <c r="AG719" t="s">
        <v>173</v>
      </c>
      <c r="AH719" t="s">
        <v>177</v>
      </c>
      <c r="AI719" t="s">
        <v>177</v>
      </c>
      <c r="AJ719" t="s">
        <v>177</v>
      </c>
      <c r="AK719" t="s">
        <v>173</v>
      </c>
      <c r="AL719" t="s">
        <v>177</v>
      </c>
      <c r="AM719" t="s">
        <v>177</v>
      </c>
      <c r="AN719" t="s">
        <v>179</v>
      </c>
      <c r="AO719" t="s">
        <v>179</v>
      </c>
      <c r="AP719" t="s">
        <v>179</v>
      </c>
      <c r="AQ719" t="s">
        <v>179</v>
      </c>
      <c r="AR719" t="s">
        <v>177</v>
      </c>
      <c r="AS719" t="s">
        <v>179</v>
      </c>
      <c r="AT719" t="s">
        <v>175</v>
      </c>
      <c r="AU719" t="s">
        <v>177</v>
      </c>
      <c r="AV719" t="s">
        <v>173</v>
      </c>
      <c r="AW719" t="s">
        <v>173</v>
      </c>
      <c r="AX719" t="s">
        <v>192</v>
      </c>
      <c r="AY719" t="s">
        <v>195</v>
      </c>
    </row>
    <row r="720" hidden="1" spans="1:51">
      <c r="A720">
        <v>720</v>
      </c>
      <c r="B720" t="s">
        <v>288</v>
      </c>
      <c r="C720" t="s">
        <v>247</v>
      </c>
      <c r="D720">
        <v>2022</v>
      </c>
      <c r="E720">
        <v>2022</v>
      </c>
      <c r="F720" t="s">
        <v>289</v>
      </c>
      <c r="G720"/>
      <c r="H720" t="s">
        <v>250</v>
      </c>
      <c r="I720" t="s">
        <v>293</v>
      </c>
      <c r="J720" t="s">
        <v>290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s">
        <v>173</v>
      </c>
      <c r="AD720" t="s">
        <v>175</v>
      </c>
      <c r="AE720" t="s">
        <v>177</v>
      </c>
      <c r="AF720" t="s">
        <v>173</v>
      </c>
      <c r="AG720" t="s">
        <v>173</v>
      </c>
      <c r="AH720" t="s">
        <v>173</v>
      </c>
      <c r="AI720" t="s">
        <v>173</v>
      </c>
      <c r="AJ720" t="s">
        <v>173</v>
      </c>
      <c r="AK720" t="s">
        <v>173</v>
      </c>
      <c r="AL720" t="s">
        <v>173</v>
      </c>
      <c r="AM720" t="s">
        <v>173</v>
      </c>
      <c r="AN720" t="s">
        <v>173</v>
      </c>
      <c r="AO720" t="s">
        <v>175</v>
      </c>
      <c r="AP720" t="s">
        <v>175</v>
      </c>
      <c r="AQ720" t="s">
        <v>175</v>
      </c>
      <c r="AR720" t="s">
        <v>173</v>
      </c>
      <c r="AS720" t="s">
        <v>173</v>
      </c>
      <c r="AT720" t="s">
        <v>173</v>
      </c>
      <c r="AU720" t="s">
        <v>173</v>
      </c>
      <c r="AV720" t="s">
        <v>173</v>
      </c>
      <c r="AW720" t="s">
        <v>175</v>
      </c>
      <c r="AX720" t="s">
        <v>193</v>
      </c>
      <c r="AY720" t="s">
        <v>199</v>
      </c>
    </row>
    <row r="721" spans="1:65">
      <c r="A721">
        <v>721</v>
      </c>
      <c r="B721" t="s">
        <v>284</v>
      </c>
      <c r="C721" s="10">
        <v>2023</v>
      </c>
      <c r="D721" s="10">
        <v>2022</v>
      </c>
      <c r="E721" s="10">
        <v>2022</v>
      </c>
      <c r="F721" s="10" t="s">
        <v>241</v>
      </c>
      <c r="G721" s="10" t="s">
        <v>242</v>
      </c>
      <c r="H721" s="10" t="s">
        <v>243</v>
      </c>
      <c r="I721" s="10" t="s">
        <v>278</v>
      </c>
      <c r="J721" s="10" t="s">
        <v>313</v>
      </c>
      <c r="K721" t="b">
        <v>0</v>
      </c>
      <c r="L721" t="b">
        <v>0</v>
      </c>
      <c r="M721" t="b">
        <v>1</v>
      </c>
      <c r="N721" t="b">
        <v>0</v>
      </c>
      <c r="O721" t="b">
        <v>0</v>
      </c>
      <c r="P721" t="b">
        <v>0</v>
      </c>
      <c r="Q721" t="b">
        <v>1</v>
      </c>
      <c r="R721" t="b">
        <v>1</v>
      </c>
      <c r="S721" t="b">
        <v>0</v>
      </c>
      <c r="T721" t="b">
        <v>0</v>
      </c>
      <c r="U721" t="b">
        <v>0</v>
      </c>
      <c r="V721" t="b">
        <v>0</v>
      </c>
      <c r="W721" t="b">
        <v>0</v>
      </c>
      <c r="X721" t="b">
        <v>0</v>
      </c>
      <c r="Y721" t="b">
        <v>0</v>
      </c>
      <c r="Z721" t="b">
        <v>0</v>
      </c>
      <c r="AA721" t="b">
        <v>0</v>
      </c>
      <c r="AB721" t="b">
        <v>0</v>
      </c>
      <c r="AC721" s="10" t="s">
        <v>175</v>
      </c>
      <c r="AD721" t="s">
        <v>177</v>
      </c>
      <c r="AE721" t="s">
        <v>175</v>
      </c>
      <c r="AF721" t="s">
        <v>177</v>
      </c>
      <c r="AG721" t="s">
        <v>175</v>
      </c>
      <c r="AH721" t="s">
        <v>177</v>
      </c>
      <c r="AI721" t="s">
        <v>175</v>
      </c>
      <c r="AJ721" t="s">
        <v>177</v>
      </c>
      <c r="AK721" t="s">
        <v>175</v>
      </c>
      <c r="AL721" t="s">
        <v>177</v>
      </c>
      <c r="AM721" t="s">
        <v>175</v>
      </c>
      <c r="AN721" t="s">
        <v>177</v>
      </c>
      <c r="AO721" t="s">
        <v>173</v>
      </c>
      <c r="AP721" t="s">
        <v>173</v>
      </c>
      <c r="AQ721" t="s">
        <v>173</v>
      </c>
      <c r="AR721" t="s">
        <v>173</v>
      </c>
      <c r="AS721" t="s">
        <v>173</v>
      </c>
      <c r="AT721" t="s">
        <v>173</v>
      </c>
      <c r="AU721" t="s">
        <v>173</v>
      </c>
      <c r="AV721" t="s">
        <v>177</v>
      </c>
      <c r="AW721" t="s">
        <v>177</v>
      </c>
      <c r="AX721" t="s">
        <v>193</v>
      </c>
      <c r="AY721" t="s">
        <v>200</v>
      </c>
      <c r="BE721" t="str">
        <f>IF(AY721="","Unknown",AY721)</f>
        <v>26-30</v>
      </c>
      <c r="BF721" s="11" t="str">
        <f>IF(AZ721="","unknown",AZ721)</f>
        <v>unknown</v>
      </c>
      <c r="BG721" s="11" t="str">
        <f>IF(BA721="","UNKNOWN",BA721)</f>
        <v>UNKNOWN</v>
      </c>
      <c r="BH721" s="11" t="str">
        <f>IF(BB721="","unknown",BB721)</f>
        <v>unknown</v>
      </c>
      <c r="BI721" s="11" t="str">
        <f>IF(BC721="","Unknon",BC721)</f>
        <v>Unknon</v>
      </c>
      <c r="BJ721" s="11" t="str">
        <f>IF(BD721="","Unknown",BD721)</f>
        <v>Unknown</v>
      </c>
      <c r="BK721" s="11">
        <f>VALUE(C721)-VALUE(D721)</f>
        <v>1</v>
      </c>
      <c r="BM721" s="11"/>
    </row>
    <row r="722" spans="1:65">
      <c r="A722">
        <v>722</v>
      </c>
      <c r="B722" t="s">
        <v>284</v>
      </c>
      <c r="C722" s="10">
        <v>2023</v>
      </c>
      <c r="D722" s="10">
        <v>2022</v>
      </c>
      <c r="E722" s="10">
        <v>2022</v>
      </c>
      <c r="F722" s="10" t="s">
        <v>241</v>
      </c>
      <c r="G722" s="10" t="s">
        <v>242</v>
      </c>
      <c r="H722" s="10" t="s">
        <v>243</v>
      </c>
      <c r="I722" s="10" t="s">
        <v>278</v>
      </c>
      <c r="J722" s="10" t="s">
        <v>285</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s="10" t="s">
        <v>171</v>
      </c>
      <c r="AD722" t="s">
        <v>171</v>
      </c>
      <c r="AE722" t="s">
        <v>171</v>
      </c>
      <c r="AF722" t="s">
        <v>171</v>
      </c>
      <c r="AG722" t="s">
        <v>171</v>
      </c>
      <c r="AH722" t="s">
        <v>171</v>
      </c>
      <c r="AI722" t="s">
        <v>171</v>
      </c>
      <c r="AJ722" t="s">
        <v>171</v>
      </c>
      <c r="AK722" t="s">
        <v>171</v>
      </c>
      <c r="AL722" t="s">
        <v>171</v>
      </c>
      <c r="AM722" t="s">
        <v>171</v>
      </c>
      <c r="AN722" t="s">
        <v>171</v>
      </c>
      <c r="AO722" t="s">
        <v>171</v>
      </c>
      <c r="AP722" t="s">
        <v>171</v>
      </c>
      <c r="AQ722" t="s">
        <v>171</v>
      </c>
      <c r="AR722" t="s">
        <v>171</v>
      </c>
      <c r="AS722" t="s">
        <v>171</v>
      </c>
      <c r="AT722" t="s">
        <v>171</v>
      </c>
      <c r="AU722" t="s">
        <v>171</v>
      </c>
      <c r="AV722" t="s">
        <v>173</v>
      </c>
      <c r="AW722" t="s">
        <v>171</v>
      </c>
      <c r="AX722" t="s">
        <v>193</v>
      </c>
      <c r="AY722" t="s">
        <v>203</v>
      </c>
      <c r="BD722" t="s">
        <v>208</v>
      </c>
      <c r="BE722" t="str">
        <f>IF(AY722="","Unknown",AY722)</f>
        <v>31-35</v>
      </c>
      <c r="BF722" s="11" t="str">
        <f>IF(AZ722="","unknown",AZ722)</f>
        <v>unknown</v>
      </c>
      <c r="BG722" s="11" t="str">
        <f>IF(BA722="","UNKNOWN",BA722)</f>
        <v>UNKNOWN</v>
      </c>
      <c r="BH722" s="11" t="str">
        <f>IF(BB722="","unknown",BB722)</f>
        <v>unknown</v>
      </c>
      <c r="BI722" s="11" t="str">
        <f>IF(BC722="","Unknon",BC722)</f>
        <v>Unknon</v>
      </c>
      <c r="BJ722" s="11" t="str">
        <f>IF(BD722="","Unknown",BD722)</f>
        <v>Yes</v>
      </c>
      <c r="BK722" s="11">
        <f>VALUE(C722)-VALUE(D722)</f>
        <v>1</v>
      </c>
      <c r="BM722" s="11"/>
    </row>
    <row r="723" spans="1:65">
      <c r="A723">
        <v>723</v>
      </c>
      <c r="B723" t="s">
        <v>284</v>
      </c>
      <c r="C723" s="10">
        <v>2023</v>
      </c>
      <c r="D723" s="10">
        <v>2022</v>
      </c>
      <c r="E723" s="10">
        <v>2022</v>
      </c>
      <c r="F723" s="10" t="s">
        <v>241</v>
      </c>
      <c r="G723" s="10" t="s">
        <v>242</v>
      </c>
      <c r="H723" s="10" t="s">
        <v>243</v>
      </c>
      <c r="I723" s="10" t="s">
        <v>278</v>
      </c>
      <c r="J723" s="10" t="s">
        <v>313</v>
      </c>
      <c r="K723" t="b">
        <v>0</v>
      </c>
      <c r="L723" t="b">
        <v>1</v>
      </c>
      <c r="M723" t="b">
        <v>0</v>
      </c>
      <c r="N723" t="b">
        <v>0</v>
      </c>
      <c r="O723" t="b">
        <v>0</v>
      </c>
      <c r="P723" t="b">
        <v>0</v>
      </c>
      <c r="Q723" t="b">
        <v>0</v>
      </c>
      <c r="R723" t="b">
        <v>1</v>
      </c>
      <c r="S723" t="b">
        <v>0</v>
      </c>
      <c r="T723" t="b">
        <v>0</v>
      </c>
      <c r="U723" t="b">
        <v>0</v>
      </c>
      <c r="V723" t="b">
        <v>0</v>
      </c>
      <c r="W723" t="b">
        <v>1</v>
      </c>
      <c r="X723" t="b">
        <v>0</v>
      </c>
      <c r="Y723" t="b">
        <v>0</v>
      </c>
      <c r="Z723" t="b">
        <v>0</v>
      </c>
      <c r="AA723" t="b">
        <v>0</v>
      </c>
      <c r="AB723" t="b">
        <v>0</v>
      </c>
      <c r="AC723" s="10" t="s">
        <v>177</v>
      </c>
      <c r="AD723" t="s">
        <v>179</v>
      </c>
      <c r="AE723" t="s">
        <v>173</v>
      </c>
      <c r="AF723" t="s">
        <v>173</v>
      </c>
      <c r="AG723" t="s">
        <v>173</v>
      </c>
      <c r="AH723" t="s">
        <v>171</v>
      </c>
      <c r="AI723" t="s">
        <v>173</v>
      </c>
      <c r="AJ723" t="s">
        <v>171</v>
      </c>
      <c r="AK723" t="s">
        <v>171</v>
      </c>
      <c r="AL723" t="s">
        <v>171</v>
      </c>
      <c r="AM723" t="s">
        <v>173</v>
      </c>
      <c r="AN723" t="s">
        <v>175</v>
      </c>
      <c r="AO723" t="s">
        <v>175</v>
      </c>
      <c r="AP723" t="s">
        <v>173</v>
      </c>
      <c r="AQ723" t="s">
        <v>175</v>
      </c>
      <c r="AR723" t="s">
        <v>173</v>
      </c>
      <c r="AS723" t="s">
        <v>175</v>
      </c>
      <c r="AT723" t="s">
        <v>173</v>
      </c>
      <c r="AU723" t="s">
        <v>175</v>
      </c>
      <c r="AV723" t="s">
        <v>175</v>
      </c>
      <c r="AW723" t="s">
        <v>175</v>
      </c>
      <c r="AX723" t="s">
        <v>193</v>
      </c>
      <c r="AY723" t="s">
        <v>202</v>
      </c>
      <c r="BE723" t="str">
        <f>IF(AY723="","Unknown",AY723)</f>
        <v>21-25</v>
      </c>
      <c r="BF723" s="11" t="str">
        <f>IF(AZ723="","unknown",AZ723)</f>
        <v>unknown</v>
      </c>
      <c r="BG723" s="11" t="str">
        <f>IF(BA723="","UNKNOWN",BA723)</f>
        <v>UNKNOWN</v>
      </c>
      <c r="BH723" s="11" t="str">
        <f>IF(BB723="","unknown",BB723)</f>
        <v>unknown</v>
      </c>
      <c r="BI723" s="11" t="str">
        <f>IF(BC723="","Unknon",BC723)</f>
        <v>Unknon</v>
      </c>
      <c r="BJ723" s="11" t="str">
        <f>IF(BD723="","Unknown",BD723)</f>
        <v>Unknown</v>
      </c>
      <c r="BK723" s="11">
        <f>VALUE(C723)-VALUE(D723)</f>
        <v>1</v>
      </c>
      <c r="BM723" s="11"/>
    </row>
    <row r="724" spans="1:65">
      <c r="A724">
        <v>724</v>
      </c>
      <c r="B724" t="s">
        <v>284</v>
      </c>
      <c r="C724" s="10">
        <v>2023</v>
      </c>
      <c r="D724" s="10">
        <v>2022</v>
      </c>
      <c r="E724" s="10">
        <v>2022</v>
      </c>
      <c r="F724" s="10" t="s">
        <v>241</v>
      </c>
      <c r="G724" s="10" t="s">
        <v>242</v>
      </c>
      <c r="H724" s="10" t="s">
        <v>243</v>
      </c>
      <c r="I724" s="10" t="s">
        <v>278</v>
      </c>
      <c r="J724" s="10" t="s">
        <v>313</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1</v>
      </c>
      <c r="AC724" s="10" t="s">
        <v>173</v>
      </c>
      <c r="AE724" t="s">
        <v>173</v>
      </c>
      <c r="AF724" t="s">
        <v>175</v>
      </c>
      <c r="AG724" t="s">
        <v>175</v>
      </c>
      <c r="AH724" t="s">
        <v>173</v>
      </c>
      <c r="AI724" t="s">
        <v>173</v>
      </c>
      <c r="AJ724" t="s">
        <v>173</v>
      </c>
      <c r="AK724" t="s">
        <v>173</v>
      </c>
      <c r="AL724" t="s">
        <v>173</v>
      </c>
      <c r="AM724" t="s">
        <v>175</v>
      </c>
      <c r="AP724" t="s">
        <v>175</v>
      </c>
      <c r="AR724" t="s">
        <v>175</v>
      </c>
      <c r="AS724" t="s">
        <v>175</v>
      </c>
      <c r="AT724" t="s">
        <v>173</v>
      </c>
      <c r="AU724" t="s">
        <v>173</v>
      </c>
      <c r="AV724" t="s">
        <v>173</v>
      </c>
      <c r="AW724" t="s">
        <v>173</v>
      </c>
      <c r="AX724" t="s">
        <v>193</v>
      </c>
      <c r="AY724" t="s">
        <v>197</v>
      </c>
      <c r="BE724" t="str">
        <f>IF(AY724="","Unknown",AY724)</f>
        <v>51-55</v>
      </c>
      <c r="BF724" s="11" t="str">
        <f>IF(AZ724="","unknown",AZ724)</f>
        <v>unknown</v>
      </c>
      <c r="BG724" s="11" t="str">
        <f>IF(BA724="","UNKNOWN",BA724)</f>
        <v>UNKNOWN</v>
      </c>
      <c r="BH724" s="11" t="str">
        <f>IF(BB724="","unknown",BB724)</f>
        <v>unknown</v>
      </c>
      <c r="BI724" s="11" t="str">
        <f>IF(BC724="","Unknon",BC724)</f>
        <v>Unknon</v>
      </c>
      <c r="BJ724" s="11" t="str">
        <f>IF(BD724="","Unknown",BD724)</f>
        <v>Unknown</v>
      </c>
      <c r="BK724" s="11">
        <f>VALUE(C724)-VALUE(D724)</f>
        <v>1</v>
      </c>
      <c r="BM724" s="11"/>
    </row>
    <row r="725" spans="1:65">
      <c r="A725">
        <v>725</v>
      </c>
      <c r="B725" t="s">
        <v>284</v>
      </c>
      <c r="C725" s="10">
        <v>2023</v>
      </c>
      <c r="D725" s="10">
        <v>2022</v>
      </c>
      <c r="E725" s="10">
        <v>2022</v>
      </c>
      <c r="F725" s="10" t="s">
        <v>241</v>
      </c>
      <c r="G725" s="10" t="s">
        <v>242</v>
      </c>
      <c r="H725" s="10" t="s">
        <v>243</v>
      </c>
      <c r="I725" s="10" t="s">
        <v>278</v>
      </c>
      <c r="J725" s="10" t="s">
        <v>313</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1</v>
      </c>
      <c r="AC725" s="10" t="s">
        <v>173</v>
      </c>
      <c r="AD725" t="s">
        <v>175</v>
      </c>
      <c r="AE725" t="s">
        <v>173</v>
      </c>
      <c r="AF725" t="s">
        <v>173</v>
      </c>
      <c r="AG725" t="s">
        <v>173</v>
      </c>
      <c r="AH725" t="s">
        <v>173</v>
      </c>
      <c r="AI725" t="s">
        <v>173</v>
      </c>
      <c r="AJ725" t="s">
        <v>173</v>
      </c>
      <c r="AK725" t="s">
        <v>173</v>
      </c>
      <c r="AL725" t="s">
        <v>173</v>
      </c>
      <c r="AM725" t="s">
        <v>173</v>
      </c>
      <c r="AN725" t="s">
        <v>175</v>
      </c>
      <c r="AO725" t="s">
        <v>175</v>
      </c>
      <c r="AP725" t="s">
        <v>173</v>
      </c>
      <c r="AQ725" t="s">
        <v>175</v>
      </c>
      <c r="AR725" t="s">
        <v>173</v>
      </c>
      <c r="AS725" t="s">
        <v>173</v>
      </c>
      <c r="AT725" t="s">
        <v>173</v>
      </c>
      <c r="AU725" t="s">
        <v>173</v>
      </c>
      <c r="AV725" t="s">
        <v>173</v>
      </c>
      <c r="AW725" t="s">
        <v>173</v>
      </c>
      <c r="AX725" t="s">
        <v>193</v>
      </c>
      <c r="AY725" t="s">
        <v>203</v>
      </c>
      <c r="BE725" t="str">
        <f>IF(AY725="","Unknown",AY725)</f>
        <v>31-35</v>
      </c>
      <c r="BF725" s="11" t="str">
        <f>IF(AZ725="","unknown",AZ725)</f>
        <v>unknown</v>
      </c>
      <c r="BG725" s="11" t="str">
        <f>IF(BA725="","UNKNOWN",BA725)</f>
        <v>UNKNOWN</v>
      </c>
      <c r="BH725" s="11" t="str">
        <f>IF(BB725="","unknown",BB725)</f>
        <v>unknown</v>
      </c>
      <c r="BI725" s="11" t="str">
        <f>IF(BC725="","Unknon",BC725)</f>
        <v>Unknon</v>
      </c>
      <c r="BJ725" s="11" t="str">
        <f>IF(BD725="","Unknown",BD725)</f>
        <v>Unknown</v>
      </c>
      <c r="BK725" s="11">
        <f>VALUE(C725)-VALUE(D725)</f>
        <v>1</v>
      </c>
      <c r="BM725" s="11"/>
    </row>
    <row r="726" hidden="1" spans="1:51">
      <c r="A726">
        <v>726</v>
      </c>
      <c r="B726" t="s">
        <v>255</v>
      </c>
      <c r="C726" t="s">
        <v>247</v>
      </c>
      <c r="D726">
        <v>1993</v>
      </c>
      <c r="E726" t="s">
        <v>247</v>
      </c>
      <c r="F726" t="s">
        <v>256</v>
      </c>
      <c r="G726" t="s">
        <v>257</v>
      </c>
      <c r="H726" t="s">
        <v>264</v>
      </c>
      <c r="I726"/>
      <c r="J726" t="s">
        <v>252</v>
      </c>
      <c r="K726" t="b">
        <v>0</v>
      </c>
      <c r="L726" t="b">
        <v>0</v>
      </c>
      <c r="M726" t="b">
        <v>0</v>
      </c>
      <c r="N726" t="b">
        <v>0</v>
      </c>
      <c r="O726" t="b">
        <v>0</v>
      </c>
      <c r="P726" t="b">
        <v>0</v>
      </c>
      <c r="Q726" t="b">
        <v>0</v>
      </c>
      <c r="R726" t="b">
        <v>0</v>
      </c>
      <c r="S726" t="b">
        <v>0</v>
      </c>
      <c r="T726" t="b">
        <v>0</v>
      </c>
      <c r="U726" t="b">
        <v>0</v>
      </c>
      <c r="V726" t="b">
        <v>0</v>
      </c>
      <c r="W726" t="b">
        <v>1</v>
      </c>
      <c r="X726" t="b">
        <v>0</v>
      </c>
      <c r="Y726" t="b">
        <v>0</v>
      </c>
      <c r="Z726" t="b">
        <v>0</v>
      </c>
      <c r="AA726" t="b">
        <v>0</v>
      </c>
      <c r="AB726" t="b">
        <v>0</v>
      </c>
      <c r="AC726" t="s">
        <v>179</v>
      </c>
      <c r="AD726" t="s">
        <v>175</v>
      </c>
      <c r="AE726" t="s">
        <v>179</v>
      </c>
      <c r="AF726" t="s">
        <v>179</v>
      </c>
      <c r="AG726" t="s">
        <v>173</v>
      </c>
      <c r="AH726" t="s">
        <v>171</v>
      </c>
      <c r="AI726" t="s">
        <v>173</v>
      </c>
      <c r="AJ726" t="s">
        <v>179</v>
      </c>
      <c r="AK726" t="s">
        <v>173</v>
      </c>
      <c r="AL726" t="s">
        <v>179</v>
      </c>
      <c r="AM726" t="s">
        <v>179</v>
      </c>
      <c r="AN726" t="s">
        <v>179</v>
      </c>
      <c r="AO726" t="s">
        <v>179</v>
      </c>
      <c r="AP726" t="s">
        <v>179</v>
      </c>
      <c r="AQ726" t="s">
        <v>179</v>
      </c>
      <c r="AR726" t="s">
        <v>173</v>
      </c>
      <c r="AS726" t="s">
        <v>179</v>
      </c>
      <c r="AT726" t="s">
        <v>175</v>
      </c>
      <c r="AU726" t="s">
        <v>175</v>
      </c>
      <c r="AV726" t="s">
        <v>179</v>
      </c>
      <c r="AW726" t="s">
        <v>175</v>
      </c>
      <c r="AX726" t="s">
        <v>192</v>
      </c>
      <c r="AY726" t="s">
        <v>198</v>
      </c>
    </row>
    <row r="727" hidden="1" spans="1:51">
      <c r="A727">
        <v>727</v>
      </c>
      <c r="B727" t="s">
        <v>288</v>
      </c>
      <c r="C727" t="s">
        <v>247</v>
      </c>
      <c r="D727">
        <v>2022</v>
      </c>
      <c r="E727">
        <v>2022</v>
      </c>
      <c r="F727" t="s">
        <v>248</v>
      </c>
      <c r="G727" t="s">
        <v>242</v>
      </c>
      <c r="H727" t="s">
        <v>274</v>
      </c>
      <c r="I727"/>
      <c r="J727" t="s">
        <v>290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1</v>
      </c>
      <c r="AC727" t="s">
        <v>173</v>
      </c>
      <c r="AD727" t="s">
        <v>175</v>
      </c>
      <c r="AE727" t="s">
        <v>173</v>
      </c>
      <c r="AF727" t="s">
        <v>173</v>
      </c>
      <c r="AG727" t="s">
        <v>173</v>
      </c>
      <c r="AH727" t="s">
        <v>173</v>
      </c>
      <c r="AI727" t="s">
        <v>173</v>
      </c>
      <c r="AJ727" t="s">
        <v>173</v>
      </c>
      <c r="AK727" t="s">
        <v>171</v>
      </c>
      <c r="AL727" t="s">
        <v>175</v>
      </c>
      <c r="AM727" t="s">
        <v>175</v>
      </c>
      <c r="AN727" t="s">
        <v>175</v>
      </c>
      <c r="AO727" t="s">
        <v>173</v>
      </c>
      <c r="AP727" t="s">
        <v>173</v>
      </c>
      <c r="AQ727" t="s">
        <v>173</v>
      </c>
      <c r="AR727" t="s">
        <v>173</v>
      </c>
      <c r="AS727" t="s">
        <v>173</v>
      </c>
      <c r="AT727" t="s">
        <v>173</v>
      </c>
      <c r="AU727" t="s">
        <v>173</v>
      </c>
      <c r="AV727" t="s">
        <v>175</v>
      </c>
      <c r="AW727" t="s">
        <v>175</v>
      </c>
      <c r="AX727" t="s">
        <v>193</v>
      </c>
      <c r="AY727" t="s">
        <v>200</v>
      </c>
    </row>
    <row r="728" hidden="1" spans="1:51">
      <c r="A728">
        <v>728</v>
      </c>
      <c r="B728" t="s">
        <v>269</v>
      </c>
      <c r="C728">
        <v>2024</v>
      </c>
      <c r="D728">
        <v>1984</v>
      </c>
      <c r="E728">
        <v>1996</v>
      </c>
      <c r="F728" t="s">
        <v>260</v>
      </c>
      <c r="G728"/>
      <c r="H728" t="s">
        <v>273</v>
      </c>
      <c r="I728"/>
      <c r="J728" t="s">
        <v>252</v>
      </c>
      <c r="K728" t="b">
        <v>0</v>
      </c>
      <c r="L728" t="b">
        <v>0</v>
      </c>
      <c r="M728" t="b">
        <v>0</v>
      </c>
      <c r="N728" t="b">
        <v>0</v>
      </c>
      <c r="O728" t="b">
        <v>0</v>
      </c>
      <c r="P728" t="b">
        <v>0</v>
      </c>
      <c r="Q728" t="b">
        <v>0</v>
      </c>
      <c r="R728" t="b">
        <v>1</v>
      </c>
      <c r="S728" t="b">
        <v>0</v>
      </c>
      <c r="T728" t="b">
        <v>0</v>
      </c>
      <c r="U728" t="b">
        <v>0</v>
      </c>
      <c r="V728" t="b">
        <v>0</v>
      </c>
      <c r="W728" t="b">
        <v>0</v>
      </c>
      <c r="X728" t="b">
        <v>0</v>
      </c>
      <c r="Y728" t="b">
        <v>0</v>
      </c>
      <c r="Z728" t="b">
        <v>1</v>
      </c>
      <c r="AA728" t="b">
        <v>0</v>
      </c>
      <c r="AB728" t="b">
        <v>0</v>
      </c>
      <c r="AC728" t="s">
        <v>173</v>
      </c>
      <c r="AD728" t="s">
        <v>173</v>
      </c>
      <c r="AE728" t="s">
        <v>173</v>
      </c>
      <c r="AF728" t="s">
        <v>175</v>
      </c>
      <c r="AG728" t="s">
        <v>173</v>
      </c>
      <c r="AH728" t="s">
        <v>179</v>
      </c>
      <c r="AI728" t="s">
        <v>177</v>
      </c>
      <c r="AJ728" t="s">
        <v>173</v>
      </c>
      <c r="AK728" t="s">
        <v>171</v>
      </c>
      <c r="AL728" t="s">
        <v>173</v>
      </c>
      <c r="AM728" t="s">
        <v>173</v>
      </c>
      <c r="AN728" t="s">
        <v>175</v>
      </c>
      <c r="AO728" t="s">
        <v>175</v>
      </c>
      <c r="AP728" t="s">
        <v>173</v>
      </c>
      <c r="AQ728" t="s">
        <v>173</v>
      </c>
      <c r="AR728" t="s">
        <v>173</v>
      </c>
      <c r="AS728" t="s">
        <v>173</v>
      </c>
      <c r="AT728" t="s">
        <v>173</v>
      </c>
      <c r="AU728" t="s">
        <v>173</v>
      </c>
      <c r="AV728" t="s">
        <v>175</v>
      </c>
      <c r="AW728" t="s">
        <v>175</v>
      </c>
      <c r="AX728" t="s">
        <v>193</v>
      </c>
      <c r="AY728" t="s">
        <v>196</v>
      </c>
    </row>
    <row r="729" hidden="1" spans="1:51">
      <c r="A729">
        <v>729</v>
      </c>
      <c r="B729" t="s">
        <v>255</v>
      </c>
      <c r="C729">
        <v>2024</v>
      </c>
      <c r="D729">
        <v>1989</v>
      </c>
      <c r="E729">
        <v>2012</v>
      </c>
      <c r="F729" t="s">
        <v>256</v>
      </c>
      <c r="G729" t="s">
        <v>263</v>
      </c>
      <c r="H729" t="s">
        <v>268</v>
      </c>
      <c r="I729"/>
      <c r="J729" t="s">
        <v>252</v>
      </c>
      <c r="K729" t="b">
        <v>0</v>
      </c>
      <c r="L729" t="b">
        <v>0</v>
      </c>
      <c r="M729" t="b">
        <v>0</v>
      </c>
      <c r="N729" t="b">
        <v>0</v>
      </c>
      <c r="O729" t="b">
        <v>0</v>
      </c>
      <c r="P729" t="b">
        <v>0</v>
      </c>
      <c r="Q729" t="b">
        <v>0</v>
      </c>
      <c r="R729" t="b">
        <v>0</v>
      </c>
      <c r="S729" t="b">
        <v>0</v>
      </c>
      <c r="T729" t="b">
        <v>0</v>
      </c>
      <c r="U729" t="b">
        <v>0</v>
      </c>
      <c r="V729" t="b">
        <v>1</v>
      </c>
      <c r="W729" t="b">
        <v>0</v>
      </c>
      <c r="X729" t="b">
        <v>0</v>
      </c>
      <c r="Y729" t="b">
        <v>0</v>
      </c>
      <c r="Z729" t="b">
        <v>1</v>
      </c>
      <c r="AA729" t="b">
        <v>0</v>
      </c>
      <c r="AB729" t="b">
        <v>0</v>
      </c>
      <c r="AC729" t="s">
        <v>173</v>
      </c>
      <c r="AD729" t="s">
        <v>173</v>
      </c>
      <c r="AE729" t="s">
        <v>173</v>
      </c>
      <c r="AF729" t="s">
        <v>173</v>
      </c>
      <c r="AG729" t="s">
        <v>173</v>
      </c>
      <c r="AH729" t="s">
        <v>175</v>
      </c>
      <c r="AI729" t="s">
        <v>175</v>
      </c>
      <c r="AJ729" t="s">
        <v>175</v>
      </c>
      <c r="AK729" t="s">
        <v>173</v>
      </c>
      <c r="AL729" t="s">
        <v>173</v>
      </c>
      <c r="AM729" t="s">
        <v>173</v>
      </c>
      <c r="AN729" t="s">
        <v>173</v>
      </c>
      <c r="AO729" t="s">
        <v>175</v>
      </c>
      <c r="AP729" t="s">
        <v>175</v>
      </c>
      <c r="AQ729" t="s">
        <v>175</v>
      </c>
      <c r="AR729" t="s">
        <v>175</v>
      </c>
      <c r="AS729" t="s">
        <v>175</v>
      </c>
      <c r="AT729" t="s">
        <v>173</v>
      </c>
      <c r="AU729" t="s">
        <v>173</v>
      </c>
      <c r="AV729" t="s">
        <v>175</v>
      </c>
      <c r="AW729" t="s">
        <v>173</v>
      </c>
      <c r="AX729" t="s">
        <v>192</v>
      </c>
      <c r="AY729" t="s">
        <v>197</v>
      </c>
    </row>
    <row r="730" hidden="1" spans="1:51">
      <c r="A730">
        <v>730</v>
      </c>
      <c r="B730" t="s">
        <v>259</v>
      </c>
      <c r="C730">
        <v>2024</v>
      </c>
      <c r="D730">
        <v>1984</v>
      </c>
      <c r="E730">
        <v>2022</v>
      </c>
      <c r="F730" t="s">
        <v>256</v>
      </c>
      <c r="G730" t="s">
        <v>257</v>
      </c>
      <c r="H730" t="s">
        <v>267</v>
      </c>
      <c r="I730"/>
      <c r="J730" t="s">
        <v>252</v>
      </c>
      <c r="K730" t="b">
        <v>0</v>
      </c>
      <c r="L730" t="b">
        <v>0</v>
      </c>
      <c r="M730" t="b">
        <v>0</v>
      </c>
      <c r="N730" t="b">
        <v>0</v>
      </c>
      <c r="O730" t="b">
        <v>0</v>
      </c>
      <c r="P730" t="b">
        <v>0</v>
      </c>
      <c r="Q730" t="b">
        <v>0</v>
      </c>
      <c r="R730" t="b">
        <v>0</v>
      </c>
      <c r="S730" t="b">
        <v>0</v>
      </c>
      <c r="T730" t="b">
        <v>0</v>
      </c>
      <c r="U730" t="b">
        <v>0</v>
      </c>
      <c r="V730" t="b">
        <v>0</v>
      </c>
      <c r="W730" t="b">
        <v>0</v>
      </c>
      <c r="X730" t="b">
        <v>0</v>
      </c>
      <c r="Y730" t="b">
        <v>1</v>
      </c>
      <c r="Z730" t="b">
        <v>1</v>
      </c>
      <c r="AA730" t="b">
        <v>1</v>
      </c>
      <c r="AB730" t="b">
        <v>0</v>
      </c>
      <c r="AC730" t="s">
        <v>173</v>
      </c>
      <c r="AD730" t="s">
        <v>177</v>
      </c>
      <c r="AE730" t="s">
        <v>175</v>
      </c>
      <c r="AF730" t="s">
        <v>173</v>
      </c>
      <c r="AG730" t="s">
        <v>173</v>
      </c>
      <c r="AH730" t="s">
        <v>177</v>
      </c>
      <c r="AI730" t="s">
        <v>175</v>
      </c>
      <c r="AJ730" t="s">
        <v>173</v>
      </c>
      <c r="AK730" t="s">
        <v>173</v>
      </c>
      <c r="AL730" t="s">
        <v>173</v>
      </c>
      <c r="AM730" t="s">
        <v>175</v>
      </c>
      <c r="AN730" t="s">
        <v>175</v>
      </c>
      <c r="AO730" t="s">
        <v>173</v>
      </c>
      <c r="AP730" t="s">
        <v>173</v>
      </c>
      <c r="AQ730" t="s">
        <v>173</v>
      </c>
      <c r="AR730" t="s">
        <v>173</v>
      </c>
      <c r="AS730" t="s">
        <v>173</v>
      </c>
      <c r="AT730" t="s">
        <v>173</v>
      </c>
      <c r="AU730" t="s">
        <v>173</v>
      </c>
      <c r="AV730" t="s">
        <v>175</v>
      </c>
      <c r="AW730" t="s">
        <v>175</v>
      </c>
      <c r="AX730" t="s">
        <v>192</v>
      </c>
      <c r="AY730" t="s">
        <v>196</v>
      </c>
    </row>
    <row r="731" hidden="1" spans="1:51">
      <c r="A731">
        <v>731</v>
      </c>
      <c r="B731" t="s">
        <v>259</v>
      </c>
      <c r="C731" t="s">
        <v>247</v>
      </c>
      <c r="D731">
        <v>1987</v>
      </c>
      <c r="E731">
        <v>2013</v>
      </c>
      <c r="F731" t="s">
        <v>291</v>
      </c>
      <c r="G731"/>
      <c r="H731" t="s">
        <v>267</v>
      </c>
      <c r="I731"/>
      <c r="J731" t="s">
        <v>252</v>
      </c>
      <c r="K731" t="b">
        <v>0</v>
      </c>
      <c r="L731" t="b">
        <v>0</v>
      </c>
      <c r="M731" t="b">
        <v>1</v>
      </c>
      <c r="N731" t="b">
        <v>0</v>
      </c>
      <c r="O731" t="b">
        <v>1</v>
      </c>
      <c r="P731" t="b">
        <v>0</v>
      </c>
      <c r="Q731" t="b">
        <v>0</v>
      </c>
      <c r="R731" t="b">
        <v>0</v>
      </c>
      <c r="S731" t="b">
        <v>0</v>
      </c>
      <c r="T731" t="b">
        <v>0</v>
      </c>
      <c r="U731" t="b">
        <v>0</v>
      </c>
      <c r="V731" t="b">
        <v>0</v>
      </c>
      <c r="W731" t="b">
        <v>0</v>
      </c>
      <c r="X731" t="b">
        <v>0</v>
      </c>
      <c r="Y731" t="b">
        <v>0</v>
      </c>
      <c r="Z731" t="b">
        <v>1</v>
      </c>
      <c r="AA731" t="b">
        <v>0</v>
      </c>
      <c r="AB731" t="b">
        <v>0</v>
      </c>
      <c r="AC731" t="s">
        <v>171</v>
      </c>
      <c r="AD731" t="s">
        <v>173</v>
      </c>
      <c r="AE731" t="s">
        <v>171</v>
      </c>
      <c r="AF731" t="s">
        <v>173</v>
      </c>
      <c r="AG731" t="s">
        <v>173</v>
      </c>
      <c r="AH731" t="s">
        <v>177</v>
      </c>
      <c r="AI731" t="s">
        <v>173</v>
      </c>
      <c r="AJ731" t="s">
        <v>175</v>
      </c>
      <c r="AK731" t="s">
        <v>173</v>
      </c>
      <c r="AL731" t="s">
        <v>173</v>
      </c>
      <c r="AM731" t="s">
        <v>173</v>
      </c>
      <c r="AN731" t="s">
        <v>171</v>
      </c>
      <c r="AO731" t="s">
        <v>171</v>
      </c>
      <c r="AP731" t="s">
        <v>171</v>
      </c>
      <c r="AQ731" t="s">
        <v>171</v>
      </c>
      <c r="AR731" t="s">
        <v>171</v>
      </c>
      <c r="AS731" t="s">
        <v>171</v>
      </c>
      <c r="AT731" t="s">
        <v>171</v>
      </c>
      <c r="AU731" t="s">
        <v>171</v>
      </c>
      <c r="AV731" t="s">
        <v>171</v>
      </c>
      <c r="AW731" t="s">
        <v>171</v>
      </c>
      <c r="AX731" t="s">
        <v>193</v>
      </c>
      <c r="AY731" t="s">
        <v>196</v>
      </c>
    </row>
    <row r="732" hidden="1" spans="1:51">
      <c r="A732">
        <v>732</v>
      </c>
      <c r="B732" t="s">
        <v>269</v>
      </c>
      <c r="C732">
        <v>2024</v>
      </c>
      <c r="D732">
        <v>2008</v>
      </c>
      <c r="E732">
        <v>2008</v>
      </c>
      <c r="F732" t="s">
        <v>266</v>
      </c>
      <c r="G732"/>
      <c r="H732" t="s">
        <v>247</v>
      </c>
      <c r="I732"/>
      <c r="J732" t="s">
        <v>265</v>
      </c>
      <c r="K732" t="b">
        <v>0</v>
      </c>
      <c r="L732" t="b">
        <v>0</v>
      </c>
      <c r="M732" t="b">
        <v>0</v>
      </c>
      <c r="N732" t="b">
        <v>0</v>
      </c>
      <c r="O732" t="b">
        <v>0</v>
      </c>
      <c r="P732" t="b">
        <v>0</v>
      </c>
      <c r="Q732" t="b">
        <v>0</v>
      </c>
      <c r="R732" t="b">
        <v>1</v>
      </c>
      <c r="S732" t="b">
        <v>0</v>
      </c>
      <c r="T732" t="b">
        <v>0</v>
      </c>
      <c r="U732" t="b">
        <v>0</v>
      </c>
      <c r="V732" t="b">
        <v>0</v>
      </c>
      <c r="W732" t="b">
        <v>0</v>
      </c>
      <c r="X732" t="b">
        <v>0</v>
      </c>
      <c r="Y732" t="b">
        <v>0</v>
      </c>
      <c r="Z732" t="b">
        <v>0</v>
      </c>
      <c r="AA732" t="b">
        <v>0</v>
      </c>
      <c r="AB732" t="b">
        <v>0</v>
      </c>
      <c r="AC732" t="s">
        <v>173</v>
      </c>
      <c r="AD732" t="s">
        <v>173</v>
      </c>
      <c r="AE732" t="s">
        <v>173</v>
      </c>
      <c r="AF732" t="s">
        <v>173</v>
      </c>
      <c r="AG732" t="s">
        <v>173</v>
      </c>
      <c r="AH732" t="s">
        <v>173</v>
      </c>
      <c r="AI732" t="s">
        <v>173</v>
      </c>
      <c r="AJ732" t="s">
        <v>173</v>
      </c>
      <c r="AK732" t="s">
        <v>173</v>
      </c>
      <c r="AL732" t="s">
        <v>173</v>
      </c>
      <c r="AM732" t="s">
        <v>173</v>
      </c>
      <c r="AN732" t="s">
        <v>173</v>
      </c>
      <c r="AO732" t="s">
        <v>173</v>
      </c>
      <c r="AP732" t="s">
        <v>173</v>
      </c>
      <c r="AQ732" t="s">
        <v>173</v>
      </c>
      <c r="AR732" t="s">
        <v>173</v>
      </c>
      <c r="AS732" t="s">
        <v>173</v>
      </c>
      <c r="AT732" t="s">
        <v>173</v>
      </c>
      <c r="AU732" t="s">
        <v>173</v>
      </c>
      <c r="AV732" t="s">
        <v>173</v>
      </c>
      <c r="AW732" t="s">
        <v>173</v>
      </c>
      <c r="AX732" t="s">
        <v>192</v>
      </c>
      <c r="AY732" t="s">
        <v>198</v>
      </c>
    </row>
    <row r="733" hidden="1" spans="1:51">
      <c r="A733">
        <v>733</v>
      </c>
      <c r="B733" t="s">
        <v>255</v>
      </c>
      <c r="C733">
        <v>2024</v>
      </c>
      <c r="D733">
        <v>2001</v>
      </c>
      <c r="E733">
        <v>2006</v>
      </c>
      <c r="F733" t="s">
        <v>289</v>
      </c>
      <c r="G733"/>
      <c r="H733" t="s">
        <v>258</v>
      </c>
      <c r="I733"/>
      <c r="J733" t="s">
        <v>252</v>
      </c>
      <c r="K733" t="b">
        <v>0</v>
      </c>
      <c r="L733" t="b">
        <v>0</v>
      </c>
      <c r="M733" t="b">
        <v>0</v>
      </c>
      <c r="N733" t="b">
        <v>0</v>
      </c>
      <c r="O733" t="b">
        <v>1</v>
      </c>
      <c r="P733" t="b">
        <v>0</v>
      </c>
      <c r="Q733" t="b">
        <v>1</v>
      </c>
      <c r="R733" t="b">
        <v>0</v>
      </c>
      <c r="S733" t="b">
        <v>0</v>
      </c>
      <c r="T733" t="b">
        <v>0</v>
      </c>
      <c r="U733" t="b">
        <v>0</v>
      </c>
      <c r="V733" t="b">
        <v>0</v>
      </c>
      <c r="W733" t="b">
        <v>0</v>
      </c>
      <c r="X733" t="b">
        <v>0</v>
      </c>
      <c r="Y733" t="b">
        <v>0</v>
      </c>
      <c r="Z733" t="b">
        <v>0</v>
      </c>
      <c r="AA733" t="b">
        <v>1</v>
      </c>
      <c r="AB733" t="b">
        <v>0</v>
      </c>
      <c r="AC733" t="s">
        <v>179</v>
      </c>
      <c r="AD733" t="s">
        <v>175</v>
      </c>
      <c r="AE733" t="s">
        <v>177</v>
      </c>
      <c r="AF733" t="s">
        <v>177</v>
      </c>
      <c r="AG733" t="s">
        <v>177</v>
      </c>
      <c r="AH733" t="s">
        <v>173</v>
      </c>
      <c r="AI733" t="s">
        <v>179</v>
      </c>
      <c r="AJ733" t="s">
        <v>177</v>
      </c>
      <c r="AK733" t="s">
        <v>173</v>
      </c>
      <c r="AL733" t="s">
        <v>173</v>
      </c>
      <c r="AM733" t="s">
        <v>173</v>
      </c>
      <c r="AN733" t="s">
        <v>175</v>
      </c>
      <c r="AO733" t="s">
        <v>179</v>
      </c>
      <c r="AP733" t="s">
        <v>179</v>
      </c>
      <c r="AQ733" t="s">
        <v>175</v>
      </c>
      <c r="AR733" t="s">
        <v>173</v>
      </c>
      <c r="AS733" t="s">
        <v>173</v>
      </c>
      <c r="AT733" t="s">
        <v>173</v>
      </c>
      <c r="AU733" t="s">
        <v>173</v>
      </c>
      <c r="AV733" t="s">
        <v>173</v>
      </c>
      <c r="AW733" t="s">
        <v>173</v>
      </c>
      <c r="AX733" t="s">
        <v>193</v>
      </c>
      <c r="AY733" t="s">
        <v>196</v>
      </c>
    </row>
    <row r="734" hidden="1" spans="1:51">
      <c r="A734">
        <v>734</v>
      </c>
      <c r="B734" t="s">
        <v>259</v>
      </c>
      <c r="C734">
        <v>2024</v>
      </c>
      <c r="D734">
        <v>1978</v>
      </c>
      <c r="E734">
        <v>1994</v>
      </c>
      <c r="F734" t="s">
        <v>260</v>
      </c>
      <c r="G734"/>
      <c r="H734" t="s">
        <v>274</v>
      </c>
      <c r="I734"/>
      <c r="J734" t="s">
        <v>252</v>
      </c>
      <c r="K734" t="b">
        <v>0</v>
      </c>
      <c r="L734" t="b">
        <v>0</v>
      </c>
      <c r="M734" t="b">
        <v>0</v>
      </c>
      <c r="N734" t="b">
        <v>0</v>
      </c>
      <c r="O734" t="b">
        <v>0</v>
      </c>
      <c r="P734" t="b">
        <v>0</v>
      </c>
      <c r="Q734" t="b">
        <v>0</v>
      </c>
      <c r="R734" t="b">
        <v>0</v>
      </c>
      <c r="S734" t="b">
        <v>0</v>
      </c>
      <c r="T734" t="b">
        <v>0</v>
      </c>
      <c r="U734" t="b">
        <v>0</v>
      </c>
      <c r="V734" t="b">
        <v>0</v>
      </c>
      <c r="W734" t="b">
        <v>0</v>
      </c>
      <c r="X734" t="b">
        <v>0</v>
      </c>
      <c r="Y734" t="b">
        <v>0</v>
      </c>
      <c r="Z734" t="b">
        <v>1</v>
      </c>
      <c r="AA734" t="b">
        <v>0</v>
      </c>
      <c r="AB734" t="b">
        <v>0</v>
      </c>
      <c r="AC734" t="s">
        <v>175</v>
      </c>
      <c r="AD734" t="s">
        <v>173</v>
      </c>
      <c r="AE734" t="s">
        <v>177</v>
      </c>
      <c r="AF734" t="s">
        <v>175</v>
      </c>
      <c r="AG734" t="s">
        <v>173</v>
      </c>
      <c r="AH734" t="s">
        <v>177</v>
      </c>
      <c r="AI734" t="s">
        <v>173</v>
      </c>
      <c r="AJ734" t="s">
        <v>173</v>
      </c>
      <c r="AK734" t="s">
        <v>171</v>
      </c>
      <c r="AL734" t="s">
        <v>173</v>
      </c>
      <c r="AM734" t="s">
        <v>171</v>
      </c>
      <c r="AN734" t="s">
        <v>171</v>
      </c>
      <c r="AO734" t="s">
        <v>177</v>
      </c>
      <c r="AP734" t="s">
        <v>177</v>
      </c>
      <c r="AQ734" t="s">
        <v>173</v>
      </c>
      <c r="AR734" t="s">
        <v>175</v>
      </c>
      <c r="AS734" t="s">
        <v>173</v>
      </c>
      <c r="AT734" t="s">
        <v>173</v>
      </c>
      <c r="AU734" t="s">
        <v>173</v>
      </c>
      <c r="AV734" t="s">
        <v>175</v>
      </c>
      <c r="AW734" t="s">
        <v>171</v>
      </c>
      <c r="AX734" t="s">
        <v>193</v>
      </c>
      <c r="AY734" t="s">
        <v>195</v>
      </c>
    </row>
    <row r="735" hidden="1" spans="1:51">
      <c r="A735">
        <v>735</v>
      </c>
      <c r="B735" t="s">
        <v>259</v>
      </c>
      <c r="C735" t="s">
        <v>247</v>
      </c>
      <c r="D735">
        <v>1985</v>
      </c>
      <c r="E735">
        <v>1985</v>
      </c>
      <c r="F735" t="s">
        <v>266</v>
      </c>
      <c r="G735"/>
      <c r="H735" t="s">
        <v>247</v>
      </c>
      <c r="I735"/>
      <c r="J735" t="s">
        <v>265</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1</v>
      </c>
      <c r="AC735" t="s">
        <v>173</v>
      </c>
      <c r="AD735" t="s">
        <v>173</v>
      </c>
      <c r="AE735" t="s">
        <v>173</v>
      </c>
      <c r="AF735" t="s">
        <v>173</v>
      </c>
      <c r="AG735" t="s">
        <v>171</v>
      </c>
      <c r="AH735" t="s">
        <v>171</v>
      </c>
      <c r="AI735" t="s">
        <v>171</v>
      </c>
      <c r="AJ735" t="s">
        <v>171</v>
      </c>
      <c r="AK735" t="s">
        <v>171</v>
      </c>
      <c r="AL735" t="s">
        <v>171</v>
      </c>
      <c r="AM735" t="s">
        <v>171</v>
      </c>
      <c r="AN735" t="s">
        <v>171</v>
      </c>
      <c r="AO735" t="s">
        <v>171</v>
      </c>
      <c r="AP735" t="s">
        <v>171</v>
      </c>
      <c r="AQ735" t="s">
        <v>171</v>
      </c>
      <c r="AR735" t="s">
        <v>171</v>
      </c>
      <c r="AS735" t="s">
        <v>171</v>
      </c>
      <c r="AT735" t="s">
        <v>171</v>
      </c>
      <c r="AU735" t="s">
        <v>171</v>
      </c>
      <c r="AV735" t="s">
        <v>171</v>
      </c>
      <c r="AW735" t="s">
        <v>171</v>
      </c>
      <c r="AX735" t="s">
        <v>192</v>
      </c>
      <c r="AY735" t="s">
        <v>195</v>
      </c>
    </row>
    <row r="736" hidden="1" spans="1:51">
      <c r="A736">
        <v>736</v>
      </c>
      <c r="B736" t="s">
        <v>246</v>
      </c>
      <c r="C736">
        <v>2024</v>
      </c>
      <c r="D736">
        <v>1998</v>
      </c>
      <c r="E736">
        <v>1998</v>
      </c>
      <c r="F736" t="s">
        <v>266</v>
      </c>
      <c r="G736"/>
      <c r="H736" t="s">
        <v>274</v>
      </c>
      <c r="I736"/>
      <c r="J736" t="s">
        <v>265</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1</v>
      </c>
      <c r="AC736" t="s">
        <v>171</v>
      </c>
      <c r="AD736" t="s">
        <v>171</v>
      </c>
      <c r="AE736" t="s">
        <v>171</v>
      </c>
      <c r="AF736" t="s">
        <v>171</v>
      </c>
      <c r="AG736" t="s">
        <v>171</v>
      </c>
      <c r="AH736" t="s">
        <v>171</v>
      </c>
      <c r="AI736" t="s">
        <v>171</v>
      </c>
      <c r="AJ736" t="s">
        <v>171</v>
      </c>
      <c r="AK736" t="s">
        <v>171</v>
      </c>
      <c r="AL736" t="s">
        <v>171</v>
      </c>
      <c r="AM736" t="s">
        <v>171</v>
      </c>
      <c r="AN736" t="s">
        <v>171</v>
      </c>
      <c r="AO736" t="s">
        <v>171</v>
      </c>
      <c r="AP736" t="s">
        <v>171</v>
      </c>
      <c r="AQ736" t="s">
        <v>171</v>
      </c>
      <c r="AR736" t="s">
        <v>171</v>
      </c>
      <c r="AS736" t="s">
        <v>171</v>
      </c>
      <c r="AT736" t="s">
        <v>171</v>
      </c>
      <c r="AU736" t="s">
        <v>171</v>
      </c>
      <c r="AV736" t="s">
        <v>171</v>
      </c>
      <c r="AW736" t="s">
        <v>171</v>
      </c>
      <c r="AX736" t="s">
        <v>192</v>
      </c>
      <c r="AY736" t="s">
        <v>195</v>
      </c>
    </row>
    <row r="737" hidden="1" spans="1:51">
      <c r="A737">
        <v>737</v>
      </c>
      <c r="B737" t="s">
        <v>272</v>
      </c>
      <c r="C737">
        <v>2024</v>
      </c>
      <c r="D737">
        <v>2015</v>
      </c>
      <c r="E737" t="s">
        <v>247</v>
      </c>
      <c r="F737" t="s">
        <v>275</v>
      </c>
      <c r="G737"/>
      <c r="H737" t="s">
        <v>264</v>
      </c>
      <c r="I737"/>
      <c r="J737" t="s">
        <v>252</v>
      </c>
      <c r="K737" t="b">
        <v>0</v>
      </c>
      <c r="L737" t="b">
        <v>0</v>
      </c>
      <c r="M737" t="b">
        <v>0</v>
      </c>
      <c r="N737" t="b">
        <v>0</v>
      </c>
      <c r="O737" t="b">
        <v>0</v>
      </c>
      <c r="P737" t="b">
        <v>0</v>
      </c>
      <c r="Q737" t="b">
        <v>0</v>
      </c>
      <c r="R737" t="b">
        <v>0</v>
      </c>
      <c r="S737" t="b">
        <v>0</v>
      </c>
      <c r="T737" t="b">
        <v>0</v>
      </c>
      <c r="U737" t="b">
        <v>1</v>
      </c>
      <c r="V737" t="b">
        <v>1</v>
      </c>
      <c r="W737" t="b">
        <v>0</v>
      </c>
      <c r="X737" t="b">
        <v>1</v>
      </c>
      <c r="Y737" t="b">
        <v>0</v>
      </c>
      <c r="Z737" t="b">
        <v>0</v>
      </c>
      <c r="AA737" t="b">
        <v>0</v>
      </c>
      <c r="AB737" t="b">
        <v>0</v>
      </c>
      <c r="AC737" t="s">
        <v>171</v>
      </c>
      <c r="AD737" t="s">
        <v>171</v>
      </c>
      <c r="AE737" t="s">
        <v>171</v>
      </c>
      <c r="AF737" t="s">
        <v>171</v>
      </c>
      <c r="AG737" t="s">
        <v>171</v>
      </c>
      <c r="AH737" t="s">
        <v>171</v>
      </c>
      <c r="AI737" t="s">
        <v>171</v>
      </c>
      <c r="AJ737" t="s">
        <v>171</v>
      </c>
      <c r="AK737" t="s">
        <v>171</v>
      </c>
      <c r="AL737" t="s">
        <v>171</v>
      </c>
      <c r="AM737" t="s">
        <v>171</v>
      </c>
      <c r="AN737" t="s">
        <v>171</v>
      </c>
      <c r="AO737" t="s">
        <v>171</v>
      </c>
      <c r="AP737" t="s">
        <v>171</v>
      </c>
      <c r="AQ737" t="s">
        <v>171</v>
      </c>
      <c r="AR737" t="s">
        <v>171</v>
      </c>
      <c r="AS737" t="s">
        <v>171</v>
      </c>
      <c r="AT737" t="s">
        <v>171</v>
      </c>
      <c r="AU737" t="s">
        <v>171</v>
      </c>
      <c r="AV737" t="s">
        <v>171</v>
      </c>
      <c r="AW737" t="s">
        <v>171</v>
      </c>
      <c r="AX737" t="s">
        <v>192</v>
      </c>
      <c r="AY737" t="s">
        <v>195</v>
      </c>
    </row>
    <row r="738" hidden="1" spans="1:51">
      <c r="A738">
        <v>738</v>
      </c>
      <c r="B738" t="s">
        <v>259</v>
      </c>
      <c r="C738">
        <v>2024</v>
      </c>
      <c r="D738">
        <v>2008</v>
      </c>
      <c r="E738">
        <v>2011</v>
      </c>
      <c r="F738" t="s">
        <v>260</v>
      </c>
      <c r="G738"/>
      <c r="H738" t="s">
        <v>261</v>
      </c>
      <c r="I738"/>
      <c r="J738" t="s">
        <v>252</v>
      </c>
      <c r="K738" t="b">
        <v>0</v>
      </c>
      <c r="L738" t="b">
        <v>0</v>
      </c>
      <c r="M738" t="b">
        <v>0</v>
      </c>
      <c r="N738" t="b">
        <v>0</v>
      </c>
      <c r="O738" t="b">
        <v>0</v>
      </c>
      <c r="P738" t="b">
        <v>0</v>
      </c>
      <c r="Q738" t="b">
        <v>0</v>
      </c>
      <c r="R738" t="b">
        <v>0</v>
      </c>
      <c r="S738" t="b">
        <v>0</v>
      </c>
      <c r="T738" t="b">
        <v>0</v>
      </c>
      <c r="U738" t="b">
        <v>0</v>
      </c>
      <c r="V738" t="b">
        <v>0</v>
      </c>
      <c r="W738" t="b">
        <v>0</v>
      </c>
      <c r="X738" t="b">
        <v>1</v>
      </c>
      <c r="Y738" t="b">
        <v>0</v>
      </c>
      <c r="Z738" t="b">
        <v>1</v>
      </c>
      <c r="AA738" t="b">
        <v>0</v>
      </c>
      <c r="AB738" t="b">
        <v>0</v>
      </c>
      <c r="AC738" t="s">
        <v>173</v>
      </c>
      <c r="AD738" t="s">
        <v>173</v>
      </c>
      <c r="AE738" t="s">
        <v>173</v>
      </c>
      <c r="AF738" t="s">
        <v>175</v>
      </c>
      <c r="AG738" t="s">
        <v>173</v>
      </c>
      <c r="AH738" t="s">
        <v>177</v>
      </c>
      <c r="AI738" t="s">
        <v>175</v>
      </c>
      <c r="AJ738" t="s">
        <v>173</v>
      </c>
      <c r="AK738" t="s">
        <v>175</v>
      </c>
      <c r="AL738" t="s">
        <v>173</v>
      </c>
      <c r="AM738" t="s">
        <v>173</v>
      </c>
      <c r="AN738" t="s">
        <v>173</v>
      </c>
      <c r="AO738" t="s">
        <v>173</v>
      </c>
      <c r="AP738" t="s">
        <v>173</v>
      </c>
      <c r="AQ738" t="s">
        <v>173</v>
      </c>
      <c r="AR738" t="s">
        <v>175</v>
      </c>
      <c r="AS738" t="s">
        <v>173</v>
      </c>
      <c r="AT738" t="s">
        <v>173</v>
      </c>
      <c r="AU738" t="s">
        <v>173</v>
      </c>
      <c r="AV738" t="s">
        <v>175</v>
      </c>
      <c r="AW738" t="s">
        <v>175</v>
      </c>
      <c r="AX738" t="s">
        <v>192</v>
      </c>
      <c r="AY738" t="s">
        <v>196</v>
      </c>
    </row>
    <row r="739" hidden="1" spans="1:51">
      <c r="A739">
        <v>739</v>
      </c>
      <c r="B739" t="s">
        <v>255</v>
      </c>
      <c r="C739">
        <v>2024</v>
      </c>
      <c r="D739">
        <v>2008</v>
      </c>
      <c r="E739">
        <v>2013</v>
      </c>
      <c r="F739" t="s">
        <v>256</v>
      </c>
      <c r="G739" t="s">
        <v>279</v>
      </c>
      <c r="H739" t="s">
        <v>261</v>
      </c>
      <c r="I739"/>
      <c r="J739" t="s">
        <v>265</v>
      </c>
      <c r="K739" t="b">
        <v>0</v>
      </c>
      <c r="L739" t="b">
        <v>0</v>
      </c>
      <c r="M739" t="b">
        <v>0</v>
      </c>
      <c r="N739" t="b">
        <v>0</v>
      </c>
      <c r="O739" t="b">
        <v>0</v>
      </c>
      <c r="P739" t="b">
        <v>0</v>
      </c>
      <c r="Q739" t="b">
        <v>0</v>
      </c>
      <c r="R739" t="b">
        <v>0</v>
      </c>
      <c r="S739" t="b">
        <v>0</v>
      </c>
      <c r="T739" t="b">
        <v>0</v>
      </c>
      <c r="U739" t="b">
        <v>0</v>
      </c>
      <c r="V739" t="b">
        <v>0</v>
      </c>
      <c r="W739" t="b">
        <v>0</v>
      </c>
      <c r="X739" t="b">
        <v>1</v>
      </c>
      <c r="Y739" t="b">
        <v>0</v>
      </c>
      <c r="Z739" t="b">
        <v>0</v>
      </c>
      <c r="AA739" t="b">
        <v>0</v>
      </c>
      <c r="AB739" t="b">
        <v>0</v>
      </c>
      <c r="AC739" t="s">
        <v>173</v>
      </c>
      <c r="AD739" t="s">
        <v>173</v>
      </c>
      <c r="AE739" t="s">
        <v>173</v>
      </c>
      <c r="AF739" t="s">
        <v>173</v>
      </c>
      <c r="AG739" t="s">
        <v>173</v>
      </c>
      <c r="AH739" t="s">
        <v>175</v>
      </c>
      <c r="AI739" t="s">
        <v>175</v>
      </c>
      <c r="AJ739" t="s">
        <v>173</v>
      </c>
      <c r="AK739" t="s">
        <v>171</v>
      </c>
      <c r="AL739" t="s">
        <v>173</v>
      </c>
      <c r="AM739" t="s">
        <v>173</v>
      </c>
      <c r="AN739" t="s">
        <v>173</v>
      </c>
      <c r="AO739" t="s">
        <v>173</v>
      </c>
      <c r="AP739" t="s">
        <v>173</v>
      </c>
      <c r="AQ739" t="s">
        <v>173</v>
      </c>
      <c r="AR739" t="s">
        <v>173</v>
      </c>
      <c r="AS739" t="s">
        <v>173</v>
      </c>
      <c r="AT739" t="s">
        <v>173</v>
      </c>
      <c r="AU739" t="s">
        <v>173</v>
      </c>
      <c r="AV739" t="s">
        <v>173</v>
      </c>
      <c r="AW739" t="s">
        <v>173</v>
      </c>
      <c r="AX739" t="s">
        <v>193</v>
      </c>
      <c r="AY739" t="s">
        <v>196</v>
      </c>
    </row>
    <row r="740" hidden="1" spans="1:51">
      <c r="A740">
        <v>740</v>
      </c>
      <c r="B740" t="s">
        <v>280</v>
      </c>
      <c r="C740">
        <v>2024</v>
      </c>
      <c r="D740">
        <v>2006</v>
      </c>
      <c r="E740">
        <v>2009</v>
      </c>
      <c r="F740" t="s">
        <v>266</v>
      </c>
      <c r="G740"/>
      <c r="H740" t="s">
        <v>268</v>
      </c>
      <c r="I740"/>
      <c r="J740" t="s">
        <v>265</v>
      </c>
      <c r="K740" t="b">
        <v>0</v>
      </c>
      <c r="L740" t="b">
        <v>0</v>
      </c>
      <c r="M740" t="b">
        <v>0</v>
      </c>
      <c r="N740" t="b">
        <v>0</v>
      </c>
      <c r="O740" t="b">
        <v>0</v>
      </c>
      <c r="P740" t="b">
        <v>0</v>
      </c>
      <c r="Q740" t="b">
        <v>0</v>
      </c>
      <c r="R740" t="b">
        <v>0</v>
      </c>
      <c r="S740" t="b">
        <v>0</v>
      </c>
      <c r="T740" t="b">
        <v>0</v>
      </c>
      <c r="U740" t="b">
        <v>0</v>
      </c>
      <c r="V740" t="b">
        <v>0</v>
      </c>
      <c r="W740" t="b">
        <v>0</v>
      </c>
      <c r="X740" t="b">
        <v>1</v>
      </c>
      <c r="Y740" t="b">
        <v>0</v>
      </c>
      <c r="Z740" t="b">
        <v>0</v>
      </c>
      <c r="AA740" t="b">
        <v>0</v>
      </c>
      <c r="AB740" t="b">
        <v>0</v>
      </c>
      <c r="AC740" t="s">
        <v>173</v>
      </c>
      <c r="AD740" t="s">
        <v>173</v>
      </c>
      <c r="AE740" t="s">
        <v>175</v>
      </c>
      <c r="AF740" t="s">
        <v>173</v>
      </c>
      <c r="AG740" t="s">
        <v>173</v>
      </c>
      <c r="AH740" t="s">
        <v>173</v>
      </c>
      <c r="AI740" t="s">
        <v>173</v>
      </c>
      <c r="AJ740" t="s">
        <v>173</v>
      </c>
      <c r="AK740" t="s">
        <v>173</v>
      </c>
      <c r="AL740" t="s">
        <v>173</v>
      </c>
      <c r="AM740" t="s">
        <v>173</v>
      </c>
      <c r="AN740" t="s">
        <v>173</v>
      </c>
      <c r="AO740" t="s">
        <v>173</v>
      </c>
      <c r="AP740" t="s">
        <v>173</v>
      </c>
      <c r="AQ740" t="s">
        <v>175</v>
      </c>
      <c r="AR740" t="s">
        <v>175</v>
      </c>
      <c r="AS740" t="s">
        <v>173</v>
      </c>
      <c r="AT740" t="s">
        <v>173</v>
      </c>
      <c r="AU740" t="s">
        <v>173</v>
      </c>
      <c r="AV740" t="s">
        <v>177</v>
      </c>
      <c r="AW740" t="s">
        <v>177</v>
      </c>
      <c r="AX740" t="s">
        <v>192</v>
      </c>
      <c r="AY740" t="s">
        <v>195</v>
      </c>
    </row>
    <row r="741" hidden="1" spans="1:51">
      <c r="A741">
        <v>741</v>
      </c>
      <c r="B741" t="s">
        <v>259</v>
      </c>
      <c r="C741" t="s">
        <v>247</v>
      </c>
      <c r="D741">
        <v>1984</v>
      </c>
      <c r="E741">
        <v>2008</v>
      </c>
      <c r="F741" t="s">
        <v>256</v>
      </c>
      <c r="G741" t="s">
        <v>263</v>
      </c>
      <c r="H741" t="s">
        <v>261</v>
      </c>
      <c r="I741"/>
      <c r="J741" t="s">
        <v>252</v>
      </c>
      <c r="K741" t="b">
        <v>0</v>
      </c>
      <c r="L741" t="b">
        <v>0</v>
      </c>
      <c r="M741" t="b">
        <v>0</v>
      </c>
      <c r="N741" t="b">
        <v>0</v>
      </c>
      <c r="O741" t="b">
        <v>0</v>
      </c>
      <c r="P741" t="b">
        <v>0</v>
      </c>
      <c r="Q741" t="b">
        <v>0</v>
      </c>
      <c r="R741" t="b">
        <v>0</v>
      </c>
      <c r="S741" t="b">
        <v>0</v>
      </c>
      <c r="T741" t="b">
        <v>0</v>
      </c>
      <c r="U741" t="b">
        <v>1</v>
      </c>
      <c r="V741" t="b">
        <v>0</v>
      </c>
      <c r="W741" t="b">
        <v>0</v>
      </c>
      <c r="X741" t="b">
        <v>0</v>
      </c>
      <c r="Y741" t="b">
        <v>0</v>
      </c>
      <c r="Z741" t="b">
        <v>1</v>
      </c>
      <c r="AA741" t="b">
        <v>0</v>
      </c>
      <c r="AB741" t="b">
        <v>0</v>
      </c>
      <c r="AC741" t="s">
        <v>171</v>
      </c>
      <c r="AD741" t="s">
        <v>171</v>
      </c>
      <c r="AE741" t="s">
        <v>173</v>
      </c>
      <c r="AF741" t="s">
        <v>173</v>
      </c>
      <c r="AG741" t="s">
        <v>173</v>
      </c>
      <c r="AH741" t="s">
        <v>175</v>
      </c>
      <c r="AI741" t="s">
        <v>171</v>
      </c>
      <c r="AJ741" t="s">
        <v>171</v>
      </c>
      <c r="AK741" t="s">
        <v>171</v>
      </c>
      <c r="AL741" t="s">
        <v>171</v>
      </c>
      <c r="AM741" t="s">
        <v>173</v>
      </c>
      <c r="AN741" t="s">
        <v>173</v>
      </c>
      <c r="AO741" t="s">
        <v>171</v>
      </c>
      <c r="AP741" t="s">
        <v>173</v>
      </c>
      <c r="AQ741" t="s">
        <v>175</v>
      </c>
      <c r="AR741" t="s">
        <v>173</v>
      </c>
      <c r="AS741" t="s">
        <v>173</v>
      </c>
      <c r="AT741" t="s">
        <v>171</v>
      </c>
      <c r="AU741" t="s">
        <v>171</v>
      </c>
      <c r="AV741" t="s">
        <v>173</v>
      </c>
      <c r="AW741" t="s">
        <v>171</v>
      </c>
      <c r="AX741" t="s">
        <v>192</v>
      </c>
      <c r="AY741" t="s">
        <v>196</v>
      </c>
    </row>
    <row r="742" hidden="1" spans="1:51">
      <c r="A742">
        <v>742</v>
      </c>
      <c r="B742" t="s">
        <v>259</v>
      </c>
      <c r="C742" t="s">
        <v>247</v>
      </c>
      <c r="D742">
        <v>1994</v>
      </c>
      <c r="E742">
        <v>1994</v>
      </c>
      <c r="F742" t="s">
        <v>256</v>
      </c>
      <c r="G742" t="s">
        <v>257</v>
      </c>
      <c r="H742" t="s">
        <v>268</v>
      </c>
      <c r="I742"/>
      <c r="J742" t="s">
        <v>252</v>
      </c>
      <c r="K742" t="b">
        <v>0</v>
      </c>
      <c r="L742" t="b">
        <v>0</v>
      </c>
      <c r="M742" t="b">
        <v>0</v>
      </c>
      <c r="N742" t="b">
        <v>0</v>
      </c>
      <c r="O742" t="b">
        <v>0</v>
      </c>
      <c r="P742" t="b">
        <v>0</v>
      </c>
      <c r="Q742" t="b">
        <v>0</v>
      </c>
      <c r="R742" t="b">
        <v>0</v>
      </c>
      <c r="S742" t="b">
        <v>0</v>
      </c>
      <c r="T742" t="b">
        <v>0</v>
      </c>
      <c r="U742" t="b">
        <v>0</v>
      </c>
      <c r="V742" t="b">
        <v>0</v>
      </c>
      <c r="W742" t="b">
        <v>0</v>
      </c>
      <c r="X742" t="b">
        <v>0</v>
      </c>
      <c r="Y742" t="b">
        <v>0</v>
      </c>
      <c r="Z742" t="b">
        <v>1</v>
      </c>
      <c r="AA742" t="b">
        <v>0</v>
      </c>
      <c r="AB742" t="b">
        <v>0</v>
      </c>
      <c r="AC742" t="s">
        <v>175</v>
      </c>
      <c r="AD742" t="s">
        <v>175</v>
      </c>
      <c r="AE742" t="s">
        <v>175</v>
      </c>
      <c r="AF742" t="s">
        <v>175</v>
      </c>
      <c r="AG742" t="s">
        <v>175</v>
      </c>
      <c r="AH742" t="s">
        <v>175</v>
      </c>
      <c r="AI742" t="s">
        <v>175</v>
      </c>
      <c r="AJ742" t="s">
        <v>175</v>
      </c>
      <c r="AK742" t="s">
        <v>175</v>
      </c>
      <c r="AL742" t="s">
        <v>175</v>
      </c>
      <c r="AM742" t="s">
        <v>175</v>
      </c>
      <c r="AN742" t="s">
        <v>175</v>
      </c>
      <c r="AO742" t="s">
        <v>173</v>
      </c>
      <c r="AP742" t="s">
        <v>173</v>
      </c>
      <c r="AQ742" t="s">
        <v>179</v>
      </c>
      <c r="AR742" t="s">
        <v>179</v>
      </c>
      <c r="AS742" t="s">
        <v>177</v>
      </c>
      <c r="AT742" t="s">
        <v>179</v>
      </c>
      <c r="AU742" t="s">
        <v>179</v>
      </c>
      <c r="AV742" t="s">
        <v>179</v>
      </c>
      <c r="AW742" t="s">
        <v>179</v>
      </c>
      <c r="AY742" t="s">
        <v>195</v>
      </c>
    </row>
    <row r="743" hidden="1" spans="1:51">
      <c r="A743">
        <v>743</v>
      </c>
      <c r="B743" t="s">
        <v>288</v>
      </c>
      <c r="C743">
        <v>2024</v>
      </c>
      <c r="D743">
        <v>1992</v>
      </c>
      <c r="E743">
        <v>2010</v>
      </c>
      <c r="F743" t="s">
        <v>256</v>
      </c>
      <c r="G743" t="s">
        <v>257</v>
      </c>
      <c r="H743" t="s">
        <v>247</v>
      </c>
      <c r="I743"/>
      <c r="J743" t="s">
        <v>265</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1</v>
      </c>
      <c r="AC743" t="s">
        <v>173</v>
      </c>
      <c r="AD743" t="s">
        <v>175</v>
      </c>
      <c r="AE743" t="s">
        <v>171</v>
      </c>
      <c r="AF743" t="s">
        <v>173</v>
      </c>
      <c r="AG743" t="s">
        <v>177</v>
      </c>
      <c r="AH743" t="s">
        <v>173</v>
      </c>
      <c r="AI743" t="s">
        <v>173</v>
      </c>
      <c r="AJ743" t="s">
        <v>175</v>
      </c>
      <c r="AK743" t="s">
        <v>171</v>
      </c>
      <c r="AL743" t="s">
        <v>175</v>
      </c>
      <c r="AM743" t="s">
        <v>173</v>
      </c>
      <c r="AN743" t="s">
        <v>173</v>
      </c>
      <c r="AO743" t="s">
        <v>175</v>
      </c>
      <c r="AP743" t="s">
        <v>173</v>
      </c>
      <c r="AQ743" t="s">
        <v>173</v>
      </c>
      <c r="AR743" t="s">
        <v>173</v>
      </c>
      <c r="AS743" t="s">
        <v>173</v>
      </c>
      <c r="AT743" t="s">
        <v>173</v>
      </c>
      <c r="AU743" t="s">
        <v>173</v>
      </c>
      <c r="AV743" t="s">
        <v>175</v>
      </c>
      <c r="AW743" t="s">
        <v>173</v>
      </c>
      <c r="AX743" t="s">
        <v>192</v>
      </c>
      <c r="AY743" t="s">
        <v>195</v>
      </c>
    </row>
    <row r="744" hidden="1" spans="1:51">
      <c r="A744">
        <v>744</v>
      </c>
      <c r="B744" t="s">
        <v>259</v>
      </c>
      <c r="C744">
        <v>2024</v>
      </c>
      <c r="D744">
        <v>2004</v>
      </c>
      <c r="E744">
        <v>2012</v>
      </c>
      <c r="F744" t="s">
        <v>256</v>
      </c>
      <c r="G744" t="s">
        <v>257</v>
      </c>
      <c r="H744" t="s">
        <v>274</v>
      </c>
      <c r="I744"/>
      <c r="J744" t="s">
        <v>252</v>
      </c>
      <c r="K744" t="b">
        <v>0</v>
      </c>
      <c r="L744" t="b">
        <v>0</v>
      </c>
      <c r="M744" t="b">
        <v>0</v>
      </c>
      <c r="N744" t="b">
        <v>0</v>
      </c>
      <c r="O744" t="b">
        <v>0</v>
      </c>
      <c r="P744" t="b">
        <v>0</v>
      </c>
      <c r="Q744" t="b">
        <v>0</v>
      </c>
      <c r="R744" t="b">
        <v>0</v>
      </c>
      <c r="S744" t="b">
        <v>0</v>
      </c>
      <c r="T744" t="b">
        <v>0</v>
      </c>
      <c r="U744" t="b">
        <v>0</v>
      </c>
      <c r="V744" t="b">
        <v>1</v>
      </c>
      <c r="W744" t="b">
        <v>0</v>
      </c>
      <c r="X744" t="b">
        <v>0</v>
      </c>
      <c r="Y744" t="b">
        <v>0</v>
      </c>
      <c r="Z744" t="b">
        <v>0</v>
      </c>
      <c r="AA744" t="b">
        <v>0</v>
      </c>
      <c r="AB744" t="b">
        <v>0</v>
      </c>
      <c r="AC744" t="s">
        <v>173</v>
      </c>
      <c r="AD744" t="s">
        <v>175</v>
      </c>
      <c r="AE744" t="s">
        <v>173</v>
      </c>
      <c r="AF744" t="s">
        <v>173</v>
      </c>
      <c r="AG744" t="s">
        <v>173</v>
      </c>
      <c r="AH744" t="s">
        <v>173</v>
      </c>
      <c r="AI744" t="s">
        <v>173</v>
      </c>
      <c r="AJ744" t="s">
        <v>173</v>
      </c>
      <c r="AK744" t="s">
        <v>173</v>
      </c>
      <c r="AL744" t="s">
        <v>173</v>
      </c>
      <c r="AM744" t="s">
        <v>173</v>
      </c>
      <c r="AN744" t="s">
        <v>173</v>
      </c>
      <c r="AO744" t="s">
        <v>173</v>
      </c>
      <c r="AP744" t="s">
        <v>173</v>
      </c>
      <c r="AQ744" t="s">
        <v>173</v>
      </c>
      <c r="AR744" t="s">
        <v>173</v>
      </c>
      <c r="AS744" t="s">
        <v>173</v>
      </c>
      <c r="AT744" t="s">
        <v>173</v>
      </c>
      <c r="AU744" t="s">
        <v>173</v>
      </c>
      <c r="AV744" t="s">
        <v>173</v>
      </c>
      <c r="AW744" t="s">
        <v>173</v>
      </c>
      <c r="AX744" t="s">
        <v>192</v>
      </c>
      <c r="AY744" t="s">
        <v>197</v>
      </c>
    </row>
    <row r="745" hidden="1" spans="1:51">
      <c r="A745">
        <v>745</v>
      </c>
      <c r="B745" t="s">
        <v>259</v>
      </c>
      <c r="C745">
        <v>2024</v>
      </c>
      <c r="D745">
        <v>1995</v>
      </c>
      <c r="E745">
        <v>2021</v>
      </c>
      <c r="F745" t="s">
        <v>256</v>
      </c>
      <c r="G745" t="s">
        <v>257</v>
      </c>
      <c r="H745" t="s">
        <v>267</v>
      </c>
      <c r="I745"/>
      <c r="J745" t="s">
        <v>252</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1</v>
      </c>
      <c r="AC745" t="s">
        <v>173</v>
      </c>
      <c r="AD745" t="s">
        <v>173</v>
      </c>
      <c r="AE745" t="s">
        <v>175</v>
      </c>
      <c r="AF745" t="s">
        <v>175</v>
      </c>
      <c r="AG745" t="s">
        <v>173</v>
      </c>
      <c r="AH745" t="s">
        <v>173</v>
      </c>
      <c r="AI745" t="s">
        <v>177</v>
      </c>
      <c r="AJ745" t="s">
        <v>175</v>
      </c>
      <c r="AK745" t="s">
        <v>173</v>
      </c>
      <c r="AL745" t="s">
        <v>173</v>
      </c>
      <c r="AM745" t="s">
        <v>171</v>
      </c>
      <c r="AN745" t="s">
        <v>171</v>
      </c>
      <c r="AO745" t="s">
        <v>173</v>
      </c>
      <c r="AP745" t="s">
        <v>173</v>
      </c>
      <c r="AQ745" t="s">
        <v>175</v>
      </c>
      <c r="AR745" t="s">
        <v>171</v>
      </c>
      <c r="AS745" t="s">
        <v>171</v>
      </c>
      <c r="AT745" t="s">
        <v>171</v>
      </c>
      <c r="AU745" t="s">
        <v>171</v>
      </c>
      <c r="AV745" t="s">
        <v>179</v>
      </c>
      <c r="AW745" t="s">
        <v>177</v>
      </c>
      <c r="AX745" t="s">
        <v>192</v>
      </c>
      <c r="AY745" t="s">
        <v>195</v>
      </c>
    </row>
    <row r="746" spans="1:65">
      <c r="A746">
        <v>746</v>
      </c>
      <c r="B746" t="s">
        <v>277</v>
      </c>
      <c r="C746" s="10">
        <v>2024</v>
      </c>
      <c r="D746" s="10">
        <v>2000</v>
      </c>
      <c r="E746" s="10">
        <v>2013</v>
      </c>
      <c r="F746" s="10" t="s">
        <v>241</v>
      </c>
      <c r="G746" s="10" t="s">
        <v>242</v>
      </c>
      <c r="H746" s="10" t="s">
        <v>243</v>
      </c>
      <c r="I746" s="10" t="s">
        <v>278</v>
      </c>
      <c r="J746" s="10" t="s">
        <v>245</v>
      </c>
      <c r="K746" t="b">
        <v>0</v>
      </c>
      <c r="L746" t="b">
        <v>0</v>
      </c>
      <c r="M746" t="b">
        <v>0</v>
      </c>
      <c r="N746" t="b">
        <v>0</v>
      </c>
      <c r="O746" t="b">
        <v>0</v>
      </c>
      <c r="P746" t="b">
        <v>0</v>
      </c>
      <c r="Q746" t="b">
        <v>0</v>
      </c>
      <c r="R746" t="b">
        <v>0</v>
      </c>
      <c r="S746" t="b">
        <v>1</v>
      </c>
      <c r="T746" t="b">
        <v>0</v>
      </c>
      <c r="U746" t="b">
        <v>0</v>
      </c>
      <c r="V746" t="b">
        <v>0</v>
      </c>
      <c r="W746" t="b">
        <v>0</v>
      </c>
      <c r="X746" t="b">
        <v>0</v>
      </c>
      <c r="Y746" t="b">
        <v>0</v>
      </c>
      <c r="Z746" t="b">
        <v>0</v>
      </c>
      <c r="AA746" t="b">
        <v>0</v>
      </c>
      <c r="AB746" t="b">
        <v>0</v>
      </c>
      <c r="AC746" s="10" t="s">
        <v>175</v>
      </c>
      <c r="AD746" t="s">
        <v>175</v>
      </c>
      <c r="AE746" t="s">
        <v>173</v>
      </c>
      <c r="AF746" t="s">
        <v>173</v>
      </c>
      <c r="AG746" t="s">
        <v>173</v>
      </c>
      <c r="AH746" t="s">
        <v>173</v>
      </c>
      <c r="AI746" t="s">
        <v>173</v>
      </c>
      <c r="AJ746" t="s">
        <v>173</v>
      </c>
      <c r="AK746" t="s">
        <v>173</v>
      </c>
      <c r="AL746" t="s">
        <v>173</v>
      </c>
      <c r="AM746" t="s">
        <v>173</v>
      </c>
      <c r="AN746" t="s">
        <v>173</v>
      </c>
      <c r="AO746" t="s">
        <v>173</v>
      </c>
      <c r="AP746" t="s">
        <v>173</v>
      </c>
      <c r="AQ746" t="s">
        <v>173</v>
      </c>
      <c r="AR746" t="s">
        <v>173</v>
      </c>
      <c r="AS746" t="s">
        <v>173</v>
      </c>
      <c r="AT746" t="s">
        <v>173</v>
      </c>
      <c r="AU746" t="s">
        <v>173</v>
      </c>
      <c r="AV746" t="s">
        <v>177</v>
      </c>
      <c r="AW746" t="s">
        <v>177</v>
      </c>
      <c r="AX746" t="s">
        <v>192</v>
      </c>
      <c r="AY746" t="s">
        <v>199</v>
      </c>
      <c r="BE746" t="str">
        <f>IF(AY746="","Unknown",AY746)</f>
        <v>41-45</v>
      </c>
      <c r="BF746" s="11" t="str">
        <f>IF(AZ746="","unknown",AZ746)</f>
        <v>unknown</v>
      </c>
      <c r="BG746" s="11" t="str">
        <f>IF(BA746="","UNKNOWN",BA746)</f>
        <v>UNKNOWN</v>
      </c>
      <c r="BH746" s="11" t="str">
        <f>IF(BB746="","unknown",BB746)</f>
        <v>unknown</v>
      </c>
      <c r="BI746" s="11" t="str">
        <f>IF(BC746="","Unknon",BC746)</f>
        <v>Unknon</v>
      </c>
      <c r="BJ746" s="11" t="str">
        <f>IF(BD746="","Unknown",BD746)</f>
        <v>Unknown</v>
      </c>
      <c r="BK746" s="11">
        <f>VALUE(C746)-VALUE(D746)</f>
        <v>24</v>
      </c>
      <c r="BM746" s="11"/>
    </row>
    <row r="747" hidden="1" spans="1:51">
      <c r="A747">
        <v>747</v>
      </c>
      <c r="B747" t="s">
        <v>259</v>
      </c>
      <c r="C747" t="s">
        <v>247</v>
      </c>
      <c r="D747" t="s">
        <v>247</v>
      </c>
      <c r="E747" t="s">
        <v>247</v>
      </c>
      <c r="F747" t="s">
        <v>262</v>
      </c>
      <c r="G747"/>
      <c r="H747" t="s">
        <v>264</v>
      </c>
      <c r="I747"/>
      <c r="J747" t="s">
        <v>252</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1</v>
      </c>
      <c r="AC747" t="s">
        <v>179</v>
      </c>
      <c r="AD747" t="s">
        <v>179</v>
      </c>
      <c r="AE747" t="s">
        <v>177</v>
      </c>
      <c r="AF747" t="s">
        <v>179</v>
      </c>
      <c r="AG747" t="s">
        <v>177</v>
      </c>
      <c r="AH747" t="s">
        <v>179</v>
      </c>
      <c r="AI747" t="s">
        <v>179</v>
      </c>
      <c r="AJ747" t="s">
        <v>179</v>
      </c>
      <c r="AK747" t="s">
        <v>183</v>
      </c>
      <c r="AL747" t="s">
        <v>183</v>
      </c>
      <c r="AM747" t="s">
        <v>179</v>
      </c>
      <c r="AN747" t="s">
        <v>179</v>
      </c>
      <c r="AO747" t="s">
        <v>179</v>
      </c>
      <c r="AP747" t="s">
        <v>179</v>
      </c>
      <c r="AQ747" t="s">
        <v>179</v>
      </c>
      <c r="AR747" t="s">
        <v>179</v>
      </c>
      <c r="AS747" t="s">
        <v>177</v>
      </c>
      <c r="AT747" t="s">
        <v>179</v>
      </c>
      <c r="AU747" t="s">
        <v>177</v>
      </c>
      <c r="AV747" t="s">
        <v>177</v>
      </c>
      <c r="AW747" t="s">
        <v>179</v>
      </c>
      <c r="AX747" t="s">
        <v>193</v>
      </c>
      <c r="AY747" t="s">
        <v>196</v>
      </c>
    </row>
    <row r="748" hidden="1" spans="1:51">
      <c r="A748">
        <v>748</v>
      </c>
      <c r="B748" t="s">
        <v>259</v>
      </c>
      <c r="C748">
        <v>2024</v>
      </c>
      <c r="D748">
        <v>2012</v>
      </c>
      <c r="E748">
        <v>2012</v>
      </c>
      <c r="F748" t="s">
        <v>256</v>
      </c>
      <c r="G748" t="s">
        <v>314</v>
      </c>
      <c r="H748" t="s">
        <v>267</v>
      </c>
      <c r="I748"/>
      <c r="J748" t="s">
        <v>252</v>
      </c>
      <c r="K748" t="b">
        <v>0</v>
      </c>
      <c r="L748" t="b">
        <v>0</v>
      </c>
      <c r="M748" t="b">
        <v>0</v>
      </c>
      <c r="N748" t="b">
        <v>0</v>
      </c>
      <c r="O748" t="b">
        <v>0</v>
      </c>
      <c r="P748" t="b">
        <v>0</v>
      </c>
      <c r="Q748" t="b">
        <v>0</v>
      </c>
      <c r="R748" t="b">
        <v>0</v>
      </c>
      <c r="S748" t="b">
        <v>0</v>
      </c>
      <c r="T748" t="b">
        <v>0</v>
      </c>
      <c r="U748" t="b">
        <v>1</v>
      </c>
      <c r="V748" t="b">
        <v>1</v>
      </c>
      <c r="W748" t="b">
        <v>0</v>
      </c>
      <c r="X748" t="b">
        <v>0</v>
      </c>
      <c r="Y748" t="b">
        <v>1</v>
      </c>
      <c r="Z748" t="b">
        <v>0</v>
      </c>
      <c r="AA748" t="b">
        <v>0</v>
      </c>
      <c r="AB748" t="b">
        <v>0</v>
      </c>
      <c r="AC748" t="s">
        <v>171</v>
      </c>
      <c r="AD748" t="s">
        <v>175</v>
      </c>
      <c r="AE748" t="s">
        <v>171</v>
      </c>
      <c r="AF748" t="s">
        <v>183</v>
      </c>
      <c r="AG748" t="s">
        <v>173</v>
      </c>
      <c r="AH748" t="s">
        <v>173</v>
      </c>
      <c r="AI748" t="s">
        <v>173</v>
      </c>
      <c r="AJ748" t="s">
        <v>171</v>
      </c>
      <c r="AK748" t="s">
        <v>171</v>
      </c>
      <c r="AL748" t="s">
        <v>173</v>
      </c>
      <c r="AM748" t="s">
        <v>173</v>
      </c>
      <c r="AN748" t="s">
        <v>173</v>
      </c>
      <c r="AO748" t="s">
        <v>177</v>
      </c>
      <c r="AP748" t="s">
        <v>177</v>
      </c>
      <c r="AQ748" t="s">
        <v>183</v>
      </c>
      <c r="AR748" t="s">
        <v>171</v>
      </c>
      <c r="AS748" t="s">
        <v>171</v>
      </c>
      <c r="AT748" t="s">
        <v>171</v>
      </c>
      <c r="AU748" t="s">
        <v>171</v>
      </c>
      <c r="AV748" t="s">
        <v>171</v>
      </c>
      <c r="AW748" t="s">
        <v>171</v>
      </c>
      <c r="AX748" t="s">
        <v>192</v>
      </c>
      <c r="AY748" t="s">
        <v>196</v>
      </c>
    </row>
    <row r="749" hidden="1" spans="1:51">
      <c r="A749">
        <v>749</v>
      </c>
      <c r="B749" t="s">
        <v>272</v>
      </c>
      <c r="C749">
        <v>2024</v>
      </c>
      <c r="D749">
        <v>2017</v>
      </c>
      <c r="E749">
        <v>2017</v>
      </c>
      <c r="F749" t="s">
        <v>256</v>
      </c>
      <c r="G749" t="s">
        <v>257</v>
      </c>
      <c r="H749" t="s">
        <v>267</v>
      </c>
      <c r="I749"/>
      <c r="J749" t="s">
        <v>252</v>
      </c>
      <c r="K749" t="b">
        <v>0</v>
      </c>
      <c r="L749" t="b">
        <v>0</v>
      </c>
      <c r="M749" t="b">
        <v>0</v>
      </c>
      <c r="N749" t="b">
        <v>0</v>
      </c>
      <c r="O749" t="b">
        <v>0</v>
      </c>
      <c r="P749" t="b">
        <v>0</v>
      </c>
      <c r="Q749" t="b">
        <v>0</v>
      </c>
      <c r="R749" t="b">
        <v>0</v>
      </c>
      <c r="S749" t="b">
        <v>0</v>
      </c>
      <c r="T749" t="b">
        <v>0</v>
      </c>
      <c r="U749" t="b">
        <v>1</v>
      </c>
      <c r="V749" t="b">
        <v>1</v>
      </c>
      <c r="W749" t="b">
        <v>0</v>
      </c>
      <c r="X749" t="b">
        <v>0</v>
      </c>
      <c r="Y749" t="b">
        <v>0</v>
      </c>
      <c r="Z749" t="b">
        <v>0</v>
      </c>
      <c r="AA749" t="b">
        <v>0</v>
      </c>
      <c r="AB749" t="b">
        <v>0</v>
      </c>
      <c r="AC749" t="s">
        <v>171</v>
      </c>
      <c r="AD749" t="s">
        <v>171</v>
      </c>
      <c r="AE749" t="s">
        <v>171</v>
      </c>
      <c r="AF749" t="s">
        <v>171</v>
      </c>
      <c r="AG749" t="s">
        <v>171</v>
      </c>
      <c r="AH749" t="s">
        <v>171</v>
      </c>
      <c r="AI749" t="s">
        <v>171</v>
      </c>
      <c r="AJ749" t="s">
        <v>171</v>
      </c>
      <c r="AK749" t="s">
        <v>171</v>
      </c>
      <c r="AL749" t="s">
        <v>171</v>
      </c>
      <c r="AM749" t="s">
        <v>171</v>
      </c>
      <c r="AN749" t="s">
        <v>171</v>
      </c>
      <c r="AO749" t="s">
        <v>171</v>
      </c>
      <c r="AP749" t="s">
        <v>171</v>
      </c>
      <c r="AQ749" t="s">
        <v>171</v>
      </c>
      <c r="AR749" t="s">
        <v>171</v>
      </c>
      <c r="AS749" t="s">
        <v>171</v>
      </c>
      <c r="AT749" t="s">
        <v>171</v>
      </c>
      <c r="AU749" t="s">
        <v>171</v>
      </c>
      <c r="AV749" t="s">
        <v>171</v>
      </c>
      <c r="AW749" t="s">
        <v>171</v>
      </c>
      <c r="AX749" t="s">
        <v>192</v>
      </c>
      <c r="AY749" t="s">
        <v>199</v>
      </c>
    </row>
    <row r="750" hidden="1" spans="1:51">
      <c r="A750">
        <v>750</v>
      </c>
      <c r="B750" t="s">
        <v>259</v>
      </c>
      <c r="C750">
        <v>2024</v>
      </c>
      <c r="D750">
        <v>2005</v>
      </c>
      <c r="E750">
        <v>2005</v>
      </c>
      <c r="F750" t="s">
        <v>256</v>
      </c>
      <c r="G750" t="s">
        <v>279</v>
      </c>
      <c r="H750" t="s">
        <v>258</v>
      </c>
      <c r="I750"/>
      <c r="J750" t="s">
        <v>265</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1</v>
      </c>
      <c r="AC750" t="s">
        <v>173</v>
      </c>
      <c r="AD750" t="s">
        <v>173</v>
      </c>
      <c r="AE750" t="s">
        <v>173</v>
      </c>
      <c r="AF750" t="s">
        <v>173</v>
      </c>
      <c r="AG750" t="s">
        <v>173</v>
      </c>
      <c r="AH750" t="s">
        <v>173</v>
      </c>
      <c r="AI750" t="s">
        <v>173</v>
      </c>
      <c r="AJ750" t="s">
        <v>173</v>
      </c>
      <c r="AK750" t="s">
        <v>173</v>
      </c>
      <c r="AL750" t="s">
        <v>173</v>
      </c>
      <c r="AM750" t="s">
        <v>173</v>
      </c>
      <c r="AN750" t="s">
        <v>173</v>
      </c>
      <c r="AO750" t="s">
        <v>171</v>
      </c>
      <c r="AP750" t="s">
        <v>173</v>
      </c>
      <c r="AQ750" t="s">
        <v>173</v>
      </c>
      <c r="AR750" t="s">
        <v>173</v>
      </c>
      <c r="AS750" t="s">
        <v>173</v>
      </c>
      <c r="AT750" t="s">
        <v>173</v>
      </c>
      <c r="AU750" t="s">
        <v>173</v>
      </c>
      <c r="AV750" t="s">
        <v>173</v>
      </c>
      <c r="AW750" t="s">
        <v>173</v>
      </c>
      <c r="AX750" t="s">
        <v>192</v>
      </c>
      <c r="AY750" t="s">
        <v>195</v>
      </c>
    </row>
    <row r="751" hidden="1" spans="1:51">
      <c r="A751">
        <v>751</v>
      </c>
      <c r="B751" t="s">
        <v>246</v>
      </c>
      <c r="C751" t="s">
        <v>247</v>
      </c>
      <c r="D751" t="s">
        <v>247</v>
      </c>
      <c r="E751" t="s">
        <v>247</v>
      </c>
      <c r="F751" t="s">
        <v>256</v>
      </c>
      <c r="G751" t="s">
        <v>257</v>
      </c>
      <c r="H751" t="s">
        <v>268</v>
      </c>
      <c r="I751"/>
      <c r="J751" t="s">
        <v>265</v>
      </c>
      <c r="K751" t="b">
        <v>0</v>
      </c>
      <c r="L751" t="b">
        <v>0</v>
      </c>
      <c r="M751" t="b">
        <v>0</v>
      </c>
      <c r="N751" t="b">
        <v>0</v>
      </c>
      <c r="O751" t="b">
        <v>0</v>
      </c>
      <c r="P751" t="b">
        <v>0</v>
      </c>
      <c r="Q751" t="b">
        <v>0</v>
      </c>
      <c r="R751" t="b">
        <v>0</v>
      </c>
      <c r="S751" t="b">
        <v>0</v>
      </c>
      <c r="T751" t="b">
        <v>0</v>
      </c>
      <c r="U751" t="b">
        <v>0</v>
      </c>
      <c r="V751" t="b">
        <v>0</v>
      </c>
      <c r="W751" t="b">
        <v>0</v>
      </c>
      <c r="X751" t="b">
        <v>0</v>
      </c>
      <c r="Y751" t="b">
        <v>1</v>
      </c>
      <c r="Z751" t="b">
        <v>0</v>
      </c>
      <c r="AA751" t="b">
        <v>0</v>
      </c>
      <c r="AB751" t="b">
        <v>0</v>
      </c>
      <c r="AC751" t="s">
        <v>173</v>
      </c>
      <c r="AD751" t="s">
        <v>175</v>
      </c>
      <c r="AE751" t="s">
        <v>177</v>
      </c>
      <c r="AF751" t="s">
        <v>183</v>
      </c>
      <c r="AG751" t="s">
        <v>173</v>
      </c>
      <c r="AH751" t="s">
        <v>177</v>
      </c>
      <c r="AI751" t="s">
        <v>179</v>
      </c>
      <c r="AJ751" t="s">
        <v>177</v>
      </c>
      <c r="AK751" t="s">
        <v>177</v>
      </c>
      <c r="AL751" t="s">
        <v>173</v>
      </c>
      <c r="AM751" t="s">
        <v>173</v>
      </c>
      <c r="AN751" t="s">
        <v>177</v>
      </c>
      <c r="AO751" t="s">
        <v>183</v>
      </c>
      <c r="AP751" t="s">
        <v>173</v>
      </c>
      <c r="AQ751" t="s">
        <v>183</v>
      </c>
      <c r="AR751" t="s">
        <v>173</v>
      </c>
      <c r="AS751" t="s">
        <v>173</v>
      </c>
      <c r="AT751" t="s">
        <v>173</v>
      </c>
      <c r="AU751" t="s">
        <v>173</v>
      </c>
      <c r="AV751" t="s">
        <v>181</v>
      </c>
      <c r="AW751" t="s">
        <v>173</v>
      </c>
      <c r="AX751" t="s">
        <v>192</v>
      </c>
      <c r="AY751" t="s">
        <v>197</v>
      </c>
    </row>
    <row r="752" hidden="1" spans="1:51">
      <c r="A752">
        <v>752</v>
      </c>
      <c r="B752" t="s">
        <v>259</v>
      </c>
      <c r="C752">
        <v>2024</v>
      </c>
      <c r="D752">
        <v>1992</v>
      </c>
      <c r="E752">
        <v>1992</v>
      </c>
      <c r="F752" t="s">
        <v>256</v>
      </c>
      <c r="G752" t="s">
        <v>257</v>
      </c>
      <c r="H752" t="s">
        <v>267</v>
      </c>
      <c r="I752"/>
      <c r="J752" t="s">
        <v>290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1</v>
      </c>
      <c r="AC752" t="s">
        <v>173</v>
      </c>
      <c r="AD752" t="s">
        <v>175</v>
      </c>
      <c r="AE752" t="s">
        <v>175</v>
      </c>
      <c r="AF752" t="s">
        <v>173</v>
      </c>
      <c r="AG752" t="s">
        <v>173</v>
      </c>
      <c r="AH752" t="s">
        <v>173</v>
      </c>
      <c r="AI752" t="s">
        <v>173</v>
      </c>
      <c r="AJ752" t="s">
        <v>173</v>
      </c>
      <c r="AK752" t="s">
        <v>171</v>
      </c>
      <c r="AL752" t="s">
        <v>175</v>
      </c>
      <c r="AM752" t="s">
        <v>175</v>
      </c>
      <c r="AN752" t="s">
        <v>173</v>
      </c>
      <c r="AO752" t="s">
        <v>177</v>
      </c>
      <c r="AP752" t="s">
        <v>173</v>
      </c>
      <c r="AQ752" t="s">
        <v>173</v>
      </c>
      <c r="AR752" t="s">
        <v>173</v>
      </c>
      <c r="AS752" t="s">
        <v>173</v>
      </c>
      <c r="AT752" t="s">
        <v>171</v>
      </c>
      <c r="AU752" t="s">
        <v>171</v>
      </c>
      <c r="AV752" t="s">
        <v>171</v>
      </c>
      <c r="AW752" t="s">
        <v>171</v>
      </c>
      <c r="AX752" t="s">
        <v>192</v>
      </c>
      <c r="AY752" t="s">
        <v>195</v>
      </c>
    </row>
    <row r="753" hidden="1" spans="1:51">
      <c r="A753">
        <v>753</v>
      </c>
      <c r="B753" t="s">
        <v>255</v>
      </c>
      <c r="C753">
        <v>2024</v>
      </c>
      <c r="D753">
        <v>2014</v>
      </c>
      <c r="E753">
        <v>2014</v>
      </c>
      <c r="F753" t="s">
        <v>275</v>
      </c>
      <c r="G753"/>
      <c r="H753" t="s">
        <v>250</v>
      </c>
      <c r="I753" t="s">
        <v>254</v>
      </c>
      <c r="J753" t="s">
        <v>265</v>
      </c>
      <c r="K753" t="b">
        <v>0</v>
      </c>
      <c r="L753" t="b">
        <v>0</v>
      </c>
      <c r="M753" t="b">
        <v>0</v>
      </c>
      <c r="N753" t="b">
        <v>1</v>
      </c>
      <c r="O753" t="b">
        <v>0</v>
      </c>
      <c r="P753" t="b">
        <v>0</v>
      </c>
      <c r="Q753" t="b">
        <v>0</v>
      </c>
      <c r="R753" t="b">
        <v>0</v>
      </c>
      <c r="S753" t="b">
        <v>0</v>
      </c>
      <c r="T753" t="b">
        <v>0</v>
      </c>
      <c r="U753" t="b">
        <v>0</v>
      </c>
      <c r="V753" t="b">
        <v>0</v>
      </c>
      <c r="W753" t="b">
        <v>0</v>
      </c>
      <c r="X753" t="b">
        <v>0</v>
      </c>
      <c r="Y753" t="b">
        <v>0</v>
      </c>
      <c r="Z753" t="b">
        <v>0</v>
      </c>
      <c r="AA753" t="b">
        <v>0</v>
      </c>
      <c r="AB753" t="b">
        <v>0</v>
      </c>
      <c r="AC753" t="s">
        <v>175</v>
      </c>
      <c r="AD753" t="s">
        <v>179</v>
      </c>
      <c r="AE753" t="s">
        <v>177</v>
      </c>
      <c r="AF753" t="s">
        <v>179</v>
      </c>
      <c r="AG753" t="s">
        <v>173</v>
      </c>
      <c r="AH753" t="s">
        <v>173</v>
      </c>
      <c r="AI753" t="s">
        <v>179</v>
      </c>
      <c r="AJ753" t="s">
        <v>179</v>
      </c>
      <c r="AK753" t="s">
        <v>179</v>
      </c>
      <c r="AL753" t="s">
        <v>179</v>
      </c>
      <c r="AM753" t="s">
        <v>179</v>
      </c>
      <c r="AN753" t="s">
        <v>179</v>
      </c>
      <c r="AO753" t="s">
        <v>179</v>
      </c>
      <c r="AP753" t="s">
        <v>179</v>
      </c>
      <c r="AQ753" t="s">
        <v>179</v>
      </c>
      <c r="AR753" t="s">
        <v>179</v>
      </c>
      <c r="AS753" t="s">
        <v>179</v>
      </c>
      <c r="AT753" t="s">
        <v>179</v>
      </c>
      <c r="AU753" t="s">
        <v>179</v>
      </c>
      <c r="AV753" t="s">
        <v>179</v>
      </c>
      <c r="AW753" t="s">
        <v>179</v>
      </c>
      <c r="AX753" t="s">
        <v>193</v>
      </c>
      <c r="AY753" t="s">
        <v>195</v>
      </c>
    </row>
    <row r="754" hidden="1" spans="1:55">
      <c r="A754">
        <v>754</v>
      </c>
      <c r="B754" t="s">
        <v>255</v>
      </c>
      <c r="C754">
        <v>2024</v>
      </c>
      <c r="D754">
        <v>2007</v>
      </c>
      <c r="E754" t="s">
        <v>247</v>
      </c>
      <c r="F754" t="s">
        <v>266</v>
      </c>
      <c r="G754"/>
      <c r="H754" t="s">
        <v>264</v>
      </c>
      <c r="I754"/>
      <c r="J754" t="s">
        <v>265</v>
      </c>
      <c r="K754" t="b">
        <v>0</v>
      </c>
      <c r="L754" t="b">
        <v>0</v>
      </c>
      <c r="M754" t="b">
        <v>0</v>
      </c>
      <c r="N754" t="b">
        <v>0</v>
      </c>
      <c r="O754" t="b">
        <v>0</v>
      </c>
      <c r="P754" t="b">
        <v>0</v>
      </c>
      <c r="Q754" t="b">
        <v>0</v>
      </c>
      <c r="R754" t="b">
        <v>0</v>
      </c>
      <c r="S754" t="b">
        <v>0</v>
      </c>
      <c r="T754" t="b">
        <v>0</v>
      </c>
      <c r="U754" t="b">
        <v>0</v>
      </c>
      <c r="V754" t="b">
        <v>0</v>
      </c>
      <c r="W754" t="b">
        <v>0</v>
      </c>
      <c r="X754" t="b">
        <v>1</v>
      </c>
      <c r="Y754" t="b">
        <v>1</v>
      </c>
      <c r="Z754" t="b">
        <v>0</v>
      </c>
      <c r="AA754" t="b">
        <v>0</v>
      </c>
      <c r="AB754" t="b">
        <v>0</v>
      </c>
      <c r="AC754" t="s">
        <v>173</v>
      </c>
      <c r="AD754" t="s">
        <v>175</v>
      </c>
      <c r="AE754" t="s">
        <v>175</v>
      </c>
      <c r="AF754" t="s">
        <v>173</v>
      </c>
      <c r="AG754" t="s">
        <v>173</v>
      </c>
      <c r="AH754" t="s">
        <v>173</v>
      </c>
      <c r="AI754" t="s">
        <v>173</v>
      </c>
      <c r="AJ754" t="s">
        <v>173</v>
      </c>
      <c r="AK754" t="s">
        <v>171</v>
      </c>
      <c r="AL754" t="s">
        <v>171</v>
      </c>
      <c r="AM754" t="s">
        <v>171</v>
      </c>
      <c r="AN754" t="s">
        <v>171</v>
      </c>
      <c r="AO754" t="s">
        <v>175</v>
      </c>
      <c r="AP754" t="s">
        <v>173</v>
      </c>
      <c r="AQ754" t="s">
        <v>173</v>
      </c>
      <c r="AR754" t="s">
        <v>175</v>
      </c>
      <c r="AS754" t="s">
        <v>173</v>
      </c>
      <c r="AT754" t="s">
        <v>173</v>
      </c>
      <c r="AU754" t="s">
        <v>173</v>
      </c>
      <c r="AV754" t="s">
        <v>175</v>
      </c>
      <c r="AW754" t="s">
        <v>175</v>
      </c>
      <c r="AX754" t="s">
        <v>192</v>
      </c>
      <c r="AY754" t="s">
        <v>198</v>
      </c>
      <c r="BC754" t="s">
        <v>208</v>
      </c>
    </row>
    <row r="755" hidden="1" spans="1:51">
      <c r="A755">
        <v>755</v>
      </c>
      <c r="B755" t="s">
        <v>269</v>
      </c>
      <c r="C755">
        <v>2024</v>
      </c>
      <c r="D755">
        <v>2013</v>
      </c>
      <c r="E755">
        <v>2020</v>
      </c>
      <c r="F755" t="s">
        <v>256</v>
      </c>
      <c r="G755" t="s">
        <v>257</v>
      </c>
      <c r="H755" t="s">
        <v>258</v>
      </c>
      <c r="I755"/>
      <c r="J755" t="s">
        <v>252</v>
      </c>
      <c r="K755" t="b">
        <v>0</v>
      </c>
      <c r="L755" t="b">
        <v>0</v>
      </c>
      <c r="M755" t="b">
        <v>0</v>
      </c>
      <c r="N755" t="b">
        <v>1</v>
      </c>
      <c r="O755" t="b">
        <v>0</v>
      </c>
      <c r="P755" t="b">
        <v>0</v>
      </c>
      <c r="Q755" t="b">
        <v>0</v>
      </c>
      <c r="R755" t="b">
        <v>0</v>
      </c>
      <c r="S755" t="b">
        <v>0</v>
      </c>
      <c r="T755" t="b">
        <v>0</v>
      </c>
      <c r="U755" t="b">
        <v>0</v>
      </c>
      <c r="V755" t="b">
        <v>0</v>
      </c>
      <c r="W755" t="b">
        <v>0</v>
      </c>
      <c r="X755" t="b">
        <v>1</v>
      </c>
      <c r="Y755" t="b">
        <v>0</v>
      </c>
      <c r="Z755" t="b">
        <v>1</v>
      </c>
      <c r="AA755" t="b">
        <v>0</v>
      </c>
      <c r="AB755" t="b">
        <v>0</v>
      </c>
      <c r="AC755" t="s">
        <v>171</v>
      </c>
      <c r="AD755" t="s">
        <v>171</v>
      </c>
      <c r="AE755" t="s">
        <v>177</v>
      </c>
      <c r="AF755" t="s">
        <v>175</v>
      </c>
      <c r="AG755" t="s">
        <v>171</v>
      </c>
      <c r="AH755" t="s">
        <v>179</v>
      </c>
      <c r="AI755" t="s">
        <v>175</v>
      </c>
      <c r="AJ755" t="s">
        <v>175</v>
      </c>
      <c r="AK755" t="s">
        <v>171</v>
      </c>
      <c r="AL755" t="s">
        <v>171</v>
      </c>
      <c r="AM755" t="s">
        <v>171</v>
      </c>
      <c r="AN755" t="s">
        <v>179</v>
      </c>
      <c r="AO755" t="s">
        <v>173</v>
      </c>
      <c r="AP755" t="s">
        <v>173</v>
      </c>
      <c r="AQ755" t="s">
        <v>173</v>
      </c>
      <c r="AR755" t="s">
        <v>175</v>
      </c>
      <c r="AS755" t="s">
        <v>173</v>
      </c>
      <c r="AT755" t="s">
        <v>173</v>
      </c>
      <c r="AU755" t="s">
        <v>173</v>
      </c>
      <c r="AV755" t="s">
        <v>173</v>
      </c>
      <c r="AW755" t="s">
        <v>173</v>
      </c>
      <c r="AX755" t="s">
        <v>192</v>
      </c>
      <c r="AY755" t="s">
        <v>203</v>
      </c>
    </row>
    <row r="756" hidden="1" spans="1:51">
      <c r="A756">
        <v>756</v>
      </c>
      <c r="B756" t="s">
        <v>259</v>
      </c>
      <c r="C756" t="s">
        <v>247</v>
      </c>
      <c r="D756">
        <v>1997</v>
      </c>
      <c r="E756">
        <v>2022</v>
      </c>
      <c r="F756" t="s">
        <v>248</v>
      </c>
      <c r="G756" t="s">
        <v>242</v>
      </c>
      <c r="H756" t="s">
        <v>273</v>
      </c>
      <c r="I756"/>
      <c r="J756" t="s">
        <v>252</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1</v>
      </c>
      <c r="AC756" t="s">
        <v>173</v>
      </c>
      <c r="AD756" t="s">
        <v>173</v>
      </c>
      <c r="AE756" t="s">
        <v>173</v>
      </c>
      <c r="AF756" t="s">
        <v>173</v>
      </c>
      <c r="AG756" t="s">
        <v>177</v>
      </c>
      <c r="AH756" t="s">
        <v>173</v>
      </c>
      <c r="AI756" t="s">
        <v>173</v>
      </c>
      <c r="AJ756" t="s">
        <v>171</v>
      </c>
      <c r="AK756" t="s">
        <v>171</v>
      </c>
      <c r="AL756" t="s">
        <v>171</v>
      </c>
      <c r="AM756" t="s">
        <v>171</v>
      </c>
      <c r="AN756" t="s">
        <v>171</v>
      </c>
      <c r="AO756" t="s">
        <v>183</v>
      </c>
      <c r="AP756" t="s">
        <v>183</v>
      </c>
      <c r="AQ756" t="s">
        <v>183</v>
      </c>
      <c r="AR756" t="s">
        <v>173</v>
      </c>
      <c r="AS756" t="s">
        <v>173</v>
      </c>
      <c r="AT756" t="s">
        <v>173</v>
      </c>
      <c r="AU756" t="s">
        <v>173</v>
      </c>
      <c r="AV756" t="s">
        <v>173</v>
      </c>
      <c r="AW756" t="s">
        <v>173</v>
      </c>
      <c r="AY756" t="s">
        <v>195</v>
      </c>
    </row>
    <row r="757" hidden="1" spans="1:51">
      <c r="A757">
        <v>757</v>
      </c>
      <c r="B757" t="s">
        <v>269</v>
      </c>
      <c r="C757">
        <v>2024</v>
      </c>
      <c r="D757">
        <v>2021</v>
      </c>
      <c r="E757">
        <v>2022</v>
      </c>
      <c r="F757" t="s">
        <v>256</v>
      </c>
      <c r="G757" t="s">
        <v>257</v>
      </c>
      <c r="H757" t="s">
        <v>258</v>
      </c>
      <c r="I757"/>
      <c r="J757" t="s">
        <v>265</v>
      </c>
      <c r="K757" t="b">
        <v>0</v>
      </c>
      <c r="L757" t="b">
        <v>0</v>
      </c>
      <c r="M757" t="b">
        <v>0</v>
      </c>
      <c r="N757" t="b">
        <v>0</v>
      </c>
      <c r="O757" t="b">
        <v>0</v>
      </c>
      <c r="P757" t="b">
        <v>0</v>
      </c>
      <c r="Q757" t="b">
        <v>0</v>
      </c>
      <c r="R757" t="b">
        <v>0</v>
      </c>
      <c r="S757" t="b">
        <v>0</v>
      </c>
      <c r="T757" t="b">
        <v>0</v>
      </c>
      <c r="U757" t="b">
        <v>0</v>
      </c>
      <c r="V757" t="b">
        <v>0</v>
      </c>
      <c r="W757" t="b">
        <v>0</v>
      </c>
      <c r="X757" t="b">
        <v>0</v>
      </c>
      <c r="Y757" t="b">
        <v>0</v>
      </c>
      <c r="Z757" t="b">
        <v>0</v>
      </c>
      <c r="AA757" t="b">
        <v>0</v>
      </c>
      <c r="AB757" t="b">
        <v>1</v>
      </c>
      <c r="AC757" t="s">
        <v>175</v>
      </c>
      <c r="AD757" t="s">
        <v>175</v>
      </c>
      <c r="AE757" t="s">
        <v>173</v>
      </c>
      <c r="AF757" t="s">
        <v>173</v>
      </c>
      <c r="AG757" t="s">
        <v>173</v>
      </c>
      <c r="AH757" t="s">
        <v>173</v>
      </c>
      <c r="AI757" t="s">
        <v>173</v>
      </c>
      <c r="AJ757" t="s">
        <v>173</v>
      </c>
      <c r="AK757" t="s">
        <v>173</v>
      </c>
      <c r="AL757" t="s">
        <v>173</v>
      </c>
      <c r="AM757" t="s">
        <v>175</v>
      </c>
      <c r="AN757" t="s">
        <v>175</v>
      </c>
      <c r="AO757" t="s">
        <v>175</v>
      </c>
      <c r="AP757" t="s">
        <v>173</v>
      </c>
      <c r="AQ757" t="s">
        <v>175</v>
      </c>
      <c r="AR757" t="s">
        <v>173</v>
      </c>
      <c r="AS757" t="s">
        <v>173</v>
      </c>
      <c r="AT757" t="s">
        <v>173</v>
      </c>
      <c r="AU757" t="s">
        <v>173</v>
      </c>
      <c r="AV757" t="s">
        <v>173</v>
      </c>
      <c r="AW757" t="s">
        <v>173</v>
      </c>
      <c r="AX757" t="s">
        <v>192</v>
      </c>
      <c r="AY757" t="s">
        <v>199</v>
      </c>
    </row>
    <row r="758" hidden="1" spans="1:51">
      <c r="A758">
        <v>758</v>
      </c>
      <c r="B758" t="s">
        <v>259</v>
      </c>
      <c r="C758">
        <v>2024</v>
      </c>
      <c r="D758">
        <v>1979</v>
      </c>
      <c r="E758">
        <v>2009</v>
      </c>
      <c r="F758" t="s">
        <v>248</v>
      </c>
      <c r="G758" t="s">
        <v>242</v>
      </c>
      <c r="H758" t="s">
        <v>274</v>
      </c>
      <c r="I758"/>
      <c r="J758" t="s">
        <v>252</v>
      </c>
      <c r="K758" t="b">
        <v>0</v>
      </c>
      <c r="L758" t="b">
        <v>0</v>
      </c>
      <c r="M758" t="b">
        <v>0</v>
      </c>
      <c r="N758" t="b">
        <v>0</v>
      </c>
      <c r="O758" t="b">
        <v>0</v>
      </c>
      <c r="P758" t="b">
        <v>0</v>
      </c>
      <c r="Q758" t="b">
        <v>0</v>
      </c>
      <c r="R758" t="b">
        <v>0</v>
      </c>
      <c r="S758" t="b">
        <v>0</v>
      </c>
      <c r="T758" t="b">
        <v>0</v>
      </c>
      <c r="U758" t="b">
        <v>0</v>
      </c>
      <c r="V758" t="b">
        <v>0</v>
      </c>
      <c r="W758" t="b">
        <v>0</v>
      </c>
      <c r="X758" t="b">
        <v>0</v>
      </c>
      <c r="Y758" t="b">
        <v>0</v>
      </c>
      <c r="Z758" t="b">
        <v>1</v>
      </c>
      <c r="AA758" t="b">
        <v>0</v>
      </c>
      <c r="AB758" t="b">
        <v>0</v>
      </c>
      <c r="AC758" t="s">
        <v>171</v>
      </c>
      <c r="AD758" t="s">
        <v>173</v>
      </c>
      <c r="AE758" t="s">
        <v>173</v>
      </c>
      <c r="AF758" t="s">
        <v>173</v>
      </c>
      <c r="AG758" t="s">
        <v>173</v>
      </c>
      <c r="AH758" t="s">
        <v>173</v>
      </c>
      <c r="AI758" t="s">
        <v>173</v>
      </c>
      <c r="AJ758" t="s">
        <v>173</v>
      </c>
      <c r="AK758" t="s">
        <v>173</v>
      </c>
      <c r="AL758" t="s">
        <v>171</v>
      </c>
      <c r="AM758" t="s">
        <v>171</v>
      </c>
      <c r="AN758" t="s">
        <v>171</v>
      </c>
      <c r="AO758" t="s">
        <v>171</v>
      </c>
      <c r="AP758" t="s">
        <v>171</v>
      </c>
      <c r="AQ758" t="s">
        <v>171</v>
      </c>
      <c r="AR758" t="s">
        <v>173</v>
      </c>
      <c r="AS758" t="s">
        <v>171</v>
      </c>
      <c r="AT758" t="s">
        <v>173</v>
      </c>
      <c r="AU758" t="s">
        <v>173</v>
      </c>
      <c r="AV758" t="s">
        <v>173</v>
      </c>
      <c r="AW758" t="s">
        <v>171</v>
      </c>
      <c r="AX758" t="s">
        <v>192</v>
      </c>
      <c r="AY758" t="s">
        <v>196</v>
      </c>
    </row>
    <row r="759" hidden="1" spans="1:51">
      <c r="A759">
        <v>759</v>
      </c>
      <c r="B759" t="s">
        <v>259</v>
      </c>
      <c r="C759">
        <v>2024</v>
      </c>
      <c r="D759">
        <v>1984</v>
      </c>
      <c r="E759">
        <v>2000</v>
      </c>
      <c r="F759" t="s">
        <v>260</v>
      </c>
      <c r="G759"/>
      <c r="H759" t="s">
        <v>264</v>
      </c>
      <c r="I759"/>
      <c r="J759" t="s">
        <v>252</v>
      </c>
      <c r="K759" t="b">
        <v>0</v>
      </c>
      <c r="L759" t="b">
        <v>0</v>
      </c>
      <c r="M759" t="b">
        <v>0</v>
      </c>
      <c r="N759" t="b">
        <v>1</v>
      </c>
      <c r="O759" t="b">
        <v>1</v>
      </c>
      <c r="P759" t="b">
        <v>0</v>
      </c>
      <c r="Q759" t="b">
        <v>0</v>
      </c>
      <c r="R759" t="b">
        <v>0</v>
      </c>
      <c r="S759" t="b">
        <v>0</v>
      </c>
      <c r="T759" t="b">
        <v>0</v>
      </c>
      <c r="U759" t="b">
        <v>0</v>
      </c>
      <c r="V759" t="b">
        <v>0</v>
      </c>
      <c r="W759" t="b">
        <v>0</v>
      </c>
      <c r="X759" t="b">
        <v>0</v>
      </c>
      <c r="Y759" t="b">
        <v>0</v>
      </c>
      <c r="Z759" t="b">
        <v>1</v>
      </c>
      <c r="AA759" t="b">
        <v>0</v>
      </c>
      <c r="AB759" t="b">
        <v>0</v>
      </c>
      <c r="AC759" t="s">
        <v>173</v>
      </c>
      <c r="AD759" t="s">
        <v>173</v>
      </c>
      <c r="AE759" t="s">
        <v>173</v>
      </c>
      <c r="AF759" t="s">
        <v>175</v>
      </c>
      <c r="AG759" t="s">
        <v>177</v>
      </c>
      <c r="AH759" t="s">
        <v>175</v>
      </c>
      <c r="AI759" t="s">
        <v>177</v>
      </c>
      <c r="AJ759" t="s">
        <v>175</v>
      </c>
      <c r="AK759" t="s">
        <v>173</v>
      </c>
      <c r="AL759" t="s">
        <v>173</v>
      </c>
      <c r="AM759" t="s">
        <v>175</v>
      </c>
      <c r="AN759" t="s">
        <v>173</v>
      </c>
      <c r="AO759" t="s">
        <v>177</v>
      </c>
      <c r="AP759" t="s">
        <v>175</v>
      </c>
      <c r="AQ759" t="s">
        <v>177</v>
      </c>
      <c r="AR759" t="s">
        <v>173</v>
      </c>
      <c r="AS759" t="s">
        <v>173</v>
      </c>
      <c r="AT759" t="s">
        <v>173</v>
      </c>
      <c r="AU759" t="s">
        <v>173</v>
      </c>
      <c r="AV759" t="s">
        <v>179</v>
      </c>
      <c r="AW759" t="s">
        <v>175</v>
      </c>
      <c r="AX759" t="s">
        <v>193</v>
      </c>
      <c r="AY759" t="s">
        <v>196</v>
      </c>
    </row>
    <row r="760" hidden="1" spans="1:51">
      <c r="A760">
        <v>760</v>
      </c>
      <c r="B760" t="s">
        <v>259</v>
      </c>
      <c r="C760">
        <v>2024</v>
      </c>
      <c r="D760">
        <v>1985</v>
      </c>
      <c r="E760">
        <v>2008</v>
      </c>
      <c r="F760" t="s">
        <v>260</v>
      </c>
      <c r="G760"/>
      <c r="H760" t="s">
        <v>268</v>
      </c>
      <c r="I760"/>
      <c r="J760" t="s">
        <v>252</v>
      </c>
      <c r="K760" t="b">
        <v>0</v>
      </c>
      <c r="L760" t="b">
        <v>0</v>
      </c>
      <c r="M760" t="b">
        <v>0</v>
      </c>
      <c r="N760" t="b">
        <v>0</v>
      </c>
      <c r="O760" t="b">
        <v>0</v>
      </c>
      <c r="P760" t="b">
        <v>0</v>
      </c>
      <c r="Q760" t="b">
        <v>0</v>
      </c>
      <c r="R760" t="b">
        <v>0</v>
      </c>
      <c r="S760" t="b">
        <v>0</v>
      </c>
      <c r="T760" t="b">
        <v>0</v>
      </c>
      <c r="U760" t="b">
        <v>0</v>
      </c>
      <c r="V760" t="b">
        <v>0</v>
      </c>
      <c r="W760" t="b">
        <v>0</v>
      </c>
      <c r="X760" t="b">
        <v>0</v>
      </c>
      <c r="Y760" t="b">
        <v>0</v>
      </c>
      <c r="Z760" t="b">
        <v>1</v>
      </c>
      <c r="AA760" t="b">
        <v>0</v>
      </c>
      <c r="AB760" t="b">
        <v>0</v>
      </c>
      <c r="AC760" t="s">
        <v>173</v>
      </c>
      <c r="AD760" t="s">
        <v>171</v>
      </c>
      <c r="AE760" t="s">
        <v>177</v>
      </c>
      <c r="AF760" t="s">
        <v>175</v>
      </c>
      <c r="AG760" t="s">
        <v>173</v>
      </c>
      <c r="AH760" t="s">
        <v>177</v>
      </c>
      <c r="AI760" t="s">
        <v>177</v>
      </c>
      <c r="AJ760" t="s">
        <v>175</v>
      </c>
      <c r="AK760" t="s">
        <v>179</v>
      </c>
      <c r="AL760" t="s">
        <v>175</v>
      </c>
      <c r="AM760" t="s">
        <v>173</v>
      </c>
      <c r="AN760" t="s">
        <v>177</v>
      </c>
      <c r="AO760" t="s">
        <v>179</v>
      </c>
      <c r="AP760" t="s">
        <v>183</v>
      </c>
      <c r="AQ760" t="s">
        <v>177</v>
      </c>
      <c r="AR760" t="s">
        <v>177</v>
      </c>
      <c r="AS760" t="s">
        <v>173</v>
      </c>
      <c r="AT760" t="s">
        <v>179</v>
      </c>
      <c r="AU760" t="s">
        <v>175</v>
      </c>
      <c r="AV760" t="s">
        <v>177</v>
      </c>
      <c r="AW760" t="s">
        <v>175</v>
      </c>
      <c r="AX760" t="s">
        <v>193</v>
      </c>
      <c r="AY760" t="s">
        <v>196</v>
      </c>
    </row>
    <row r="761" hidden="1" spans="1:51">
      <c r="A761">
        <v>761</v>
      </c>
      <c r="B761" t="s">
        <v>246</v>
      </c>
      <c r="C761">
        <v>2024</v>
      </c>
      <c r="D761">
        <v>1990</v>
      </c>
      <c r="E761">
        <v>2007</v>
      </c>
      <c r="F761" t="s">
        <v>256</v>
      </c>
      <c r="G761" t="s">
        <v>263</v>
      </c>
      <c r="H761" t="s">
        <v>264</v>
      </c>
      <c r="I761"/>
      <c r="J761" t="s">
        <v>265</v>
      </c>
      <c r="K761" t="b">
        <v>0</v>
      </c>
      <c r="L761" t="b">
        <v>0</v>
      </c>
      <c r="M761" t="b">
        <v>0</v>
      </c>
      <c r="N761" t="b">
        <v>1</v>
      </c>
      <c r="O761" t="b">
        <v>1</v>
      </c>
      <c r="P761" t="b">
        <v>0</v>
      </c>
      <c r="Q761" t="b">
        <v>0</v>
      </c>
      <c r="R761" t="b">
        <v>0</v>
      </c>
      <c r="S761" t="b">
        <v>0</v>
      </c>
      <c r="T761" t="b">
        <v>0</v>
      </c>
      <c r="U761" t="b">
        <v>0</v>
      </c>
      <c r="V761" t="b">
        <v>0</v>
      </c>
      <c r="W761" t="b">
        <v>0</v>
      </c>
      <c r="X761" t="b">
        <v>0</v>
      </c>
      <c r="Y761" t="b">
        <v>0</v>
      </c>
      <c r="Z761" t="b">
        <v>0</v>
      </c>
      <c r="AA761" t="b">
        <v>0</v>
      </c>
      <c r="AB761" t="b">
        <v>0</v>
      </c>
      <c r="AC761" t="s">
        <v>173</v>
      </c>
      <c r="AD761" t="s">
        <v>173</v>
      </c>
      <c r="AE761" t="s">
        <v>177</v>
      </c>
      <c r="AF761" t="s">
        <v>177</v>
      </c>
      <c r="AG761" t="s">
        <v>173</v>
      </c>
      <c r="AH761" t="s">
        <v>173</v>
      </c>
      <c r="AI761" t="s">
        <v>177</v>
      </c>
      <c r="AJ761" t="s">
        <v>177</v>
      </c>
      <c r="AK761" t="s">
        <v>173</v>
      </c>
      <c r="AL761" t="s">
        <v>173</v>
      </c>
      <c r="AM761" t="s">
        <v>173</v>
      </c>
      <c r="AN761" t="s">
        <v>173</v>
      </c>
      <c r="AO761" t="s">
        <v>175</v>
      </c>
      <c r="AP761" t="s">
        <v>173</v>
      </c>
      <c r="AQ761" t="s">
        <v>173</v>
      </c>
      <c r="AR761" t="s">
        <v>173</v>
      </c>
      <c r="AS761" t="s">
        <v>177</v>
      </c>
      <c r="AT761" t="s">
        <v>173</v>
      </c>
      <c r="AU761" t="s">
        <v>173</v>
      </c>
      <c r="AV761" t="s">
        <v>173</v>
      </c>
      <c r="AW761" t="s">
        <v>173</v>
      </c>
      <c r="AX761" t="s">
        <v>192</v>
      </c>
      <c r="AY761" t="s">
        <v>197</v>
      </c>
    </row>
    <row r="762" hidden="1" spans="1:51">
      <c r="A762">
        <v>762</v>
      </c>
      <c r="B762" t="s">
        <v>288</v>
      </c>
      <c r="C762" t="s">
        <v>247</v>
      </c>
      <c r="D762">
        <v>2020</v>
      </c>
      <c r="E762">
        <v>2021</v>
      </c>
      <c r="F762" t="s">
        <v>256</v>
      </c>
      <c r="G762" t="s">
        <v>279</v>
      </c>
      <c r="H762" t="s">
        <v>264</v>
      </c>
      <c r="I762"/>
      <c r="J762" t="s">
        <v>290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1</v>
      </c>
      <c r="AC762" t="s">
        <v>173</v>
      </c>
      <c r="AD762" t="s">
        <v>175</v>
      </c>
      <c r="AE762" t="s">
        <v>171</v>
      </c>
      <c r="AF762" t="s">
        <v>171</v>
      </c>
      <c r="AG762" t="s">
        <v>171</v>
      </c>
      <c r="AH762" t="s">
        <v>171</v>
      </c>
      <c r="AI762" t="s">
        <v>171</v>
      </c>
      <c r="AJ762" t="s">
        <v>171</v>
      </c>
      <c r="AK762" t="s">
        <v>171</v>
      </c>
      <c r="AL762" t="s">
        <v>171</v>
      </c>
      <c r="AM762" t="s">
        <v>171</v>
      </c>
      <c r="AN762" t="s">
        <v>171</v>
      </c>
      <c r="AO762" t="s">
        <v>171</v>
      </c>
      <c r="AP762" t="s">
        <v>171</v>
      </c>
      <c r="AQ762" t="s">
        <v>175</v>
      </c>
      <c r="AR762" t="s">
        <v>171</v>
      </c>
      <c r="AS762" t="s">
        <v>173</v>
      </c>
      <c r="AT762" t="s">
        <v>171</v>
      </c>
      <c r="AU762" t="s">
        <v>171</v>
      </c>
      <c r="AV762" t="s">
        <v>171</v>
      </c>
      <c r="AW762" t="s">
        <v>171</v>
      </c>
      <c r="AX762" t="s">
        <v>192</v>
      </c>
      <c r="AY762" t="s">
        <v>197</v>
      </c>
    </row>
    <row r="763" hidden="1" spans="1:51">
      <c r="A763">
        <v>763</v>
      </c>
      <c r="B763" t="s">
        <v>282</v>
      </c>
      <c r="C763">
        <v>2024</v>
      </c>
      <c r="D763" t="s">
        <v>247</v>
      </c>
      <c r="E763" t="s">
        <v>247</v>
      </c>
      <c r="F763" t="s">
        <v>256</v>
      </c>
      <c r="G763" t="s">
        <v>263</v>
      </c>
      <c r="H763" t="s">
        <v>264</v>
      </c>
      <c r="I763"/>
      <c r="J763" t="s">
        <v>265</v>
      </c>
      <c r="K763" t="b">
        <v>0</v>
      </c>
      <c r="L763" t="b">
        <v>0</v>
      </c>
      <c r="M763" t="b">
        <v>0</v>
      </c>
      <c r="N763" t="b">
        <v>0</v>
      </c>
      <c r="O763" t="b">
        <v>0</v>
      </c>
      <c r="P763" t="b">
        <v>0</v>
      </c>
      <c r="Q763" t="b">
        <v>0</v>
      </c>
      <c r="R763" t="b">
        <v>0</v>
      </c>
      <c r="S763" t="b">
        <v>0</v>
      </c>
      <c r="T763" t="b">
        <v>0</v>
      </c>
      <c r="U763" t="b">
        <v>1</v>
      </c>
      <c r="V763" t="b">
        <v>0</v>
      </c>
      <c r="W763" t="b">
        <v>0</v>
      </c>
      <c r="X763" t="b">
        <v>0</v>
      </c>
      <c r="Y763" t="b">
        <v>0</v>
      </c>
      <c r="Z763" t="b">
        <v>0</v>
      </c>
      <c r="AA763" t="b">
        <v>0</v>
      </c>
      <c r="AB763" t="b">
        <v>0</v>
      </c>
      <c r="AC763" t="s">
        <v>173</v>
      </c>
      <c r="AD763" t="s">
        <v>173</v>
      </c>
      <c r="AE763" t="s">
        <v>173</v>
      </c>
      <c r="AF763" t="s">
        <v>173</v>
      </c>
      <c r="AG763" t="s">
        <v>177</v>
      </c>
      <c r="AH763" t="s">
        <v>173</v>
      </c>
      <c r="AI763" t="s">
        <v>177</v>
      </c>
      <c r="AJ763" t="s">
        <v>173</v>
      </c>
      <c r="AK763" t="s">
        <v>177</v>
      </c>
      <c r="AL763" t="s">
        <v>177</v>
      </c>
      <c r="AM763" t="s">
        <v>173</v>
      </c>
      <c r="AN763" t="s">
        <v>173</v>
      </c>
      <c r="AO763" t="s">
        <v>173</v>
      </c>
      <c r="AP763" t="s">
        <v>173</v>
      </c>
      <c r="AQ763" t="s">
        <v>179</v>
      </c>
      <c r="AR763" t="s">
        <v>179</v>
      </c>
      <c r="AS763" t="s">
        <v>179</v>
      </c>
      <c r="AT763" t="s">
        <v>179</v>
      </c>
      <c r="AU763" t="s">
        <v>179</v>
      </c>
      <c r="AV763" t="s">
        <v>173</v>
      </c>
      <c r="AW763" t="s">
        <v>173</v>
      </c>
      <c r="AX763" t="s">
        <v>192</v>
      </c>
      <c r="AY763" t="s">
        <v>197</v>
      </c>
    </row>
    <row r="764" hidden="1" spans="1:51">
      <c r="A764">
        <v>764</v>
      </c>
      <c r="B764" t="s">
        <v>269</v>
      </c>
      <c r="C764">
        <v>2016</v>
      </c>
      <c r="D764">
        <v>2015</v>
      </c>
      <c r="E764">
        <v>2015</v>
      </c>
      <c r="F764" t="s">
        <v>256</v>
      </c>
      <c r="G764" t="s">
        <v>257</v>
      </c>
      <c r="H764" t="s">
        <v>274</v>
      </c>
      <c r="I764"/>
      <c r="J764" t="s">
        <v>265</v>
      </c>
      <c r="K764" t="b">
        <v>0</v>
      </c>
      <c r="L764" t="b">
        <v>1</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s">
        <v>177</v>
      </c>
      <c r="AD764" t="s">
        <v>175</v>
      </c>
      <c r="AE764" t="s">
        <v>173</v>
      </c>
      <c r="AF764" t="s">
        <v>173</v>
      </c>
      <c r="AG764" t="s">
        <v>173</v>
      </c>
      <c r="AH764" t="s">
        <v>173</v>
      </c>
      <c r="AI764" t="s">
        <v>173</v>
      </c>
      <c r="AJ764" t="s">
        <v>173</v>
      </c>
      <c r="AK764" t="s">
        <v>173</v>
      </c>
      <c r="AL764" t="s">
        <v>173</v>
      </c>
      <c r="AM764" t="s">
        <v>173</v>
      </c>
      <c r="AN764" t="s">
        <v>173</v>
      </c>
      <c r="AO764" t="s">
        <v>177</v>
      </c>
      <c r="AP764" t="s">
        <v>175</v>
      </c>
      <c r="AQ764" t="s">
        <v>175</v>
      </c>
      <c r="AR764" t="s">
        <v>175</v>
      </c>
      <c r="AS764" t="s">
        <v>175</v>
      </c>
      <c r="AT764" t="s">
        <v>173</v>
      </c>
      <c r="AU764" t="s">
        <v>173</v>
      </c>
      <c r="AV764" t="s">
        <v>175</v>
      </c>
      <c r="AW764" t="s">
        <v>173</v>
      </c>
      <c r="AX764" t="s">
        <v>192</v>
      </c>
      <c r="AY764" t="s">
        <v>199</v>
      </c>
    </row>
    <row r="765" hidden="1" spans="1:51">
      <c r="A765">
        <v>765</v>
      </c>
      <c r="B765" t="s">
        <v>259</v>
      </c>
      <c r="C765">
        <v>2024</v>
      </c>
      <c r="D765">
        <v>2006</v>
      </c>
      <c r="E765">
        <v>2014</v>
      </c>
      <c r="F765" t="s">
        <v>266</v>
      </c>
      <c r="G765"/>
      <c r="H765" t="s">
        <v>258</v>
      </c>
      <c r="I765"/>
      <c r="J765" t="s">
        <v>265</v>
      </c>
      <c r="K765" t="b">
        <v>0</v>
      </c>
      <c r="L765" t="b">
        <v>0</v>
      </c>
      <c r="M765" t="b">
        <v>0</v>
      </c>
      <c r="N765" t="b">
        <v>0</v>
      </c>
      <c r="O765" t="b">
        <v>0</v>
      </c>
      <c r="P765" t="b">
        <v>0</v>
      </c>
      <c r="Q765" t="b">
        <v>0</v>
      </c>
      <c r="R765" t="b">
        <v>0</v>
      </c>
      <c r="S765" t="b">
        <v>0</v>
      </c>
      <c r="T765" t="b">
        <v>0</v>
      </c>
      <c r="U765" t="b">
        <v>0</v>
      </c>
      <c r="V765" t="b">
        <v>0</v>
      </c>
      <c r="W765" t="b">
        <v>0</v>
      </c>
      <c r="X765" t="b">
        <v>0</v>
      </c>
      <c r="Y765" t="b">
        <v>0</v>
      </c>
      <c r="Z765" t="b">
        <v>1</v>
      </c>
      <c r="AA765" t="b">
        <v>0</v>
      </c>
      <c r="AB765" t="b">
        <v>0</v>
      </c>
      <c r="AC765" t="s">
        <v>171</v>
      </c>
      <c r="AD765" t="s">
        <v>171</v>
      </c>
      <c r="AE765" t="s">
        <v>171</v>
      </c>
      <c r="AF765" t="s">
        <v>171</v>
      </c>
      <c r="AG765" t="s">
        <v>171</v>
      </c>
      <c r="AH765" t="s">
        <v>171</v>
      </c>
      <c r="AI765" t="s">
        <v>171</v>
      </c>
      <c r="AJ765" t="s">
        <v>171</v>
      </c>
      <c r="AK765" t="s">
        <v>171</v>
      </c>
      <c r="AL765" t="s">
        <v>171</v>
      </c>
      <c r="AM765" t="s">
        <v>171</v>
      </c>
      <c r="AN765" t="s">
        <v>171</v>
      </c>
      <c r="AO765" t="s">
        <v>171</v>
      </c>
      <c r="AP765" t="s">
        <v>171</v>
      </c>
      <c r="AQ765" t="s">
        <v>171</v>
      </c>
      <c r="AR765" t="s">
        <v>171</v>
      </c>
      <c r="AS765" t="s">
        <v>171</v>
      </c>
      <c r="AT765" t="s">
        <v>171</v>
      </c>
      <c r="AU765" t="s">
        <v>171</v>
      </c>
      <c r="AV765" t="s">
        <v>171</v>
      </c>
      <c r="AW765" t="s">
        <v>171</v>
      </c>
      <c r="AX765" t="s">
        <v>192</v>
      </c>
      <c r="AY765" t="s">
        <v>196</v>
      </c>
    </row>
    <row r="766" hidden="1" spans="1:51">
      <c r="A766">
        <v>766</v>
      </c>
      <c r="B766" t="s">
        <v>259</v>
      </c>
      <c r="C766" t="s">
        <v>247</v>
      </c>
      <c r="D766">
        <v>1987</v>
      </c>
      <c r="E766">
        <v>2004</v>
      </c>
      <c r="F766" t="s">
        <v>256</v>
      </c>
      <c r="G766" t="s">
        <v>257</v>
      </c>
      <c r="H766" t="s">
        <v>273</v>
      </c>
      <c r="I766"/>
      <c r="J766" t="s">
        <v>252</v>
      </c>
      <c r="K766" t="b">
        <v>0</v>
      </c>
      <c r="L766" t="b">
        <v>0</v>
      </c>
      <c r="M766" t="b">
        <v>0</v>
      </c>
      <c r="N766" t="b">
        <v>0</v>
      </c>
      <c r="O766" t="b">
        <v>0</v>
      </c>
      <c r="P766" t="b">
        <v>0</v>
      </c>
      <c r="Q766" t="b">
        <v>0</v>
      </c>
      <c r="R766" t="b">
        <v>0</v>
      </c>
      <c r="S766" t="b">
        <v>0</v>
      </c>
      <c r="T766" t="b">
        <v>0</v>
      </c>
      <c r="U766" t="b">
        <v>0</v>
      </c>
      <c r="V766" t="b">
        <v>0</v>
      </c>
      <c r="W766" t="b">
        <v>0</v>
      </c>
      <c r="X766" t="b">
        <v>0</v>
      </c>
      <c r="Y766" t="b">
        <v>0</v>
      </c>
      <c r="Z766" t="b">
        <v>1</v>
      </c>
      <c r="AA766" t="b">
        <v>0</v>
      </c>
      <c r="AB766" t="b">
        <v>0</v>
      </c>
      <c r="AC766" t="s">
        <v>173</v>
      </c>
      <c r="AD766" t="s">
        <v>173</v>
      </c>
      <c r="AE766" t="s">
        <v>175</v>
      </c>
      <c r="AF766" t="s">
        <v>175</v>
      </c>
      <c r="AG766" t="s">
        <v>173</v>
      </c>
      <c r="AH766" t="s">
        <v>177</v>
      </c>
      <c r="AI766" t="s">
        <v>175</v>
      </c>
      <c r="AJ766" t="s">
        <v>175</v>
      </c>
      <c r="AK766" t="s">
        <v>173</v>
      </c>
      <c r="AL766" t="s">
        <v>173</v>
      </c>
      <c r="AM766" t="s">
        <v>173</v>
      </c>
      <c r="AN766" t="s">
        <v>173</v>
      </c>
      <c r="AO766" t="s">
        <v>175</v>
      </c>
      <c r="AP766" t="s">
        <v>175</v>
      </c>
      <c r="AQ766" t="s">
        <v>173</v>
      </c>
      <c r="AR766" t="s">
        <v>173</v>
      </c>
      <c r="AS766" t="s">
        <v>173</v>
      </c>
      <c r="AT766" t="s">
        <v>173</v>
      </c>
      <c r="AU766" t="s">
        <v>175</v>
      </c>
      <c r="AV766" t="s">
        <v>173</v>
      </c>
      <c r="AW766" t="s">
        <v>173</v>
      </c>
      <c r="AX766" t="s">
        <v>192</v>
      </c>
      <c r="AY766" t="s">
        <v>197</v>
      </c>
    </row>
    <row r="767" hidden="1" spans="1:51">
      <c r="A767">
        <v>767</v>
      </c>
      <c r="B767" t="s">
        <v>259</v>
      </c>
      <c r="C767">
        <v>2024</v>
      </c>
      <c r="D767">
        <v>1992</v>
      </c>
      <c r="E767">
        <v>1992</v>
      </c>
      <c r="F767" t="s">
        <v>256</v>
      </c>
      <c r="G767" t="s">
        <v>263</v>
      </c>
      <c r="H767" t="s">
        <v>274</v>
      </c>
      <c r="I767"/>
      <c r="J767" t="s">
        <v>252</v>
      </c>
      <c r="K767" t="b">
        <v>0</v>
      </c>
      <c r="L767" t="b">
        <v>0</v>
      </c>
      <c r="M767" t="b">
        <v>0</v>
      </c>
      <c r="N767" t="b">
        <v>1</v>
      </c>
      <c r="O767" t="b">
        <v>0</v>
      </c>
      <c r="P767" t="b">
        <v>0</v>
      </c>
      <c r="Q767" t="b">
        <v>1</v>
      </c>
      <c r="R767" t="b">
        <v>0</v>
      </c>
      <c r="S767" t="b">
        <v>0</v>
      </c>
      <c r="T767" t="b">
        <v>0</v>
      </c>
      <c r="U767" t="b">
        <v>0</v>
      </c>
      <c r="V767" t="b">
        <v>0</v>
      </c>
      <c r="W767" t="b">
        <v>0</v>
      </c>
      <c r="X767" t="b">
        <v>0</v>
      </c>
      <c r="Y767" t="b">
        <v>0</v>
      </c>
      <c r="Z767" t="b">
        <v>1</v>
      </c>
      <c r="AA767" t="b">
        <v>0</v>
      </c>
      <c r="AB767" t="b">
        <v>0</v>
      </c>
      <c r="AC767" t="s">
        <v>171</v>
      </c>
      <c r="AD767" t="s">
        <v>173</v>
      </c>
      <c r="AE767" t="s">
        <v>179</v>
      </c>
      <c r="AF767" t="s">
        <v>179</v>
      </c>
      <c r="AG767" t="s">
        <v>173</v>
      </c>
      <c r="AH767" t="s">
        <v>175</v>
      </c>
      <c r="AI767" t="s">
        <v>175</v>
      </c>
      <c r="AJ767" t="s">
        <v>179</v>
      </c>
      <c r="AK767" t="s">
        <v>173</v>
      </c>
      <c r="AL767" t="s">
        <v>179</v>
      </c>
      <c r="AM767" t="s">
        <v>179</v>
      </c>
      <c r="AN767" t="s">
        <v>175</v>
      </c>
      <c r="AO767" t="s">
        <v>179</v>
      </c>
      <c r="AP767" t="s">
        <v>179</v>
      </c>
      <c r="AQ767" t="s">
        <v>179</v>
      </c>
      <c r="AR767" t="s">
        <v>173</v>
      </c>
      <c r="AS767" t="s">
        <v>179</v>
      </c>
      <c r="AT767" t="s">
        <v>173</v>
      </c>
      <c r="AU767" t="s">
        <v>179</v>
      </c>
      <c r="AV767" t="s">
        <v>179</v>
      </c>
      <c r="AW767" t="s">
        <v>171</v>
      </c>
      <c r="AX767" t="s">
        <v>193</v>
      </c>
      <c r="AY767" t="s">
        <v>197</v>
      </c>
    </row>
    <row r="768" hidden="1" spans="1:51">
      <c r="A768">
        <v>768</v>
      </c>
      <c r="B768" t="s">
        <v>269</v>
      </c>
      <c r="C768">
        <v>2024</v>
      </c>
      <c r="D768">
        <v>2016</v>
      </c>
      <c r="E768">
        <v>2016</v>
      </c>
      <c r="F768" t="s">
        <v>256</v>
      </c>
      <c r="G768" t="s">
        <v>257</v>
      </c>
      <c r="H768" t="s">
        <v>274</v>
      </c>
      <c r="I768"/>
      <c r="J768" t="s">
        <v>252</v>
      </c>
      <c r="K768" t="b">
        <v>0</v>
      </c>
      <c r="L768" t="b">
        <v>1</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s">
        <v>173</v>
      </c>
      <c r="AD768" t="s">
        <v>177</v>
      </c>
      <c r="AE768" t="s">
        <v>173</v>
      </c>
      <c r="AF768" t="s">
        <v>173</v>
      </c>
      <c r="AG768" t="s">
        <v>177</v>
      </c>
      <c r="AH768" t="s">
        <v>171</v>
      </c>
      <c r="AI768" t="s">
        <v>173</v>
      </c>
      <c r="AJ768" t="s">
        <v>175</v>
      </c>
      <c r="AK768" t="s">
        <v>173</v>
      </c>
      <c r="AL768" t="s">
        <v>171</v>
      </c>
      <c r="AM768" t="s">
        <v>173</v>
      </c>
      <c r="AN768" t="s">
        <v>175</v>
      </c>
      <c r="AO768" t="s">
        <v>177</v>
      </c>
      <c r="AP768" t="s">
        <v>175</v>
      </c>
      <c r="AQ768" t="s">
        <v>173</v>
      </c>
      <c r="AR768" t="s">
        <v>173</v>
      </c>
      <c r="AS768" t="s">
        <v>173</v>
      </c>
      <c r="AT768" t="s">
        <v>173</v>
      </c>
      <c r="AU768" t="s">
        <v>173</v>
      </c>
      <c r="AV768" t="s">
        <v>173</v>
      </c>
      <c r="AW768" t="s">
        <v>175</v>
      </c>
      <c r="AX768" t="s">
        <v>193</v>
      </c>
      <c r="AY768" t="s">
        <v>200</v>
      </c>
    </row>
    <row r="769" hidden="1" spans="1:51">
      <c r="A769">
        <v>769</v>
      </c>
      <c r="B769" t="s">
        <v>259</v>
      </c>
      <c r="C769">
        <v>2024</v>
      </c>
      <c r="D769">
        <v>2001</v>
      </c>
      <c r="E769">
        <v>2001</v>
      </c>
      <c r="F769" t="s">
        <v>256</v>
      </c>
      <c r="G769" t="s">
        <v>257</v>
      </c>
      <c r="H769" t="s">
        <v>267</v>
      </c>
      <c r="I769"/>
      <c r="J769" t="s">
        <v>265</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s">
        <v>173</v>
      </c>
      <c r="AD769" t="s">
        <v>175</v>
      </c>
      <c r="AE769" t="s">
        <v>177</v>
      </c>
      <c r="AF769" t="s">
        <v>175</v>
      </c>
      <c r="AG769" t="s">
        <v>175</v>
      </c>
      <c r="AH769" t="s">
        <v>173</v>
      </c>
      <c r="AI769" t="s">
        <v>177</v>
      </c>
      <c r="AJ769" t="s">
        <v>177</v>
      </c>
      <c r="AK769" t="s">
        <v>175</v>
      </c>
      <c r="AL769" t="s">
        <v>173</v>
      </c>
      <c r="AM769" t="s">
        <v>173</v>
      </c>
      <c r="AN769" t="s">
        <v>173</v>
      </c>
      <c r="AO769" t="s">
        <v>177</v>
      </c>
      <c r="AP769" t="s">
        <v>175</v>
      </c>
      <c r="AQ769" t="s">
        <v>175</v>
      </c>
      <c r="AR769" t="s">
        <v>179</v>
      </c>
      <c r="AS769" t="s">
        <v>175</v>
      </c>
      <c r="AT769" t="s">
        <v>177</v>
      </c>
      <c r="AU769" t="s">
        <v>177</v>
      </c>
      <c r="AV769" t="s">
        <v>173</v>
      </c>
      <c r="AW769" t="s">
        <v>173</v>
      </c>
      <c r="AX769" t="s">
        <v>192</v>
      </c>
      <c r="AY769" t="s">
        <v>195</v>
      </c>
    </row>
    <row r="770" hidden="1" spans="1:51">
      <c r="A770">
        <v>770</v>
      </c>
      <c r="B770" t="s">
        <v>280</v>
      </c>
      <c r="C770">
        <v>2024</v>
      </c>
      <c r="D770">
        <v>1985</v>
      </c>
      <c r="E770">
        <v>2002</v>
      </c>
      <c r="F770" t="s">
        <v>260</v>
      </c>
      <c r="G770"/>
      <c r="H770" t="s">
        <v>261</v>
      </c>
      <c r="I770"/>
      <c r="J770" t="s">
        <v>252</v>
      </c>
      <c r="K770" t="b">
        <v>0</v>
      </c>
      <c r="L770" t="b">
        <v>0</v>
      </c>
      <c r="M770" t="b">
        <v>0</v>
      </c>
      <c r="N770" t="b">
        <v>1</v>
      </c>
      <c r="O770" t="b">
        <v>1</v>
      </c>
      <c r="P770" t="b">
        <v>1</v>
      </c>
      <c r="Q770" t="b">
        <v>0</v>
      </c>
      <c r="R770" t="b">
        <v>0</v>
      </c>
      <c r="S770" t="b">
        <v>0</v>
      </c>
      <c r="T770" t="b">
        <v>1</v>
      </c>
      <c r="U770" t="b">
        <v>0</v>
      </c>
      <c r="V770" t="b">
        <v>0</v>
      </c>
      <c r="W770" t="b">
        <v>0</v>
      </c>
      <c r="X770" t="b">
        <v>1</v>
      </c>
      <c r="Y770" t="b">
        <v>0</v>
      </c>
      <c r="Z770" t="b">
        <v>1</v>
      </c>
      <c r="AA770" t="b">
        <v>1</v>
      </c>
      <c r="AB770" t="b">
        <v>0</v>
      </c>
      <c r="AC770" t="s">
        <v>179</v>
      </c>
      <c r="AD770" t="s">
        <v>179</v>
      </c>
      <c r="AE770" t="s">
        <v>179</v>
      </c>
      <c r="AF770" t="s">
        <v>179</v>
      </c>
      <c r="AG770" t="s">
        <v>179</v>
      </c>
      <c r="AH770" t="s">
        <v>179</v>
      </c>
      <c r="AI770" t="s">
        <v>179</v>
      </c>
      <c r="AJ770" t="s">
        <v>179</v>
      </c>
      <c r="AK770" t="s">
        <v>179</v>
      </c>
      <c r="AL770" t="s">
        <v>179</v>
      </c>
      <c r="AM770" t="s">
        <v>179</v>
      </c>
      <c r="AN770" t="s">
        <v>171</v>
      </c>
      <c r="AO770" t="s">
        <v>179</v>
      </c>
      <c r="AP770" t="s">
        <v>179</v>
      </c>
      <c r="AQ770" t="s">
        <v>179</v>
      </c>
      <c r="AR770" t="s">
        <v>171</v>
      </c>
      <c r="AS770" t="s">
        <v>175</v>
      </c>
      <c r="AT770" t="s">
        <v>175</v>
      </c>
      <c r="AU770" t="s">
        <v>177</v>
      </c>
      <c r="AV770" t="s">
        <v>175</v>
      </c>
      <c r="AW770" t="s">
        <v>173</v>
      </c>
      <c r="AX770" t="s">
        <v>193</v>
      </c>
      <c r="AY770" t="s">
        <v>196</v>
      </c>
    </row>
    <row r="771" hidden="1" spans="1:51">
      <c r="A771">
        <v>771</v>
      </c>
      <c r="B771" t="s">
        <v>255</v>
      </c>
      <c r="C771">
        <v>2024</v>
      </c>
      <c r="D771">
        <v>2017</v>
      </c>
      <c r="E771" t="s">
        <v>247</v>
      </c>
      <c r="F771" t="s">
        <v>266</v>
      </c>
      <c r="G771"/>
      <c r="H771" t="s">
        <v>261</v>
      </c>
      <c r="I771"/>
      <c r="J771" t="s">
        <v>252</v>
      </c>
      <c r="K771" t="b">
        <v>0</v>
      </c>
      <c r="L771" t="b">
        <v>0</v>
      </c>
      <c r="M771" t="b">
        <v>0</v>
      </c>
      <c r="N771" t="b">
        <v>0</v>
      </c>
      <c r="O771" t="b">
        <v>0</v>
      </c>
      <c r="P771" t="b">
        <v>0</v>
      </c>
      <c r="Q771" t="b">
        <v>0</v>
      </c>
      <c r="R771" t="b">
        <v>0</v>
      </c>
      <c r="S771" t="b">
        <v>0</v>
      </c>
      <c r="T771" t="b">
        <v>0</v>
      </c>
      <c r="U771" t="b">
        <v>0</v>
      </c>
      <c r="V771" t="b">
        <v>0</v>
      </c>
      <c r="W771" t="b">
        <v>0</v>
      </c>
      <c r="X771" t="b">
        <v>1</v>
      </c>
      <c r="Y771" t="b">
        <v>0</v>
      </c>
      <c r="Z771" t="b">
        <v>0</v>
      </c>
      <c r="AA771" t="b">
        <v>0</v>
      </c>
      <c r="AB771" t="b">
        <v>0</v>
      </c>
      <c r="AC771" t="s">
        <v>175</v>
      </c>
      <c r="AD771" t="s">
        <v>183</v>
      </c>
      <c r="AE771" t="s">
        <v>175</v>
      </c>
      <c r="AF771" t="s">
        <v>175</v>
      </c>
      <c r="AG771" t="s">
        <v>173</v>
      </c>
      <c r="AH771" t="s">
        <v>179</v>
      </c>
      <c r="AI771" t="s">
        <v>175</v>
      </c>
      <c r="AJ771" t="s">
        <v>173</v>
      </c>
      <c r="AK771" t="s">
        <v>171</v>
      </c>
      <c r="AL771" t="s">
        <v>175</v>
      </c>
      <c r="AM771" t="s">
        <v>175</v>
      </c>
      <c r="AN771" t="s">
        <v>179</v>
      </c>
      <c r="AO771" t="s">
        <v>183</v>
      </c>
      <c r="AP771" t="s">
        <v>175</v>
      </c>
      <c r="AQ771" t="s">
        <v>175</v>
      </c>
      <c r="AR771" t="s">
        <v>179</v>
      </c>
      <c r="AS771" t="s">
        <v>179</v>
      </c>
      <c r="AT771" t="s">
        <v>179</v>
      </c>
      <c r="AU771" t="s">
        <v>177</v>
      </c>
      <c r="AV771" t="s">
        <v>175</v>
      </c>
      <c r="AW771" t="s">
        <v>175</v>
      </c>
      <c r="AX771" t="s">
        <v>192</v>
      </c>
      <c r="AY771" t="s">
        <v>198</v>
      </c>
    </row>
    <row r="772" hidden="1" spans="1:51">
      <c r="A772">
        <v>772</v>
      </c>
      <c r="B772" t="s">
        <v>255</v>
      </c>
      <c r="C772" t="s">
        <v>247</v>
      </c>
      <c r="D772">
        <v>1996</v>
      </c>
      <c r="E772">
        <v>1996</v>
      </c>
      <c r="F772" t="s">
        <v>275</v>
      </c>
      <c r="G772"/>
      <c r="H772" t="s">
        <v>264</v>
      </c>
      <c r="I772"/>
      <c r="J772" t="s">
        <v>265</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1</v>
      </c>
      <c r="AC772" t="s">
        <v>171</v>
      </c>
      <c r="AD772" t="s">
        <v>183</v>
      </c>
      <c r="AE772" t="s">
        <v>171</v>
      </c>
      <c r="AF772" t="s">
        <v>183</v>
      </c>
      <c r="AG772" t="s">
        <v>173</v>
      </c>
      <c r="AH772" t="s">
        <v>173</v>
      </c>
      <c r="AI772" t="s">
        <v>173</v>
      </c>
      <c r="AJ772" t="s">
        <v>171</v>
      </c>
      <c r="AK772" t="s">
        <v>171</v>
      </c>
      <c r="AL772" t="s">
        <v>171</v>
      </c>
      <c r="AM772" t="s">
        <v>171</v>
      </c>
      <c r="AN772" t="s">
        <v>171</v>
      </c>
      <c r="AO772" t="s">
        <v>183</v>
      </c>
      <c r="AP772" t="s">
        <v>171</v>
      </c>
      <c r="AQ772" t="s">
        <v>183</v>
      </c>
      <c r="AR772" t="s">
        <v>171</v>
      </c>
      <c r="AS772" t="s">
        <v>171</v>
      </c>
      <c r="AT772" t="s">
        <v>171</v>
      </c>
      <c r="AU772" t="s">
        <v>171</v>
      </c>
      <c r="AV772" t="s">
        <v>183</v>
      </c>
      <c r="AW772" t="s">
        <v>173</v>
      </c>
      <c r="AX772" t="s">
        <v>192</v>
      </c>
      <c r="AY772" t="s">
        <v>195</v>
      </c>
    </row>
    <row r="773" hidden="1" spans="1:51">
      <c r="A773">
        <v>773</v>
      </c>
      <c r="B773" t="s">
        <v>269</v>
      </c>
      <c r="C773">
        <v>2024</v>
      </c>
      <c r="D773">
        <v>2011</v>
      </c>
      <c r="E773">
        <v>2016</v>
      </c>
      <c r="F773" t="s">
        <v>260</v>
      </c>
      <c r="G773"/>
      <c r="H773" t="s">
        <v>258</v>
      </c>
      <c r="I773"/>
      <c r="J773" t="s">
        <v>252</v>
      </c>
      <c r="K773" t="b">
        <v>0</v>
      </c>
      <c r="L773" t="b">
        <v>1</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s">
        <v>171</v>
      </c>
      <c r="AD773" t="s">
        <v>171</v>
      </c>
      <c r="AE773" t="s">
        <v>171</v>
      </c>
      <c r="AF773" t="s">
        <v>171</v>
      </c>
      <c r="AG773" t="s">
        <v>171</v>
      </c>
      <c r="AH773" t="s">
        <v>171</v>
      </c>
      <c r="AI773" t="s">
        <v>171</v>
      </c>
      <c r="AJ773" t="s">
        <v>171</v>
      </c>
      <c r="AK773" t="s">
        <v>171</v>
      </c>
      <c r="AL773" t="s">
        <v>171</v>
      </c>
      <c r="AM773" t="s">
        <v>171</v>
      </c>
      <c r="AN773" t="s">
        <v>171</v>
      </c>
      <c r="AO773" t="s">
        <v>171</v>
      </c>
      <c r="AP773" t="s">
        <v>171</v>
      </c>
      <c r="AQ773" t="s">
        <v>171</v>
      </c>
      <c r="AR773" t="s">
        <v>171</v>
      </c>
      <c r="AS773" t="s">
        <v>171</v>
      </c>
      <c r="AT773" t="s">
        <v>171</v>
      </c>
      <c r="AU773" t="s">
        <v>171</v>
      </c>
      <c r="AV773" t="s">
        <v>171</v>
      </c>
      <c r="AW773" t="s">
        <v>171</v>
      </c>
      <c r="AX773" t="s">
        <v>193</v>
      </c>
      <c r="AY773" t="s">
        <v>201</v>
      </c>
    </row>
    <row r="774" hidden="1" spans="1:51">
      <c r="A774">
        <v>774</v>
      </c>
      <c r="B774" t="s">
        <v>259</v>
      </c>
      <c r="C774">
        <v>2023</v>
      </c>
      <c r="D774">
        <v>1978</v>
      </c>
      <c r="E774">
        <v>2015</v>
      </c>
      <c r="F774" t="s">
        <v>260</v>
      </c>
      <c r="G774"/>
      <c r="H774" t="s">
        <v>274</v>
      </c>
      <c r="I774"/>
      <c r="J774" t="s">
        <v>252</v>
      </c>
      <c r="K774" t="b">
        <v>0</v>
      </c>
      <c r="L774" t="b">
        <v>0</v>
      </c>
      <c r="M774" t="b">
        <v>0</v>
      </c>
      <c r="N774" t="b">
        <v>0</v>
      </c>
      <c r="O774" t="b">
        <v>0</v>
      </c>
      <c r="P774" t="b">
        <v>0</v>
      </c>
      <c r="Q774" t="b">
        <v>0</v>
      </c>
      <c r="R774" t="b">
        <v>0</v>
      </c>
      <c r="S774" t="b">
        <v>0</v>
      </c>
      <c r="T774" t="b">
        <v>0</v>
      </c>
      <c r="U774" t="b">
        <v>0</v>
      </c>
      <c r="V774" t="b">
        <v>0</v>
      </c>
      <c r="W774" t="b">
        <v>0</v>
      </c>
      <c r="X774" t="b">
        <v>0</v>
      </c>
      <c r="Y774" t="b">
        <v>0</v>
      </c>
      <c r="Z774" t="b">
        <v>1</v>
      </c>
      <c r="AA774" t="b">
        <v>1</v>
      </c>
      <c r="AB774" t="b">
        <v>0</v>
      </c>
      <c r="AC774" t="s">
        <v>175</v>
      </c>
      <c r="AD774" t="s">
        <v>173</v>
      </c>
      <c r="AE774" t="s">
        <v>173</v>
      </c>
      <c r="AF774" t="s">
        <v>177</v>
      </c>
      <c r="AG774" t="s">
        <v>173</v>
      </c>
      <c r="AH774" t="s">
        <v>179</v>
      </c>
      <c r="AI774" t="s">
        <v>179</v>
      </c>
      <c r="AJ774" t="s">
        <v>173</v>
      </c>
      <c r="AK774" t="s">
        <v>171</v>
      </c>
      <c r="AL774" t="s">
        <v>173</v>
      </c>
      <c r="AM774" t="s">
        <v>173</v>
      </c>
      <c r="AN774" t="s">
        <v>173</v>
      </c>
      <c r="AO774" t="s">
        <v>183</v>
      </c>
      <c r="AP774" t="s">
        <v>173</v>
      </c>
      <c r="AQ774" t="s">
        <v>173</v>
      </c>
      <c r="AR774" t="s">
        <v>171</v>
      </c>
      <c r="AS774" t="s">
        <v>171</v>
      </c>
      <c r="AT774" t="s">
        <v>171</v>
      </c>
      <c r="AU774" t="s">
        <v>171</v>
      </c>
      <c r="AV774" t="s">
        <v>179</v>
      </c>
      <c r="AW774" t="s">
        <v>173</v>
      </c>
      <c r="AX774" t="s">
        <v>192</v>
      </c>
      <c r="AY774" t="s">
        <v>195</v>
      </c>
    </row>
    <row r="775" hidden="1" spans="1:51">
      <c r="A775">
        <v>775</v>
      </c>
      <c r="B775" t="s">
        <v>259</v>
      </c>
      <c r="C775" t="s">
        <v>247</v>
      </c>
      <c r="D775">
        <v>2015</v>
      </c>
      <c r="E775">
        <v>2015</v>
      </c>
      <c r="F775" t="s">
        <v>248</v>
      </c>
      <c r="G775" t="s">
        <v>242</v>
      </c>
      <c r="H775" t="s">
        <v>274</v>
      </c>
      <c r="I775"/>
      <c r="J775" t="s">
        <v>252</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1</v>
      </c>
      <c r="AC775" t="s">
        <v>173</v>
      </c>
      <c r="AE775" t="s">
        <v>175</v>
      </c>
      <c r="AF775" t="s">
        <v>175</v>
      </c>
      <c r="AG775" t="s">
        <v>173</v>
      </c>
      <c r="AH775" t="s">
        <v>173</v>
      </c>
      <c r="AI775" t="s">
        <v>175</v>
      </c>
      <c r="AJ775" t="s">
        <v>175</v>
      </c>
      <c r="AK775" t="s">
        <v>175</v>
      </c>
      <c r="AL775" t="s">
        <v>175</v>
      </c>
      <c r="AM775" t="s">
        <v>175</v>
      </c>
      <c r="AN775" t="s">
        <v>175</v>
      </c>
      <c r="AO775" t="s">
        <v>177</v>
      </c>
      <c r="AP775" t="s">
        <v>177</v>
      </c>
      <c r="AQ775" t="s">
        <v>177</v>
      </c>
      <c r="AR775" t="s">
        <v>175</v>
      </c>
      <c r="AS775" t="s">
        <v>175</v>
      </c>
      <c r="AT775" t="s">
        <v>175</v>
      </c>
      <c r="AU775" t="s">
        <v>175</v>
      </c>
      <c r="AV775" t="s">
        <v>177</v>
      </c>
      <c r="AW775" t="s">
        <v>177</v>
      </c>
      <c r="AX775" t="s">
        <v>193</v>
      </c>
      <c r="AY775" t="s">
        <v>195</v>
      </c>
    </row>
    <row r="776" hidden="1" spans="1:51">
      <c r="A776">
        <v>776</v>
      </c>
      <c r="B776" t="s">
        <v>269</v>
      </c>
      <c r="C776" t="s">
        <v>247</v>
      </c>
      <c r="D776">
        <v>2014</v>
      </c>
      <c r="E776">
        <v>2014</v>
      </c>
      <c r="F776" t="s">
        <v>266</v>
      </c>
      <c r="G776"/>
      <c r="H776" t="s">
        <v>258</v>
      </c>
      <c r="I776"/>
      <c r="J776" t="s">
        <v>265</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1</v>
      </c>
      <c r="AC776"/>
      <c r="AX776" t="s">
        <v>192</v>
      </c>
      <c r="AY776" t="s">
        <v>199</v>
      </c>
    </row>
    <row r="777" hidden="1" spans="1:51">
      <c r="A777">
        <v>777</v>
      </c>
      <c r="B777" t="s">
        <v>259</v>
      </c>
      <c r="C777">
        <v>2023</v>
      </c>
      <c r="D777" t="s">
        <v>247</v>
      </c>
      <c r="E777" t="s">
        <v>247</v>
      </c>
      <c r="F777" t="s">
        <v>275</v>
      </c>
      <c r="G777"/>
      <c r="H777" t="s">
        <v>261</v>
      </c>
      <c r="I777" t="s">
        <v>293</v>
      </c>
      <c r="J777" t="s">
        <v>252</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1</v>
      </c>
      <c r="AC777" t="s">
        <v>183</v>
      </c>
      <c r="AR777" t="s">
        <v>175</v>
      </c>
      <c r="AX777" t="s">
        <v>192</v>
      </c>
      <c r="AY777" t="s">
        <v>195</v>
      </c>
    </row>
    <row r="778" hidden="1" spans="1:51">
      <c r="A778">
        <v>778</v>
      </c>
      <c r="B778" t="s">
        <v>288</v>
      </c>
      <c r="C778" t="s">
        <v>247</v>
      </c>
      <c r="D778">
        <v>2020</v>
      </c>
      <c r="E778">
        <v>2021</v>
      </c>
      <c r="F778" t="s">
        <v>248</v>
      </c>
      <c r="G778" t="s">
        <v>242</v>
      </c>
      <c r="H778" t="s">
        <v>250</v>
      </c>
      <c r="I778"/>
      <c r="J778" t="s">
        <v>290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1</v>
      </c>
      <c r="AC778" t="s">
        <v>173</v>
      </c>
      <c r="AD778" t="s">
        <v>173</v>
      </c>
      <c r="AE778" t="s">
        <v>175</v>
      </c>
      <c r="AF778" t="s">
        <v>173</v>
      </c>
      <c r="AG778" t="s">
        <v>173</v>
      </c>
      <c r="AH778" t="s">
        <v>171</v>
      </c>
      <c r="AI778" t="s">
        <v>173</v>
      </c>
      <c r="AJ778" t="s">
        <v>173</v>
      </c>
      <c r="AK778" t="s">
        <v>173</v>
      </c>
      <c r="AL778" t="s">
        <v>173</v>
      </c>
      <c r="AM778" t="s">
        <v>173</v>
      </c>
      <c r="AN778" t="s">
        <v>173</v>
      </c>
      <c r="AO778" t="s">
        <v>173</v>
      </c>
      <c r="AP778" t="s">
        <v>175</v>
      </c>
      <c r="AQ778" t="s">
        <v>173</v>
      </c>
      <c r="AR778" t="s">
        <v>173</v>
      </c>
      <c r="AS778" t="s">
        <v>173</v>
      </c>
      <c r="AT778" t="s">
        <v>173</v>
      </c>
      <c r="AU778" t="s">
        <v>173</v>
      </c>
      <c r="AV778" t="s">
        <v>173</v>
      </c>
      <c r="AW778" t="s">
        <v>173</v>
      </c>
      <c r="AX778" t="s">
        <v>193</v>
      </c>
      <c r="AY778" t="s">
        <v>203</v>
      </c>
    </row>
    <row r="779" hidden="1" spans="1:51">
      <c r="A779">
        <v>779</v>
      </c>
      <c r="B779" t="s">
        <v>259</v>
      </c>
      <c r="C779" t="s">
        <v>247</v>
      </c>
      <c r="D779">
        <v>1999</v>
      </c>
      <c r="E779">
        <v>1999</v>
      </c>
      <c r="F779" t="s">
        <v>275</v>
      </c>
      <c r="G779"/>
      <c r="H779" t="s">
        <v>261</v>
      </c>
      <c r="I779"/>
      <c r="J779" t="s">
        <v>265</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1</v>
      </c>
      <c r="AC779" t="s">
        <v>173</v>
      </c>
      <c r="AD779" t="s">
        <v>173</v>
      </c>
      <c r="AE779" t="s">
        <v>173</v>
      </c>
      <c r="AF779" t="s">
        <v>173</v>
      </c>
      <c r="AG779" t="s">
        <v>173</v>
      </c>
      <c r="AH779" t="s">
        <v>173</v>
      </c>
      <c r="AI779" t="s">
        <v>173</v>
      </c>
      <c r="AJ779" t="s">
        <v>173</v>
      </c>
      <c r="AK779" t="s">
        <v>173</v>
      </c>
      <c r="AL779" t="s">
        <v>173</v>
      </c>
      <c r="AM779" t="s">
        <v>173</v>
      </c>
      <c r="AN779" t="s">
        <v>173</v>
      </c>
      <c r="AO779" t="s">
        <v>183</v>
      </c>
      <c r="AP779" t="s">
        <v>183</v>
      </c>
      <c r="AQ779" t="s">
        <v>173</v>
      </c>
      <c r="AR779" t="s">
        <v>173</v>
      </c>
      <c r="AS779" t="s">
        <v>173</v>
      </c>
      <c r="AT779" t="s">
        <v>173</v>
      </c>
      <c r="AU779" t="s">
        <v>173</v>
      </c>
      <c r="AV779" t="s">
        <v>183</v>
      </c>
      <c r="AW779" t="s">
        <v>173</v>
      </c>
      <c r="AY779" t="s">
        <v>196</v>
      </c>
    </row>
    <row r="780" hidden="1" spans="1:51">
      <c r="A780">
        <v>780</v>
      </c>
      <c r="B780" t="s">
        <v>259</v>
      </c>
      <c r="C780">
        <v>2023</v>
      </c>
      <c r="D780">
        <v>2001</v>
      </c>
      <c r="E780">
        <v>2001</v>
      </c>
      <c r="F780" t="s">
        <v>275</v>
      </c>
      <c r="G780"/>
      <c r="H780" t="s">
        <v>267</v>
      </c>
      <c r="I780"/>
      <c r="J780" t="s">
        <v>252</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1</v>
      </c>
      <c r="AC780" t="s">
        <v>173</v>
      </c>
      <c r="AD780" t="s">
        <v>173</v>
      </c>
      <c r="AE780" t="s">
        <v>173</v>
      </c>
      <c r="AF780" t="s">
        <v>173</v>
      </c>
      <c r="AG780" t="s">
        <v>173</v>
      </c>
      <c r="AH780" t="s">
        <v>173</v>
      </c>
      <c r="AI780" t="s">
        <v>173</v>
      </c>
      <c r="AJ780" t="s">
        <v>175</v>
      </c>
      <c r="AK780" t="s">
        <v>175</v>
      </c>
      <c r="AL780" t="s">
        <v>171</v>
      </c>
      <c r="AN780" t="s">
        <v>173</v>
      </c>
      <c r="AO780" t="s">
        <v>173</v>
      </c>
      <c r="AP780" t="s">
        <v>175</v>
      </c>
      <c r="AQ780" t="s">
        <v>173</v>
      </c>
      <c r="AR780" t="s">
        <v>173</v>
      </c>
      <c r="AS780" t="s">
        <v>173</v>
      </c>
      <c r="AT780" t="s">
        <v>173</v>
      </c>
      <c r="AU780" t="s">
        <v>175</v>
      </c>
      <c r="AV780" t="s">
        <v>175</v>
      </c>
      <c r="AW780" t="s">
        <v>173</v>
      </c>
      <c r="AX780" t="s">
        <v>192</v>
      </c>
      <c r="AY780" t="s">
        <v>195</v>
      </c>
    </row>
    <row r="781" hidden="1" spans="1:51">
      <c r="A781">
        <v>781</v>
      </c>
      <c r="B781" t="s">
        <v>259</v>
      </c>
      <c r="C781">
        <v>2023</v>
      </c>
      <c r="D781">
        <v>2001</v>
      </c>
      <c r="E781">
        <v>2001</v>
      </c>
      <c r="F781" t="s">
        <v>253</v>
      </c>
      <c r="G781"/>
      <c r="H781" t="s">
        <v>267</v>
      </c>
      <c r="I781"/>
      <c r="J781" t="s">
        <v>252</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1</v>
      </c>
      <c r="AC781" t="s">
        <v>171</v>
      </c>
      <c r="AD781" t="s">
        <v>179</v>
      </c>
      <c r="AE781" t="s">
        <v>171</v>
      </c>
      <c r="AF781" t="s">
        <v>175</v>
      </c>
      <c r="AG781" t="s">
        <v>171</v>
      </c>
      <c r="AH781" t="s">
        <v>171</v>
      </c>
      <c r="AI781" t="s">
        <v>171</v>
      </c>
      <c r="AJ781" t="s">
        <v>171</v>
      </c>
      <c r="AK781" t="s">
        <v>171</v>
      </c>
      <c r="AL781" t="s">
        <v>171</v>
      </c>
      <c r="AM781" t="s">
        <v>171</v>
      </c>
      <c r="AN781" t="s">
        <v>171</v>
      </c>
      <c r="AO781" t="s">
        <v>175</v>
      </c>
      <c r="AP781" t="s">
        <v>175</v>
      </c>
      <c r="AQ781" t="s">
        <v>175</v>
      </c>
      <c r="AR781" t="s">
        <v>173</v>
      </c>
      <c r="AS781" t="s">
        <v>173</v>
      </c>
      <c r="AT781" t="s">
        <v>173</v>
      </c>
      <c r="AU781" t="s">
        <v>173</v>
      </c>
      <c r="AV781" t="s">
        <v>171</v>
      </c>
      <c r="AW781" t="s">
        <v>171</v>
      </c>
      <c r="AX781" t="s">
        <v>193</v>
      </c>
      <c r="AY781" t="s">
        <v>195</v>
      </c>
    </row>
    <row r="782" hidden="1" spans="1:51">
      <c r="A782">
        <v>782</v>
      </c>
      <c r="B782" t="s">
        <v>259</v>
      </c>
      <c r="C782">
        <v>2023</v>
      </c>
      <c r="D782">
        <v>2011</v>
      </c>
      <c r="E782" t="s">
        <v>247</v>
      </c>
      <c r="F782" t="s">
        <v>275</v>
      </c>
      <c r="G782"/>
      <c r="H782" t="s">
        <v>267</v>
      </c>
      <c r="I782"/>
      <c r="J782" t="s">
        <v>265</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1</v>
      </c>
      <c r="AC782" t="s">
        <v>173</v>
      </c>
      <c r="AD782" t="s">
        <v>175</v>
      </c>
      <c r="AE782" t="s">
        <v>175</v>
      </c>
      <c r="AF782" t="s">
        <v>173</v>
      </c>
      <c r="AG782" t="s">
        <v>175</v>
      </c>
      <c r="AH782" t="s">
        <v>173</v>
      </c>
      <c r="AI782" t="s">
        <v>173</v>
      </c>
      <c r="AJ782" t="s">
        <v>171</v>
      </c>
      <c r="AK782" t="s">
        <v>173</v>
      </c>
      <c r="AL782" t="s">
        <v>173</v>
      </c>
      <c r="AM782" t="s">
        <v>173</v>
      </c>
      <c r="AN782" t="s">
        <v>173</v>
      </c>
      <c r="AO782" t="s">
        <v>175</v>
      </c>
      <c r="AP782" t="s">
        <v>173</v>
      </c>
      <c r="AQ782" t="s">
        <v>175</v>
      </c>
      <c r="AR782" t="s">
        <v>173</v>
      </c>
      <c r="AS782" t="s">
        <v>173</v>
      </c>
      <c r="AT782" t="s">
        <v>175</v>
      </c>
      <c r="AU782" t="s">
        <v>175</v>
      </c>
      <c r="AV782" t="s">
        <v>173</v>
      </c>
      <c r="AW782" t="s">
        <v>173</v>
      </c>
      <c r="AX782" t="s">
        <v>193</v>
      </c>
      <c r="AY782" t="s">
        <v>195</v>
      </c>
    </row>
    <row r="783" hidden="1" spans="1:51">
      <c r="A783">
        <v>783</v>
      </c>
      <c r="B783" t="s">
        <v>259</v>
      </c>
      <c r="C783">
        <v>2023</v>
      </c>
      <c r="D783">
        <v>1998</v>
      </c>
      <c r="E783" t="s">
        <v>247</v>
      </c>
      <c r="F783" t="s">
        <v>294</v>
      </c>
      <c r="G783"/>
      <c r="H783" t="s">
        <v>274</v>
      </c>
      <c r="I783"/>
      <c r="J783" t="s">
        <v>252</v>
      </c>
      <c r="K783" t="b">
        <v>0</v>
      </c>
      <c r="L783" t="b">
        <v>0</v>
      </c>
      <c r="M783" t="b">
        <v>0</v>
      </c>
      <c r="N783" t="b">
        <v>0</v>
      </c>
      <c r="O783" t="b">
        <v>0</v>
      </c>
      <c r="P783" t="b">
        <v>0</v>
      </c>
      <c r="Q783" t="b">
        <v>0</v>
      </c>
      <c r="R783" t="b">
        <v>0</v>
      </c>
      <c r="S783" t="b">
        <v>0</v>
      </c>
      <c r="T783" t="b">
        <v>0</v>
      </c>
      <c r="U783" t="b">
        <v>0</v>
      </c>
      <c r="V783" t="b">
        <v>0</v>
      </c>
      <c r="W783" t="b">
        <v>0</v>
      </c>
      <c r="X783" t="b">
        <v>0</v>
      </c>
      <c r="Y783" t="b">
        <v>0</v>
      </c>
      <c r="Z783" t="b">
        <v>1</v>
      </c>
      <c r="AA783" t="b">
        <v>1</v>
      </c>
      <c r="AB783" t="b">
        <v>0</v>
      </c>
      <c r="AC783" t="s">
        <v>173</v>
      </c>
      <c r="AD783" t="s">
        <v>173</v>
      </c>
      <c r="AE783" t="s">
        <v>173</v>
      </c>
      <c r="AF783" t="s">
        <v>173</v>
      </c>
      <c r="AG783" t="s">
        <v>173</v>
      </c>
      <c r="AH783" t="s">
        <v>173</v>
      </c>
      <c r="AI783" t="s">
        <v>173</v>
      </c>
      <c r="AJ783" t="s">
        <v>173</v>
      </c>
      <c r="AK783" t="s">
        <v>173</v>
      </c>
      <c r="AL783" t="s">
        <v>173</v>
      </c>
      <c r="AM783" t="s">
        <v>173</v>
      </c>
      <c r="AN783" t="s">
        <v>173</v>
      </c>
      <c r="AO783" t="s">
        <v>173</v>
      </c>
      <c r="AP783" t="s">
        <v>173</v>
      </c>
      <c r="AQ783" t="s">
        <v>173</v>
      </c>
      <c r="AR783" t="s">
        <v>173</v>
      </c>
      <c r="AS783" t="s">
        <v>173</v>
      </c>
      <c r="AT783" t="s">
        <v>173</v>
      </c>
      <c r="AU783" t="s">
        <v>173</v>
      </c>
      <c r="AV783" t="s">
        <v>175</v>
      </c>
      <c r="AW783" t="s">
        <v>173</v>
      </c>
      <c r="AX783" t="s">
        <v>192</v>
      </c>
      <c r="AY783" t="s">
        <v>195</v>
      </c>
    </row>
    <row r="784" hidden="1" spans="1:51">
      <c r="A784">
        <v>784</v>
      </c>
      <c r="B784" t="s">
        <v>246</v>
      </c>
      <c r="C784">
        <v>2023</v>
      </c>
      <c r="D784">
        <v>1978</v>
      </c>
      <c r="E784">
        <v>2017</v>
      </c>
      <c r="F784" t="s">
        <v>256</v>
      </c>
      <c r="G784" t="s">
        <v>279</v>
      </c>
      <c r="H784" t="s">
        <v>267</v>
      </c>
      <c r="I784"/>
      <c r="J784" t="s">
        <v>265</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1</v>
      </c>
      <c r="AC784" t="s">
        <v>171</v>
      </c>
      <c r="AD784" t="s">
        <v>171</v>
      </c>
      <c r="AE784" t="s">
        <v>171</v>
      </c>
      <c r="AF784" t="s">
        <v>171</v>
      </c>
      <c r="AG784" t="s">
        <v>173</v>
      </c>
      <c r="AH784" t="s">
        <v>173</v>
      </c>
      <c r="AI784" t="s">
        <v>171</v>
      </c>
      <c r="AJ784" t="s">
        <v>171</v>
      </c>
      <c r="AK784" t="s">
        <v>171</v>
      </c>
      <c r="AL784" t="s">
        <v>171</v>
      </c>
      <c r="AM784" t="s">
        <v>171</v>
      </c>
      <c r="AN784" t="s">
        <v>171</v>
      </c>
      <c r="AO784" t="s">
        <v>171</v>
      </c>
      <c r="AP784" t="s">
        <v>171</v>
      </c>
      <c r="AQ784" t="s">
        <v>171</v>
      </c>
      <c r="AR784" t="s">
        <v>171</v>
      </c>
      <c r="AS784" t="s">
        <v>171</v>
      </c>
      <c r="AT784" t="s">
        <v>171</v>
      </c>
      <c r="AU784" t="s">
        <v>171</v>
      </c>
      <c r="AV784" t="s">
        <v>173</v>
      </c>
      <c r="AW784" t="s">
        <v>171</v>
      </c>
      <c r="AX784" t="s">
        <v>193</v>
      </c>
      <c r="AY784" t="s">
        <v>195</v>
      </c>
    </row>
    <row r="785" hidden="1" spans="1:51">
      <c r="A785">
        <v>785</v>
      </c>
      <c r="B785" t="s">
        <v>288</v>
      </c>
      <c r="C785">
        <v>2023</v>
      </c>
      <c r="D785">
        <v>2022</v>
      </c>
      <c r="E785" t="s">
        <v>247</v>
      </c>
      <c r="F785" t="s">
        <v>266</v>
      </c>
      <c r="G785"/>
      <c r="H785" t="s">
        <v>247</v>
      </c>
      <c r="I785"/>
      <c r="J785" t="s">
        <v>281</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1</v>
      </c>
      <c r="AC785" t="s">
        <v>171</v>
      </c>
      <c r="AD785" t="s">
        <v>175</v>
      </c>
      <c r="AE785" t="s">
        <v>173</v>
      </c>
      <c r="AF785" t="s">
        <v>175</v>
      </c>
      <c r="AG785" t="s">
        <v>171</v>
      </c>
      <c r="AH785" t="s">
        <v>171</v>
      </c>
      <c r="AI785" t="s">
        <v>175</v>
      </c>
      <c r="AJ785" t="s">
        <v>173</v>
      </c>
      <c r="AK785" t="s">
        <v>175</v>
      </c>
      <c r="AL785" t="s">
        <v>171</v>
      </c>
      <c r="AM785" t="s">
        <v>171</v>
      </c>
      <c r="AN785" t="s">
        <v>171</v>
      </c>
      <c r="AO785" t="s">
        <v>183</v>
      </c>
      <c r="AP785" t="s">
        <v>183</v>
      </c>
      <c r="AQ785" t="s">
        <v>183</v>
      </c>
      <c r="AR785" t="s">
        <v>171</v>
      </c>
      <c r="AS785" t="s">
        <v>183</v>
      </c>
      <c r="AT785" t="s">
        <v>171</v>
      </c>
      <c r="AU785" t="s">
        <v>171</v>
      </c>
      <c r="AV785" t="s">
        <v>183</v>
      </c>
      <c r="AX785" t="s">
        <v>192</v>
      </c>
      <c r="AY785" t="s">
        <v>195</v>
      </c>
    </row>
    <row r="786" hidden="1" spans="1:51">
      <c r="A786">
        <v>786</v>
      </c>
      <c r="B786" t="s">
        <v>255</v>
      </c>
      <c r="C786">
        <v>2023</v>
      </c>
      <c r="D786">
        <v>2022</v>
      </c>
      <c r="E786">
        <v>2022</v>
      </c>
      <c r="F786" t="s">
        <v>256</v>
      </c>
      <c r="G786" t="s">
        <v>263</v>
      </c>
      <c r="H786" t="s">
        <v>258</v>
      </c>
      <c r="I786"/>
      <c r="J786" t="s">
        <v>252</v>
      </c>
      <c r="K786" t="b">
        <v>0</v>
      </c>
      <c r="L786" t="b">
        <v>1</v>
      </c>
      <c r="M786" t="b">
        <v>0</v>
      </c>
      <c r="N786" t="b">
        <v>1</v>
      </c>
      <c r="O786" t="b">
        <v>0</v>
      </c>
      <c r="P786" t="b">
        <v>0</v>
      </c>
      <c r="Q786" t="b">
        <v>1</v>
      </c>
      <c r="R786" t="b">
        <v>0</v>
      </c>
      <c r="S786" t="b">
        <v>0</v>
      </c>
      <c r="T786" t="b">
        <v>0</v>
      </c>
      <c r="U786" t="b">
        <v>0</v>
      </c>
      <c r="V786" t="b">
        <v>0</v>
      </c>
      <c r="W786" t="b">
        <v>0</v>
      </c>
      <c r="X786" t="b">
        <v>0</v>
      </c>
      <c r="Y786" t="b">
        <v>0</v>
      </c>
      <c r="Z786" t="b">
        <v>1</v>
      </c>
      <c r="AA786" t="b">
        <v>0</v>
      </c>
      <c r="AB786" t="b">
        <v>0</v>
      </c>
      <c r="AC786" t="s">
        <v>177</v>
      </c>
      <c r="AD786" t="s">
        <v>183</v>
      </c>
      <c r="AE786" t="s">
        <v>177</v>
      </c>
      <c r="AF786" t="s">
        <v>173</v>
      </c>
      <c r="AG786" t="s">
        <v>173</v>
      </c>
      <c r="AH786" t="s">
        <v>179</v>
      </c>
      <c r="AI786" t="s">
        <v>177</v>
      </c>
      <c r="AJ786" t="s">
        <v>177</v>
      </c>
      <c r="AK786" t="s">
        <v>171</v>
      </c>
      <c r="AL786" t="s">
        <v>177</v>
      </c>
      <c r="AM786" t="s">
        <v>177</v>
      </c>
      <c r="AN786" t="s">
        <v>177</v>
      </c>
      <c r="AO786" t="s">
        <v>177</v>
      </c>
      <c r="AP786" t="s">
        <v>173</v>
      </c>
      <c r="AQ786" t="s">
        <v>173</v>
      </c>
      <c r="AR786" t="s">
        <v>177</v>
      </c>
      <c r="AS786" t="s">
        <v>177</v>
      </c>
      <c r="AT786" t="s">
        <v>177</v>
      </c>
      <c r="AU786" t="s">
        <v>175</v>
      </c>
      <c r="AV786" t="s">
        <v>177</v>
      </c>
      <c r="AW786" t="s">
        <v>173</v>
      </c>
      <c r="AX786" t="s">
        <v>192</v>
      </c>
      <c r="AY786" t="s">
        <v>202</v>
      </c>
    </row>
    <row r="787" hidden="1" spans="1:51">
      <c r="A787">
        <v>787</v>
      </c>
      <c r="B787" t="s">
        <v>259</v>
      </c>
      <c r="C787">
        <v>2024</v>
      </c>
      <c r="D787">
        <v>2001</v>
      </c>
      <c r="E787" t="s">
        <v>247</v>
      </c>
      <c r="F787" t="s">
        <v>266</v>
      </c>
      <c r="G787"/>
      <c r="H787" t="s">
        <v>274</v>
      </c>
      <c r="I787"/>
      <c r="J787" t="s">
        <v>265</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1</v>
      </c>
      <c r="AC787" t="s">
        <v>171</v>
      </c>
      <c r="AD787" t="s">
        <v>175</v>
      </c>
      <c r="AE787" t="s">
        <v>171</v>
      </c>
      <c r="AF787" t="s">
        <v>173</v>
      </c>
      <c r="AG787" t="s">
        <v>173</v>
      </c>
      <c r="AH787" t="s">
        <v>173</v>
      </c>
      <c r="AI787" t="s">
        <v>173</v>
      </c>
      <c r="AJ787" t="s">
        <v>173</v>
      </c>
      <c r="AK787" t="s">
        <v>173</v>
      </c>
      <c r="AL787" t="s">
        <v>173</v>
      </c>
      <c r="AM787" t="s">
        <v>173</v>
      </c>
      <c r="AN787" t="s">
        <v>173</v>
      </c>
      <c r="AO787" t="s">
        <v>173</v>
      </c>
      <c r="AP787" t="s">
        <v>175</v>
      </c>
      <c r="AQ787" t="s">
        <v>173</v>
      </c>
      <c r="AR787" t="s">
        <v>173</v>
      </c>
      <c r="AS787" t="s">
        <v>171</v>
      </c>
      <c r="AT787" t="s">
        <v>173</v>
      </c>
      <c r="AU787" t="s">
        <v>173</v>
      </c>
      <c r="AV787" t="s">
        <v>173</v>
      </c>
      <c r="AW787" t="s">
        <v>173</v>
      </c>
      <c r="AX787" t="s">
        <v>192</v>
      </c>
      <c r="AY787" t="s">
        <v>195</v>
      </c>
    </row>
    <row r="788" hidden="1" spans="1:51">
      <c r="A788">
        <v>788</v>
      </c>
      <c r="B788" t="s">
        <v>269</v>
      </c>
      <c r="C788">
        <v>2024</v>
      </c>
      <c r="D788">
        <v>2003</v>
      </c>
      <c r="E788">
        <v>2017</v>
      </c>
      <c r="F788" t="s">
        <v>256</v>
      </c>
      <c r="G788" t="s">
        <v>263</v>
      </c>
      <c r="H788" t="s">
        <v>264</v>
      </c>
      <c r="I788"/>
      <c r="J788" t="s">
        <v>252</v>
      </c>
      <c r="K788" t="b">
        <v>0</v>
      </c>
      <c r="L788" t="b">
        <v>1</v>
      </c>
      <c r="M788" t="b">
        <v>0</v>
      </c>
      <c r="N788" t="b">
        <v>1</v>
      </c>
      <c r="O788" t="b">
        <v>0</v>
      </c>
      <c r="P788" t="b">
        <v>0</v>
      </c>
      <c r="Q788" t="b">
        <v>0</v>
      </c>
      <c r="R788" t="b">
        <v>1</v>
      </c>
      <c r="S788" t="b">
        <v>0</v>
      </c>
      <c r="T788" t="b">
        <v>0</v>
      </c>
      <c r="U788" t="b">
        <v>0</v>
      </c>
      <c r="V788" t="b">
        <v>0</v>
      </c>
      <c r="W788" t="b">
        <v>0</v>
      </c>
      <c r="X788" t="b">
        <v>0</v>
      </c>
      <c r="Y788" t="b">
        <v>0</v>
      </c>
      <c r="Z788" t="b">
        <v>0</v>
      </c>
      <c r="AA788" t="b">
        <v>0</v>
      </c>
      <c r="AB788" t="b">
        <v>0</v>
      </c>
      <c r="AC788" t="s">
        <v>175</v>
      </c>
      <c r="AD788" t="s">
        <v>175</v>
      </c>
      <c r="AE788" t="s">
        <v>175</v>
      </c>
      <c r="AF788" t="s">
        <v>177</v>
      </c>
      <c r="AG788" t="s">
        <v>173</v>
      </c>
      <c r="AH788" t="s">
        <v>175</v>
      </c>
      <c r="AI788" t="s">
        <v>175</v>
      </c>
      <c r="AJ788" t="s">
        <v>177</v>
      </c>
      <c r="AK788" t="s">
        <v>173</v>
      </c>
      <c r="AL788" t="s">
        <v>175</v>
      </c>
      <c r="AM788" t="s">
        <v>179</v>
      </c>
      <c r="AN788" t="s">
        <v>177</v>
      </c>
      <c r="AO788" t="s">
        <v>175</v>
      </c>
      <c r="AP788" t="s">
        <v>175</v>
      </c>
      <c r="AQ788" t="s">
        <v>173</v>
      </c>
      <c r="AR788" t="s">
        <v>175</v>
      </c>
      <c r="AS788" t="s">
        <v>177</v>
      </c>
      <c r="AT788" t="s">
        <v>173</v>
      </c>
      <c r="AU788" t="s">
        <v>175</v>
      </c>
      <c r="AV788" t="s">
        <v>177</v>
      </c>
      <c r="AW788" t="s">
        <v>173</v>
      </c>
      <c r="AX788" t="s">
        <v>192</v>
      </c>
      <c r="AY788" t="s">
        <v>199</v>
      </c>
    </row>
    <row r="789" hidden="1" spans="1:51">
      <c r="A789">
        <v>789</v>
      </c>
      <c r="B789" t="s">
        <v>259</v>
      </c>
      <c r="C789">
        <v>2024</v>
      </c>
      <c r="D789">
        <v>1986</v>
      </c>
      <c r="E789" t="s">
        <v>247</v>
      </c>
      <c r="F789" t="s">
        <v>256</v>
      </c>
      <c r="G789" t="s">
        <v>263</v>
      </c>
      <c r="H789" t="s">
        <v>274</v>
      </c>
      <c r="I789"/>
      <c r="J789" t="s">
        <v>252</v>
      </c>
      <c r="K789" t="b">
        <v>0</v>
      </c>
      <c r="L789" t="b">
        <v>0</v>
      </c>
      <c r="M789" t="b">
        <v>0</v>
      </c>
      <c r="N789" t="b">
        <v>0</v>
      </c>
      <c r="O789" t="b">
        <v>0</v>
      </c>
      <c r="P789" t="b">
        <v>0</v>
      </c>
      <c r="Q789" t="b">
        <v>0</v>
      </c>
      <c r="R789" t="b">
        <v>0</v>
      </c>
      <c r="S789" t="b">
        <v>0</v>
      </c>
      <c r="T789" t="b">
        <v>0</v>
      </c>
      <c r="U789" t="b">
        <v>0</v>
      </c>
      <c r="V789" t="b">
        <v>0</v>
      </c>
      <c r="W789" t="b">
        <v>0</v>
      </c>
      <c r="X789" t="b">
        <v>0</v>
      </c>
      <c r="Y789" t="b">
        <v>0</v>
      </c>
      <c r="Z789" t="b">
        <v>1</v>
      </c>
      <c r="AA789" t="b">
        <v>0</v>
      </c>
      <c r="AB789" t="b">
        <v>0</v>
      </c>
      <c r="AC789" t="s">
        <v>173</v>
      </c>
      <c r="AD789" t="s">
        <v>173</v>
      </c>
      <c r="AE789" t="s">
        <v>173</v>
      </c>
      <c r="AF789" t="s">
        <v>173</v>
      </c>
      <c r="AG789" t="s">
        <v>171</v>
      </c>
      <c r="AH789" t="s">
        <v>175</v>
      </c>
      <c r="AI789" t="s">
        <v>175</v>
      </c>
      <c r="AJ789" t="s">
        <v>173</v>
      </c>
      <c r="AK789" t="s">
        <v>173</v>
      </c>
      <c r="AL789" t="s">
        <v>173</v>
      </c>
      <c r="AM789" t="s">
        <v>173</v>
      </c>
      <c r="AN789" t="s">
        <v>175</v>
      </c>
      <c r="AO789" t="s">
        <v>175</v>
      </c>
      <c r="AP789" t="s">
        <v>173</v>
      </c>
      <c r="AQ789" t="s">
        <v>173</v>
      </c>
      <c r="AR789" t="s">
        <v>173</v>
      </c>
      <c r="AS789" t="s">
        <v>175</v>
      </c>
      <c r="AT789" t="s">
        <v>171</v>
      </c>
      <c r="AU789" t="s">
        <v>171</v>
      </c>
      <c r="AV789" t="s">
        <v>177</v>
      </c>
      <c r="AW789" t="s">
        <v>173</v>
      </c>
      <c r="AX789" t="s">
        <v>192</v>
      </c>
      <c r="AY789" t="s">
        <v>196</v>
      </c>
    </row>
    <row r="790" hidden="1" spans="1:51">
      <c r="A790">
        <v>790</v>
      </c>
      <c r="B790" t="s">
        <v>269</v>
      </c>
      <c r="C790" t="s">
        <v>247</v>
      </c>
      <c r="D790">
        <v>1999</v>
      </c>
      <c r="E790">
        <v>2019</v>
      </c>
      <c r="F790" t="s">
        <v>256</v>
      </c>
      <c r="G790" t="s">
        <v>263</v>
      </c>
      <c r="H790" t="s">
        <v>274</v>
      </c>
      <c r="I790"/>
      <c r="J790" t="s">
        <v>252</v>
      </c>
      <c r="K790" t="b">
        <v>0</v>
      </c>
      <c r="L790" t="b">
        <v>1</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s">
        <v>177</v>
      </c>
      <c r="AD790" t="s">
        <v>177</v>
      </c>
      <c r="AE790" t="s">
        <v>179</v>
      </c>
      <c r="AF790" t="s">
        <v>173</v>
      </c>
      <c r="AG790" t="s">
        <v>177</v>
      </c>
      <c r="AH790" t="s">
        <v>175</v>
      </c>
      <c r="AI790" t="s">
        <v>175</v>
      </c>
      <c r="AJ790" t="s">
        <v>173</v>
      </c>
      <c r="AK790" t="s">
        <v>173</v>
      </c>
      <c r="AL790" t="s">
        <v>173</v>
      </c>
      <c r="AM790" t="s">
        <v>173</v>
      </c>
      <c r="AN790" t="s">
        <v>173</v>
      </c>
      <c r="AO790" t="s">
        <v>177</v>
      </c>
      <c r="AP790" t="s">
        <v>177</v>
      </c>
      <c r="AQ790" t="s">
        <v>177</v>
      </c>
      <c r="AR790" t="s">
        <v>177</v>
      </c>
      <c r="AS790" t="s">
        <v>177</v>
      </c>
      <c r="AT790" t="s">
        <v>175</v>
      </c>
      <c r="AU790" t="s">
        <v>177</v>
      </c>
      <c r="AV790" t="s">
        <v>179</v>
      </c>
      <c r="AW790" t="s">
        <v>177</v>
      </c>
      <c r="AX790" t="s">
        <v>192</v>
      </c>
      <c r="AY790" t="s">
        <v>199</v>
      </c>
    </row>
    <row r="791" hidden="1" spans="1:51">
      <c r="A791">
        <v>791</v>
      </c>
      <c r="B791" t="s">
        <v>255</v>
      </c>
      <c r="C791">
        <v>2024</v>
      </c>
      <c r="D791">
        <v>1992</v>
      </c>
      <c r="E791">
        <v>2008</v>
      </c>
      <c r="F791" t="s">
        <v>310</v>
      </c>
      <c r="G791"/>
      <c r="H791" t="s">
        <v>274</v>
      </c>
      <c r="I791"/>
      <c r="J791" t="s">
        <v>265</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1</v>
      </c>
      <c r="AC791" t="s">
        <v>171</v>
      </c>
      <c r="AD791" t="s">
        <v>177</v>
      </c>
      <c r="AE791" t="s">
        <v>175</v>
      </c>
      <c r="AF791" t="s">
        <v>173</v>
      </c>
      <c r="AG791" t="s">
        <v>173</v>
      </c>
      <c r="AH791" t="s">
        <v>173</v>
      </c>
      <c r="AI791" t="s">
        <v>173</v>
      </c>
      <c r="AJ791" t="s">
        <v>173</v>
      </c>
      <c r="AK791" t="s">
        <v>173</v>
      </c>
      <c r="AL791" t="s">
        <v>173</v>
      </c>
      <c r="AM791" t="s">
        <v>173</v>
      </c>
      <c r="AN791" t="s">
        <v>173</v>
      </c>
      <c r="AO791" t="s">
        <v>173</v>
      </c>
      <c r="AP791" t="s">
        <v>173</v>
      </c>
      <c r="AQ791" t="s">
        <v>171</v>
      </c>
      <c r="AR791" t="s">
        <v>175</v>
      </c>
      <c r="AS791" t="s">
        <v>173</v>
      </c>
      <c r="AT791" t="s">
        <v>173</v>
      </c>
      <c r="AU791" t="s">
        <v>173</v>
      </c>
      <c r="AV791" t="s">
        <v>175</v>
      </c>
      <c r="AW791" t="s">
        <v>173</v>
      </c>
      <c r="AX791" t="s">
        <v>192</v>
      </c>
      <c r="AY791" t="s">
        <v>197</v>
      </c>
    </row>
    <row r="792" hidden="1" spans="1:51">
      <c r="A792">
        <v>792</v>
      </c>
      <c r="B792" t="s">
        <v>255</v>
      </c>
      <c r="C792">
        <v>2024</v>
      </c>
      <c r="D792">
        <v>2017</v>
      </c>
      <c r="E792">
        <v>2017</v>
      </c>
      <c r="F792" t="s">
        <v>256</v>
      </c>
      <c r="G792" t="s">
        <v>263</v>
      </c>
      <c r="H792" t="s">
        <v>267</v>
      </c>
      <c r="I792"/>
      <c r="J792" t="s">
        <v>252</v>
      </c>
      <c r="K792" t="b">
        <v>0</v>
      </c>
      <c r="L792" t="b">
        <v>0</v>
      </c>
      <c r="M792" t="b">
        <v>0</v>
      </c>
      <c r="N792" t="b">
        <v>0</v>
      </c>
      <c r="O792" t="b">
        <v>0</v>
      </c>
      <c r="P792" t="b">
        <v>0</v>
      </c>
      <c r="Q792" t="b">
        <v>1</v>
      </c>
      <c r="R792" t="b">
        <v>0</v>
      </c>
      <c r="S792" t="b">
        <v>0</v>
      </c>
      <c r="T792" t="b">
        <v>1</v>
      </c>
      <c r="U792" t="b">
        <v>0</v>
      </c>
      <c r="V792" t="b">
        <v>0</v>
      </c>
      <c r="W792" t="b">
        <v>0</v>
      </c>
      <c r="X792" t="b">
        <v>0</v>
      </c>
      <c r="Y792" t="b">
        <v>0</v>
      </c>
      <c r="Z792" t="b">
        <v>0</v>
      </c>
      <c r="AA792" t="b">
        <v>1</v>
      </c>
      <c r="AB792" t="b">
        <v>0</v>
      </c>
      <c r="AC792" t="s">
        <v>173</v>
      </c>
      <c r="AD792" t="s">
        <v>173</v>
      </c>
      <c r="AE792" t="s">
        <v>179</v>
      </c>
      <c r="AF792" t="s">
        <v>179</v>
      </c>
      <c r="AG792" t="s">
        <v>177</v>
      </c>
      <c r="AH792" t="s">
        <v>171</v>
      </c>
      <c r="AI792" t="s">
        <v>177</v>
      </c>
      <c r="AJ792" t="s">
        <v>177</v>
      </c>
      <c r="AK792" t="s">
        <v>171</v>
      </c>
      <c r="AL792" t="s">
        <v>177</v>
      </c>
      <c r="AM792" t="s">
        <v>171</v>
      </c>
      <c r="AN792" t="s">
        <v>171</v>
      </c>
      <c r="AO792" t="s">
        <v>179</v>
      </c>
      <c r="AP792" t="s">
        <v>177</v>
      </c>
      <c r="AQ792" t="s">
        <v>173</v>
      </c>
      <c r="AR792" t="s">
        <v>177</v>
      </c>
      <c r="AS792" t="s">
        <v>179</v>
      </c>
      <c r="AT792" t="s">
        <v>179</v>
      </c>
      <c r="AU792" t="s">
        <v>171</v>
      </c>
      <c r="AV792" t="s">
        <v>179</v>
      </c>
      <c r="AW792" t="s">
        <v>173</v>
      </c>
      <c r="AX792" t="s">
        <v>193</v>
      </c>
      <c r="AY792" t="s">
        <v>201</v>
      </c>
    </row>
    <row r="793" hidden="1" spans="1:51">
      <c r="A793">
        <v>793</v>
      </c>
      <c r="B793" t="s">
        <v>255</v>
      </c>
      <c r="C793" t="s">
        <v>247</v>
      </c>
      <c r="D793">
        <v>2016</v>
      </c>
      <c r="E793">
        <v>2016</v>
      </c>
      <c r="F793" t="s">
        <v>248</v>
      </c>
      <c r="G793" t="s">
        <v>242</v>
      </c>
      <c r="H793" t="s">
        <v>274</v>
      </c>
      <c r="I793"/>
      <c r="J793" t="s">
        <v>265</v>
      </c>
      <c r="K793" t="b">
        <v>0</v>
      </c>
      <c r="L793" t="b">
        <v>0</v>
      </c>
      <c r="M793" t="b">
        <v>0</v>
      </c>
      <c r="N793" t="b">
        <v>0</v>
      </c>
      <c r="O793" t="b">
        <v>0</v>
      </c>
      <c r="P793" t="b">
        <v>0</v>
      </c>
      <c r="Q793" t="b">
        <v>1</v>
      </c>
      <c r="R793" t="b">
        <v>0</v>
      </c>
      <c r="S793" t="b">
        <v>0</v>
      </c>
      <c r="T793" t="b">
        <v>0</v>
      </c>
      <c r="U793" t="b">
        <v>0</v>
      </c>
      <c r="V793" t="b">
        <v>0</v>
      </c>
      <c r="W793" t="b">
        <v>0</v>
      </c>
      <c r="X793" t="b">
        <v>0</v>
      </c>
      <c r="Y793" t="b">
        <v>0</v>
      </c>
      <c r="Z793" t="b">
        <v>0</v>
      </c>
      <c r="AA793" t="b">
        <v>0</v>
      </c>
      <c r="AB793" t="b">
        <v>0</v>
      </c>
      <c r="AC793" t="s">
        <v>177</v>
      </c>
      <c r="AD793" t="s">
        <v>183</v>
      </c>
      <c r="AE793" t="s">
        <v>175</v>
      </c>
      <c r="AF793" t="s">
        <v>171</v>
      </c>
      <c r="AG793" t="s">
        <v>171</v>
      </c>
      <c r="AH793" t="s">
        <v>171</v>
      </c>
      <c r="AI793" t="s">
        <v>173</v>
      </c>
      <c r="AJ793" t="s">
        <v>173</v>
      </c>
      <c r="AK793" t="s">
        <v>183</v>
      </c>
      <c r="AL793" t="s">
        <v>171</v>
      </c>
      <c r="AM793" t="s">
        <v>171</v>
      </c>
      <c r="AN793" t="s">
        <v>173</v>
      </c>
      <c r="AO793" t="s">
        <v>173</v>
      </c>
      <c r="AP793" t="s">
        <v>173</v>
      </c>
      <c r="AQ793" t="s">
        <v>177</v>
      </c>
      <c r="AR793" t="s">
        <v>173</v>
      </c>
      <c r="AS793" t="s">
        <v>173</v>
      </c>
      <c r="AT793" t="s">
        <v>173</v>
      </c>
      <c r="AU793" t="s">
        <v>173</v>
      </c>
      <c r="AV793" t="s">
        <v>177</v>
      </c>
      <c r="AW793" t="s">
        <v>173</v>
      </c>
      <c r="AX793" t="s">
        <v>192</v>
      </c>
      <c r="AY793" t="s">
        <v>198</v>
      </c>
    </row>
    <row r="794" hidden="1" spans="1:55">
      <c r="A794">
        <v>794</v>
      </c>
      <c r="B794" t="s">
        <v>282</v>
      </c>
      <c r="C794" t="s">
        <v>247</v>
      </c>
      <c r="D794">
        <v>2005</v>
      </c>
      <c r="E794">
        <v>2015</v>
      </c>
      <c r="F794" t="s">
        <v>266</v>
      </c>
      <c r="G794"/>
      <c r="H794" t="s">
        <v>274</v>
      </c>
      <c r="I794"/>
      <c r="J794" t="s">
        <v>265</v>
      </c>
      <c r="K794" t="b">
        <v>0</v>
      </c>
      <c r="L794" t="b">
        <v>0</v>
      </c>
      <c r="M794" t="b">
        <v>0</v>
      </c>
      <c r="N794" t="b">
        <v>0</v>
      </c>
      <c r="O794" t="b">
        <v>1</v>
      </c>
      <c r="P794" t="b">
        <v>0</v>
      </c>
      <c r="Q794" t="b">
        <v>1</v>
      </c>
      <c r="R794" t="b">
        <v>0</v>
      </c>
      <c r="S794" t="b">
        <v>0</v>
      </c>
      <c r="T794" t="b">
        <v>1</v>
      </c>
      <c r="U794" t="b">
        <v>0</v>
      </c>
      <c r="V794" t="b">
        <v>0</v>
      </c>
      <c r="W794" t="b">
        <v>0</v>
      </c>
      <c r="X794" t="b">
        <v>1</v>
      </c>
      <c r="Y794" t="b">
        <v>0</v>
      </c>
      <c r="Z794" t="b">
        <v>0</v>
      </c>
      <c r="AA794" t="b">
        <v>0</v>
      </c>
      <c r="AB794" t="b">
        <v>0</v>
      </c>
      <c r="AC794" t="s">
        <v>177</v>
      </c>
      <c r="AD794" t="s">
        <v>177</v>
      </c>
      <c r="AE794" t="s">
        <v>177</v>
      </c>
      <c r="AF794" t="s">
        <v>179</v>
      </c>
      <c r="AG794" t="s">
        <v>179</v>
      </c>
      <c r="AH794" t="s">
        <v>179</v>
      </c>
      <c r="AI794" t="s">
        <v>179</v>
      </c>
      <c r="AJ794" t="s">
        <v>177</v>
      </c>
      <c r="AK794" t="s">
        <v>177</v>
      </c>
      <c r="AL794" t="s">
        <v>179</v>
      </c>
      <c r="AM794" t="s">
        <v>177</v>
      </c>
      <c r="AN794" t="s">
        <v>175</v>
      </c>
      <c r="AO794" t="s">
        <v>175</v>
      </c>
      <c r="AP794" t="s">
        <v>175</v>
      </c>
      <c r="AQ794" t="s">
        <v>179</v>
      </c>
      <c r="AR794" t="s">
        <v>175</v>
      </c>
      <c r="AS794" t="s">
        <v>179</v>
      </c>
      <c r="AT794" t="s">
        <v>177</v>
      </c>
      <c r="AU794" t="s">
        <v>179</v>
      </c>
      <c r="AV794" t="s">
        <v>179</v>
      </c>
      <c r="AW794" t="s">
        <v>179</v>
      </c>
      <c r="AX794" t="s">
        <v>192</v>
      </c>
      <c r="AY794" t="s">
        <v>195</v>
      </c>
      <c r="BC794" t="s">
        <v>208</v>
      </c>
    </row>
    <row r="795" hidden="1" spans="1:51">
      <c r="A795">
        <v>795</v>
      </c>
      <c r="B795" t="s">
        <v>280</v>
      </c>
      <c r="C795">
        <v>2024</v>
      </c>
      <c r="D795">
        <v>2012</v>
      </c>
      <c r="E795">
        <v>2015</v>
      </c>
      <c r="F795" t="s">
        <v>256</v>
      </c>
      <c r="G795" t="s">
        <v>257</v>
      </c>
      <c r="H795" t="s">
        <v>274</v>
      </c>
      <c r="I795"/>
      <c r="J795" t="s">
        <v>281</v>
      </c>
      <c r="K795" t="b">
        <v>0</v>
      </c>
      <c r="L795" t="b">
        <v>0</v>
      </c>
      <c r="M795" t="b">
        <v>0</v>
      </c>
      <c r="N795" t="b">
        <v>0</v>
      </c>
      <c r="O795" t="b">
        <v>0</v>
      </c>
      <c r="P795" t="b">
        <v>0</v>
      </c>
      <c r="Q795" t="b">
        <v>0</v>
      </c>
      <c r="R795" t="b">
        <v>0</v>
      </c>
      <c r="S795" t="b">
        <v>0</v>
      </c>
      <c r="T795" t="b">
        <v>0</v>
      </c>
      <c r="U795" t="b">
        <v>0</v>
      </c>
      <c r="V795" t="b">
        <v>0</v>
      </c>
      <c r="W795" t="b">
        <v>0</v>
      </c>
      <c r="X795" t="b">
        <v>1</v>
      </c>
      <c r="Y795" t="b">
        <v>0</v>
      </c>
      <c r="Z795" t="b">
        <v>0</v>
      </c>
      <c r="AA795" t="b">
        <v>0</v>
      </c>
      <c r="AB795" t="b">
        <v>0</v>
      </c>
      <c r="AC795" t="s">
        <v>171</v>
      </c>
      <c r="AD795" t="s">
        <v>171</v>
      </c>
      <c r="AE795" t="s">
        <v>173</v>
      </c>
      <c r="AF795" t="s">
        <v>171</v>
      </c>
      <c r="AG795" t="s">
        <v>171</v>
      </c>
      <c r="AH795" t="s">
        <v>171</v>
      </c>
      <c r="AI795" t="s">
        <v>171</v>
      </c>
      <c r="AJ795" t="s">
        <v>171</v>
      </c>
      <c r="AK795" t="s">
        <v>171</v>
      </c>
      <c r="AL795" t="s">
        <v>171</v>
      </c>
      <c r="AM795" t="s">
        <v>171</v>
      </c>
      <c r="AN795" t="s">
        <v>171</v>
      </c>
      <c r="AO795" t="s">
        <v>173</v>
      </c>
      <c r="AP795" t="s">
        <v>173</v>
      </c>
      <c r="AQ795" t="s">
        <v>171</v>
      </c>
      <c r="AR795" t="s">
        <v>173</v>
      </c>
      <c r="AS795" t="s">
        <v>171</v>
      </c>
      <c r="AT795" t="s">
        <v>171</v>
      </c>
      <c r="AU795" t="s">
        <v>171</v>
      </c>
      <c r="AV795" t="s">
        <v>173</v>
      </c>
      <c r="AW795" t="s">
        <v>171</v>
      </c>
      <c r="AX795" t="s">
        <v>193</v>
      </c>
      <c r="AY795" t="s">
        <v>195</v>
      </c>
    </row>
    <row r="796" hidden="1" spans="1:51">
      <c r="A796">
        <v>796</v>
      </c>
      <c r="B796" t="s">
        <v>272</v>
      </c>
      <c r="C796">
        <v>2024</v>
      </c>
      <c r="D796" t="s">
        <v>247</v>
      </c>
      <c r="E796" t="s">
        <v>247</v>
      </c>
      <c r="F796" t="s">
        <v>275</v>
      </c>
      <c r="G796"/>
      <c r="H796" t="s">
        <v>247</v>
      </c>
      <c r="I796"/>
      <c r="J796" t="s">
        <v>265</v>
      </c>
      <c r="K796" t="b">
        <v>1</v>
      </c>
      <c r="L796" t="b">
        <v>0</v>
      </c>
      <c r="M796" t="b">
        <v>0</v>
      </c>
      <c r="N796" t="b">
        <v>0</v>
      </c>
      <c r="O796" t="b">
        <v>0</v>
      </c>
      <c r="P796" t="b">
        <v>0</v>
      </c>
      <c r="Q796" t="b">
        <v>0</v>
      </c>
      <c r="R796" t="b">
        <v>0</v>
      </c>
      <c r="S796" t="b">
        <v>0</v>
      </c>
      <c r="T796" t="b">
        <v>0</v>
      </c>
      <c r="U796" t="b">
        <v>0</v>
      </c>
      <c r="V796" t="b">
        <v>1</v>
      </c>
      <c r="W796" t="b">
        <v>0</v>
      </c>
      <c r="X796" t="b">
        <v>0</v>
      </c>
      <c r="Y796" t="b">
        <v>0</v>
      </c>
      <c r="Z796" t="b">
        <v>0</v>
      </c>
      <c r="AA796" t="b">
        <v>0</v>
      </c>
      <c r="AB796" t="b">
        <v>0</v>
      </c>
      <c r="AC796" t="s">
        <v>171</v>
      </c>
      <c r="AD796" t="s">
        <v>171</v>
      </c>
      <c r="AE796" t="s">
        <v>171</v>
      </c>
      <c r="AF796" t="s">
        <v>183</v>
      </c>
      <c r="AG796" t="s">
        <v>171</v>
      </c>
      <c r="AH796" t="s">
        <v>171</v>
      </c>
      <c r="AI796" t="s">
        <v>173</v>
      </c>
      <c r="AJ796" t="s">
        <v>171</v>
      </c>
      <c r="AK796" t="s">
        <v>171</v>
      </c>
      <c r="AL796" t="s">
        <v>171</v>
      </c>
      <c r="AM796" t="s">
        <v>171</v>
      </c>
      <c r="AN796" t="s">
        <v>171</v>
      </c>
      <c r="AO796" t="s">
        <v>173</v>
      </c>
      <c r="AP796" t="s">
        <v>171</v>
      </c>
      <c r="AQ796" t="s">
        <v>175</v>
      </c>
      <c r="AR796" t="s">
        <v>173</v>
      </c>
      <c r="AS796" t="s">
        <v>173</v>
      </c>
      <c r="AT796" t="s">
        <v>173</v>
      </c>
      <c r="AU796" t="s">
        <v>173</v>
      </c>
      <c r="AW796" t="s">
        <v>173</v>
      </c>
      <c r="AX796" t="s">
        <v>192</v>
      </c>
      <c r="AY796" t="s">
        <v>201</v>
      </c>
    </row>
    <row r="797" hidden="1" spans="1:51">
      <c r="A797">
        <v>797</v>
      </c>
      <c r="B797" t="s">
        <v>259</v>
      </c>
      <c r="C797" t="s">
        <v>247</v>
      </c>
      <c r="D797">
        <v>1986</v>
      </c>
      <c r="E797">
        <v>2020</v>
      </c>
      <c r="F797" t="s">
        <v>256</v>
      </c>
      <c r="G797" t="s">
        <v>257</v>
      </c>
      <c r="H797" t="s">
        <v>267</v>
      </c>
      <c r="I797"/>
      <c r="J797" t="s">
        <v>265</v>
      </c>
      <c r="K797" t="b">
        <v>0</v>
      </c>
      <c r="L797" t="b">
        <v>0</v>
      </c>
      <c r="M797" t="b">
        <v>0</v>
      </c>
      <c r="N797" t="b">
        <v>0</v>
      </c>
      <c r="O797" t="b">
        <v>0</v>
      </c>
      <c r="P797" t="b">
        <v>0</v>
      </c>
      <c r="Q797" t="b">
        <v>0</v>
      </c>
      <c r="R797" t="b">
        <v>0</v>
      </c>
      <c r="S797" t="b">
        <v>0</v>
      </c>
      <c r="T797" t="b">
        <v>0</v>
      </c>
      <c r="U797" t="b">
        <v>0</v>
      </c>
      <c r="V797" t="b">
        <v>0</v>
      </c>
      <c r="W797" t="b">
        <v>0</v>
      </c>
      <c r="X797" t="b">
        <v>0</v>
      </c>
      <c r="Y797" t="b">
        <v>0</v>
      </c>
      <c r="Z797" t="b">
        <v>1</v>
      </c>
      <c r="AA797" t="b">
        <v>0</v>
      </c>
      <c r="AB797" t="b">
        <v>0</v>
      </c>
      <c r="AC797" t="s">
        <v>173</v>
      </c>
      <c r="AD797" t="s">
        <v>175</v>
      </c>
      <c r="AE797" t="s">
        <v>173</v>
      </c>
      <c r="AF797" t="s">
        <v>171</v>
      </c>
      <c r="AG797" t="s">
        <v>173</v>
      </c>
      <c r="AH797" t="s">
        <v>175</v>
      </c>
      <c r="AI797" t="s">
        <v>175</v>
      </c>
      <c r="AJ797" t="s">
        <v>171</v>
      </c>
      <c r="AK797" t="s">
        <v>173</v>
      </c>
      <c r="AL797" t="s">
        <v>171</v>
      </c>
      <c r="AM797" t="s">
        <v>171</v>
      </c>
      <c r="AN797" t="s">
        <v>177</v>
      </c>
      <c r="AO797" t="s">
        <v>171</v>
      </c>
      <c r="AP797" t="s">
        <v>171</v>
      </c>
      <c r="AQ797" t="s">
        <v>171</v>
      </c>
      <c r="AR797" t="s">
        <v>173</v>
      </c>
      <c r="AS797" t="s">
        <v>171</v>
      </c>
      <c r="AT797" t="s">
        <v>171</v>
      </c>
      <c r="AU797" t="s">
        <v>171</v>
      </c>
      <c r="AV797" t="s">
        <v>173</v>
      </c>
      <c r="AW797" t="s">
        <v>171</v>
      </c>
      <c r="AX797" t="s">
        <v>193</v>
      </c>
      <c r="AY797" t="s">
        <v>196</v>
      </c>
    </row>
    <row r="798" hidden="1" spans="1:51">
      <c r="A798">
        <v>798</v>
      </c>
      <c r="B798" t="s">
        <v>259</v>
      </c>
      <c r="C798" t="s">
        <v>247</v>
      </c>
      <c r="D798">
        <v>1979</v>
      </c>
      <c r="E798">
        <v>1984</v>
      </c>
      <c r="F798" t="s">
        <v>256</v>
      </c>
      <c r="G798" t="s">
        <v>263</v>
      </c>
      <c r="H798" t="s">
        <v>273</v>
      </c>
      <c r="I798"/>
      <c r="J798" t="s">
        <v>252</v>
      </c>
      <c r="K798" t="b">
        <v>0</v>
      </c>
      <c r="L798" t="b">
        <v>0</v>
      </c>
      <c r="M798" t="b">
        <v>0</v>
      </c>
      <c r="N798" t="b">
        <v>0</v>
      </c>
      <c r="O798" t="b">
        <v>0</v>
      </c>
      <c r="P798" t="b">
        <v>0</v>
      </c>
      <c r="Q798" t="b">
        <v>0</v>
      </c>
      <c r="R798" t="b">
        <v>0</v>
      </c>
      <c r="S798" t="b">
        <v>0</v>
      </c>
      <c r="T798" t="b">
        <v>0</v>
      </c>
      <c r="U798" t="b">
        <v>0</v>
      </c>
      <c r="V798" t="b">
        <v>0</v>
      </c>
      <c r="W798" t="b">
        <v>0</v>
      </c>
      <c r="X798" t="b">
        <v>0</v>
      </c>
      <c r="Y798" t="b">
        <v>0</v>
      </c>
      <c r="Z798" t="b">
        <v>1</v>
      </c>
      <c r="AA798" t="b">
        <v>0</v>
      </c>
      <c r="AB798" t="b">
        <v>0</v>
      </c>
      <c r="AC798" t="s">
        <v>173</v>
      </c>
      <c r="AD798" t="s">
        <v>173</v>
      </c>
      <c r="AE798" t="s">
        <v>175</v>
      </c>
      <c r="AF798" t="s">
        <v>175</v>
      </c>
      <c r="AG798" t="s">
        <v>173</v>
      </c>
      <c r="AH798" t="s">
        <v>173</v>
      </c>
      <c r="AI798" t="s">
        <v>173</v>
      </c>
      <c r="AJ798" t="s">
        <v>173</v>
      </c>
      <c r="AK798" t="s">
        <v>173</v>
      </c>
      <c r="AL798" t="s">
        <v>173</v>
      </c>
      <c r="AM798" t="s">
        <v>173</v>
      </c>
      <c r="AN798" t="s">
        <v>173</v>
      </c>
      <c r="AO798" t="s">
        <v>171</v>
      </c>
      <c r="AP798" t="s">
        <v>171</v>
      </c>
      <c r="AQ798" t="s">
        <v>173</v>
      </c>
      <c r="AR798" t="s">
        <v>175</v>
      </c>
      <c r="AS798" t="s">
        <v>173</v>
      </c>
      <c r="AT798" t="s">
        <v>173</v>
      </c>
      <c r="AU798" t="s">
        <v>173</v>
      </c>
      <c r="AV798" t="s">
        <v>175</v>
      </c>
      <c r="AW798" t="s">
        <v>173</v>
      </c>
      <c r="AX798" t="s">
        <v>193</v>
      </c>
      <c r="AY798" t="s">
        <v>196</v>
      </c>
    </row>
    <row r="799" hidden="1" spans="1:51">
      <c r="A799">
        <v>799</v>
      </c>
      <c r="B799" t="s">
        <v>272</v>
      </c>
      <c r="C799" t="s">
        <v>247</v>
      </c>
      <c r="D799">
        <v>2009</v>
      </c>
      <c r="E799">
        <v>2022</v>
      </c>
      <c r="F799" t="s">
        <v>248</v>
      </c>
      <c r="G799" t="s">
        <v>242</v>
      </c>
      <c r="H799" t="s">
        <v>261</v>
      </c>
      <c r="I799"/>
      <c r="J799" t="s">
        <v>265</v>
      </c>
      <c r="K799" t="b">
        <v>0</v>
      </c>
      <c r="L799" t="b">
        <v>0</v>
      </c>
      <c r="M799" t="b">
        <v>0</v>
      </c>
      <c r="N799" t="b">
        <v>0</v>
      </c>
      <c r="O799" t="b">
        <v>0</v>
      </c>
      <c r="P799" t="b">
        <v>0</v>
      </c>
      <c r="Q799" t="b">
        <v>0</v>
      </c>
      <c r="R799" t="b">
        <v>0</v>
      </c>
      <c r="S799" t="b">
        <v>0</v>
      </c>
      <c r="T799" t="b">
        <v>0</v>
      </c>
      <c r="U799" t="b">
        <v>1</v>
      </c>
      <c r="V799" t="b">
        <v>1</v>
      </c>
      <c r="W799" t="b">
        <v>0</v>
      </c>
      <c r="X799" t="b">
        <v>0</v>
      </c>
      <c r="Y799" t="b">
        <v>0</v>
      </c>
      <c r="Z799" t="b">
        <v>0</v>
      </c>
      <c r="AA799" t="b">
        <v>0</v>
      </c>
      <c r="AB799" t="b">
        <v>0</v>
      </c>
      <c r="AC799" t="s">
        <v>173</v>
      </c>
      <c r="AD799" t="s">
        <v>175</v>
      </c>
      <c r="AE799" t="s">
        <v>173</v>
      </c>
      <c r="AF799" t="s">
        <v>173</v>
      </c>
      <c r="AG799" t="s">
        <v>175</v>
      </c>
      <c r="AH799" t="s">
        <v>171</v>
      </c>
      <c r="AI799" t="s">
        <v>173</v>
      </c>
      <c r="AJ799" t="s">
        <v>173</v>
      </c>
      <c r="AK799" t="s">
        <v>173</v>
      </c>
      <c r="AL799" t="s">
        <v>171</v>
      </c>
      <c r="AM799" t="s">
        <v>175</v>
      </c>
      <c r="AN799" t="s">
        <v>171</v>
      </c>
      <c r="AO799" t="s">
        <v>175</v>
      </c>
      <c r="AP799" t="s">
        <v>175</v>
      </c>
      <c r="AQ799" t="s">
        <v>175</v>
      </c>
      <c r="AR799" t="s">
        <v>173</v>
      </c>
      <c r="AS799" t="s">
        <v>173</v>
      </c>
      <c r="AT799" t="s">
        <v>173</v>
      </c>
      <c r="AU799" t="s">
        <v>173</v>
      </c>
      <c r="AV799" t="s">
        <v>183</v>
      </c>
      <c r="AW799" t="s">
        <v>173</v>
      </c>
      <c r="AX799" t="s">
        <v>192</v>
      </c>
      <c r="AY799" t="s">
        <v>201</v>
      </c>
    </row>
    <row r="800" hidden="1" spans="1:51">
      <c r="A800">
        <v>800</v>
      </c>
      <c r="B800" t="s">
        <v>272</v>
      </c>
      <c r="C800" t="s">
        <v>247</v>
      </c>
      <c r="D800">
        <v>2004</v>
      </c>
      <c r="E800" t="s">
        <v>247</v>
      </c>
      <c r="F800" t="s">
        <v>266</v>
      </c>
      <c r="G800"/>
      <c r="H800" t="s">
        <v>264</v>
      </c>
      <c r="I800"/>
      <c r="J800" t="s">
        <v>265</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s">
        <v>173</v>
      </c>
      <c r="AD800" t="s">
        <v>175</v>
      </c>
      <c r="AE800" t="s">
        <v>173</v>
      </c>
      <c r="AF800" t="s">
        <v>175</v>
      </c>
      <c r="AG800" t="s">
        <v>171</v>
      </c>
      <c r="AH800" t="s">
        <v>171</v>
      </c>
      <c r="AI800" t="s">
        <v>171</v>
      </c>
      <c r="AJ800" t="s">
        <v>171</v>
      </c>
      <c r="AK800" t="s">
        <v>171</v>
      </c>
      <c r="AL800" t="s">
        <v>171</v>
      </c>
      <c r="AM800" t="s">
        <v>171</v>
      </c>
      <c r="AN800" t="s">
        <v>175</v>
      </c>
      <c r="AO800" t="s">
        <v>173</v>
      </c>
      <c r="AP800" t="s">
        <v>171</v>
      </c>
      <c r="AQ800" t="s">
        <v>171</v>
      </c>
      <c r="AR800" t="s">
        <v>173</v>
      </c>
      <c r="AS800" t="s">
        <v>173</v>
      </c>
      <c r="AT800" t="s">
        <v>171</v>
      </c>
      <c r="AU800" t="s">
        <v>173</v>
      </c>
      <c r="AV800" t="s">
        <v>175</v>
      </c>
      <c r="AW800" t="s">
        <v>175</v>
      </c>
      <c r="AX800" t="s">
        <v>192</v>
      </c>
      <c r="AY800" t="s">
        <v>201</v>
      </c>
    </row>
    <row r="801" hidden="1" spans="1:51">
      <c r="A801">
        <v>801</v>
      </c>
      <c r="B801" t="s">
        <v>282</v>
      </c>
      <c r="C801" t="s">
        <v>247</v>
      </c>
      <c r="D801">
        <v>1990</v>
      </c>
      <c r="E801">
        <v>2012</v>
      </c>
      <c r="F801" t="s">
        <v>256</v>
      </c>
      <c r="G801" t="s">
        <v>279</v>
      </c>
      <c r="H801" t="s">
        <v>267</v>
      </c>
      <c r="I801"/>
      <c r="J801" t="s">
        <v>252</v>
      </c>
      <c r="K801" t="b">
        <v>0</v>
      </c>
      <c r="L801" t="b">
        <v>0</v>
      </c>
      <c r="M801" t="b">
        <v>0</v>
      </c>
      <c r="N801" t="b">
        <v>0</v>
      </c>
      <c r="O801" t="b">
        <v>0</v>
      </c>
      <c r="P801" t="b">
        <v>0</v>
      </c>
      <c r="Q801" t="b">
        <v>0</v>
      </c>
      <c r="R801" t="b">
        <v>0</v>
      </c>
      <c r="S801" t="b">
        <v>0</v>
      </c>
      <c r="T801" t="b">
        <v>0</v>
      </c>
      <c r="U801" t="b">
        <v>0</v>
      </c>
      <c r="V801" t="b">
        <v>0</v>
      </c>
      <c r="W801" t="b">
        <v>0</v>
      </c>
      <c r="X801" t="b">
        <v>1</v>
      </c>
      <c r="Y801" t="b">
        <v>0</v>
      </c>
      <c r="Z801" t="b">
        <v>0</v>
      </c>
      <c r="AA801" t="b">
        <v>0</v>
      </c>
      <c r="AB801" t="b">
        <v>0</v>
      </c>
      <c r="AC801" t="s">
        <v>171</v>
      </c>
      <c r="AD801" t="s">
        <v>175</v>
      </c>
      <c r="AE801" t="s">
        <v>177</v>
      </c>
      <c r="AF801" t="s">
        <v>173</v>
      </c>
      <c r="AG801" t="s">
        <v>173</v>
      </c>
      <c r="AH801" t="s">
        <v>177</v>
      </c>
      <c r="AI801" t="s">
        <v>177</v>
      </c>
      <c r="AJ801" t="s">
        <v>173</v>
      </c>
      <c r="AK801" t="s">
        <v>171</v>
      </c>
      <c r="AL801" t="s">
        <v>171</v>
      </c>
      <c r="AM801" t="s">
        <v>171</v>
      </c>
      <c r="AN801" t="s">
        <v>173</v>
      </c>
      <c r="AO801" t="s">
        <v>177</v>
      </c>
      <c r="AP801" t="s">
        <v>179</v>
      </c>
      <c r="AQ801" t="s">
        <v>171</v>
      </c>
      <c r="AR801" t="s">
        <v>173</v>
      </c>
      <c r="AS801" t="s">
        <v>171</v>
      </c>
      <c r="AT801" t="s">
        <v>171</v>
      </c>
      <c r="AU801" t="s">
        <v>173</v>
      </c>
      <c r="AV801" t="s">
        <v>177</v>
      </c>
      <c r="AW801" t="s">
        <v>173</v>
      </c>
      <c r="AX801" t="s">
        <v>192</v>
      </c>
      <c r="AY801" t="s">
        <v>197</v>
      </c>
    </row>
    <row r="802" hidden="1" spans="1:51">
      <c r="A802">
        <v>802</v>
      </c>
      <c r="B802" t="s">
        <v>282</v>
      </c>
      <c r="C802">
        <v>2024</v>
      </c>
      <c r="D802">
        <v>2020</v>
      </c>
      <c r="E802">
        <v>2020</v>
      </c>
      <c r="F802" t="s">
        <v>256</v>
      </c>
      <c r="G802" t="s">
        <v>257</v>
      </c>
      <c r="H802" t="s">
        <v>247</v>
      </c>
      <c r="I802"/>
      <c r="J802" t="s">
        <v>252</v>
      </c>
      <c r="K802" t="b">
        <v>0</v>
      </c>
      <c r="L802" t="b">
        <v>0</v>
      </c>
      <c r="M802" t="b">
        <v>0</v>
      </c>
      <c r="N802" t="b">
        <v>0</v>
      </c>
      <c r="O802" t="b">
        <v>0</v>
      </c>
      <c r="P802" t="b">
        <v>0</v>
      </c>
      <c r="Q802" t="b">
        <v>0</v>
      </c>
      <c r="R802" t="b">
        <v>0</v>
      </c>
      <c r="S802" t="b">
        <v>0</v>
      </c>
      <c r="T802" t="b">
        <v>0</v>
      </c>
      <c r="U802" t="b">
        <v>0</v>
      </c>
      <c r="V802" t="b">
        <v>0</v>
      </c>
      <c r="W802" t="b">
        <v>0</v>
      </c>
      <c r="X802" t="b">
        <v>1</v>
      </c>
      <c r="Y802" t="b">
        <v>0</v>
      </c>
      <c r="Z802" t="b">
        <v>1</v>
      </c>
      <c r="AA802" t="b">
        <v>0</v>
      </c>
      <c r="AB802" t="b">
        <v>0</v>
      </c>
      <c r="AC802" t="s">
        <v>173</v>
      </c>
      <c r="AD802" t="s">
        <v>175</v>
      </c>
      <c r="AE802" t="s">
        <v>171</v>
      </c>
      <c r="AF802" t="s">
        <v>173</v>
      </c>
      <c r="AG802" t="s">
        <v>173</v>
      </c>
      <c r="AH802" t="s">
        <v>175</v>
      </c>
      <c r="AI802" t="s">
        <v>175</v>
      </c>
      <c r="AJ802" t="s">
        <v>173</v>
      </c>
      <c r="AK802" t="s">
        <v>171</v>
      </c>
      <c r="AL802" t="s">
        <v>173</v>
      </c>
      <c r="AM802" t="s">
        <v>171</v>
      </c>
      <c r="AN802" t="s">
        <v>173</v>
      </c>
      <c r="AO802" t="s">
        <v>173</v>
      </c>
      <c r="AP802" t="s">
        <v>173</v>
      </c>
      <c r="AQ802" t="s">
        <v>173</v>
      </c>
      <c r="AR802" t="s">
        <v>173</v>
      </c>
      <c r="AS802" t="s">
        <v>173</v>
      </c>
      <c r="AT802" t="s">
        <v>173</v>
      </c>
      <c r="AU802" t="s">
        <v>173</v>
      </c>
      <c r="AV802" t="s">
        <v>175</v>
      </c>
      <c r="AW802" t="s">
        <v>173</v>
      </c>
      <c r="AX802" t="s">
        <v>192</v>
      </c>
      <c r="AY802" t="s">
        <v>202</v>
      </c>
    </row>
    <row r="803" hidden="1" spans="1:51">
      <c r="A803">
        <v>803</v>
      </c>
      <c r="B803" t="s">
        <v>280</v>
      </c>
      <c r="C803">
        <v>2024</v>
      </c>
      <c r="D803">
        <v>1981</v>
      </c>
      <c r="E803">
        <v>1985</v>
      </c>
      <c r="F803" t="s">
        <v>256</v>
      </c>
      <c r="G803" t="s">
        <v>257</v>
      </c>
      <c r="H803" t="s">
        <v>273</v>
      </c>
      <c r="I803"/>
      <c r="J803" t="s">
        <v>252</v>
      </c>
      <c r="K803" t="b">
        <v>0</v>
      </c>
      <c r="L803" t="b">
        <v>0</v>
      </c>
      <c r="M803" t="b">
        <v>0</v>
      </c>
      <c r="N803" t="b">
        <v>0</v>
      </c>
      <c r="O803" t="b">
        <v>0</v>
      </c>
      <c r="P803" t="b">
        <v>0</v>
      </c>
      <c r="Q803" t="b">
        <v>0</v>
      </c>
      <c r="R803" t="b">
        <v>0</v>
      </c>
      <c r="S803" t="b">
        <v>0</v>
      </c>
      <c r="T803" t="b">
        <v>0</v>
      </c>
      <c r="U803" t="b">
        <v>0</v>
      </c>
      <c r="V803" t="b">
        <v>0</v>
      </c>
      <c r="W803" t="b">
        <v>0</v>
      </c>
      <c r="X803" t="b">
        <v>1</v>
      </c>
      <c r="Y803" t="b">
        <v>0</v>
      </c>
      <c r="Z803" t="b">
        <v>0</v>
      </c>
      <c r="AA803" t="b">
        <v>0</v>
      </c>
      <c r="AB803" t="b">
        <v>0</v>
      </c>
      <c r="AC803" t="s">
        <v>173</v>
      </c>
      <c r="AD803" t="s">
        <v>173</v>
      </c>
      <c r="AE803" t="s">
        <v>173</v>
      </c>
      <c r="AF803" t="s">
        <v>173</v>
      </c>
      <c r="AG803" t="s">
        <v>173</v>
      </c>
      <c r="AH803" t="s">
        <v>175</v>
      </c>
      <c r="AI803" t="s">
        <v>173</v>
      </c>
      <c r="AJ803" t="s">
        <v>173</v>
      </c>
      <c r="AK803" t="s">
        <v>173</v>
      </c>
      <c r="AL803" t="s">
        <v>173</v>
      </c>
      <c r="AM803" t="s">
        <v>173</v>
      </c>
      <c r="AN803" t="s">
        <v>173</v>
      </c>
      <c r="AO803" t="s">
        <v>175</v>
      </c>
      <c r="AP803" t="s">
        <v>173</v>
      </c>
      <c r="AQ803" t="s">
        <v>173</v>
      </c>
      <c r="AR803" t="s">
        <v>171</v>
      </c>
      <c r="AS803" t="s">
        <v>171</v>
      </c>
      <c r="AT803" t="s">
        <v>171</v>
      </c>
      <c r="AU803" t="s">
        <v>171</v>
      </c>
      <c r="AV803" t="s">
        <v>171</v>
      </c>
      <c r="AW803" t="s">
        <v>171</v>
      </c>
      <c r="AX803" t="s">
        <v>193</v>
      </c>
      <c r="AY803" t="s">
        <v>196</v>
      </c>
    </row>
    <row r="804" hidden="1" spans="1:49">
      <c r="A804">
        <v>804</v>
      </c>
      <c r="B804" t="s">
        <v>272</v>
      </c>
      <c r="C804">
        <v>2024</v>
      </c>
      <c r="D804" t="s">
        <v>247</v>
      </c>
      <c r="E804" t="s">
        <v>247</v>
      </c>
      <c r="F804" t="s">
        <v>266</v>
      </c>
      <c r="G804"/>
      <c r="H804" t="s">
        <v>274</v>
      </c>
      <c r="I804"/>
      <c r="J804" t="s">
        <v>265</v>
      </c>
      <c r="K804" t="b">
        <v>0</v>
      </c>
      <c r="L804" t="b">
        <v>0</v>
      </c>
      <c r="M804" t="b">
        <v>0</v>
      </c>
      <c r="N804" t="b">
        <v>0</v>
      </c>
      <c r="O804" t="b">
        <v>0</v>
      </c>
      <c r="P804" t="b">
        <v>0</v>
      </c>
      <c r="Q804" t="b">
        <v>0</v>
      </c>
      <c r="R804" t="b">
        <v>0</v>
      </c>
      <c r="S804" t="b">
        <v>0</v>
      </c>
      <c r="T804" t="b">
        <v>0</v>
      </c>
      <c r="U804" t="b">
        <v>0</v>
      </c>
      <c r="V804" t="b">
        <v>1</v>
      </c>
      <c r="W804" t="b">
        <v>0</v>
      </c>
      <c r="X804" t="b">
        <v>0</v>
      </c>
      <c r="Y804" t="b">
        <v>0</v>
      </c>
      <c r="Z804" t="b">
        <v>0</v>
      </c>
      <c r="AA804" t="b">
        <v>0</v>
      </c>
      <c r="AB804" t="b">
        <v>0</v>
      </c>
      <c r="AC804" t="s">
        <v>171</v>
      </c>
      <c r="AD804" t="s">
        <v>171</v>
      </c>
      <c r="AE804" t="s">
        <v>171</v>
      </c>
      <c r="AF804" t="s">
        <v>171</v>
      </c>
      <c r="AG804" t="s">
        <v>171</v>
      </c>
      <c r="AH804" t="s">
        <v>171</v>
      </c>
      <c r="AI804" t="s">
        <v>171</v>
      </c>
      <c r="AJ804" t="s">
        <v>171</v>
      </c>
      <c r="AK804" t="s">
        <v>171</v>
      </c>
      <c r="AL804" t="s">
        <v>171</v>
      </c>
      <c r="AM804" t="s">
        <v>171</v>
      </c>
      <c r="AN804" t="s">
        <v>171</v>
      </c>
      <c r="AO804" t="s">
        <v>171</v>
      </c>
      <c r="AP804" t="s">
        <v>171</v>
      </c>
      <c r="AQ804" t="s">
        <v>171</v>
      </c>
      <c r="AR804" t="s">
        <v>171</v>
      </c>
      <c r="AS804" t="s">
        <v>171</v>
      </c>
      <c r="AT804" t="s">
        <v>171</v>
      </c>
      <c r="AU804" t="s">
        <v>171</v>
      </c>
      <c r="AV804" t="s">
        <v>171</v>
      </c>
      <c r="AW804" t="s">
        <v>171</v>
      </c>
    </row>
    <row r="805" hidden="1" spans="1:51">
      <c r="A805">
        <v>805</v>
      </c>
      <c r="B805" t="s">
        <v>269</v>
      </c>
      <c r="C805">
        <v>2024</v>
      </c>
      <c r="D805">
        <v>2013</v>
      </c>
      <c r="E805">
        <v>2016</v>
      </c>
      <c r="F805" t="s">
        <v>256</v>
      </c>
      <c r="G805" t="s">
        <v>257</v>
      </c>
      <c r="H805" t="s">
        <v>264</v>
      </c>
      <c r="I805"/>
      <c r="J805" t="s">
        <v>252</v>
      </c>
      <c r="K805" t="b">
        <v>0</v>
      </c>
      <c r="L805" t="b">
        <v>1</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s">
        <v>173</v>
      </c>
      <c r="AD805" t="s">
        <v>173</v>
      </c>
      <c r="AE805" t="s">
        <v>173</v>
      </c>
      <c r="AF805" t="s">
        <v>173</v>
      </c>
      <c r="AG805" t="s">
        <v>173</v>
      </c>
      <c r="AH805" t="s">
        <v>175</v>
      </c>
      <c r="AI805" t="s">
        <v>175</v>
      </c>
      <c r="AJ805" t="s">
        <v>173</v>
      </c>
      <c r="AK805" t="s">
        <v>173</v>
      </c>
      <c r="AL805" t="s">
        <v>173</v>
      </c>
      <c r="AM805" t="s">
        <v>175</v>
      </c>
      <c r="AN805" t="s">
        <v>171</v>
      </c>
      <c r="AO805" t="s">
        <v>173</v>
      </c>
      <c r="AP805" t="s">
        <v>173</v>
      </c>
      <c r="AQ805" t="s">
        <v>173</v>
      </c>
      <c r="AR805" t="s">
        <v>173</v>
      </c>
      <c r="AS805" t="s">
        <v>175</v>
      </c>
      <c r="AT805" t="s">
        <v>173</v>
      </c>
      <c r="AU805" t="s">
        <v>173</v>
      </c>
      <c r="AV805" t="s">
        <v>173</v>
      </c>
      <c r="AW805" t="s">
        <v>173</v>
      </c>
      <c r="AX805" t="s">
        <v>192</v>
      </c>
      <c r="AY805" t="s">
        <v>198</v>
      </c>
    </row>
    <row r="806" hidden="1" spans="1:51">
      <c r="A806">
        <v>806</v>
      </c>
      <c r="B806" t="s">
        <v>269</v>
      </c>
      <c r="C806">
        <v>2024</v>
      </c>
      <c r="D806">
        <v>2017</v>
      </c>
      <c r="E806">
        <v>2022</v>
      </c>
      <c r="F806" t="s">
        <v>256</v>
      </c>
      <c r="G806" t="s">
        <v>257</v>
      </c>
      <c r="H806" t="s">
        <v>264</v>
      </c>
      <c r="I806"/>
      <c r="J806" t="s">
        <v>265</v>
      </c>
      <c r="K806" t="b">
        <v>0</v>
      </c>
      <c r="L806" t="b">
        <v>1</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s">
        <v>173</v>
      </c>
      <c r="AD806" t="s">
        <v>175</v>
      </c>
      <c r="AE806" t="s">
        <v>175</v>
      </c>
      <c r="AF806" t="s">
        <v>173</v>
      </c>
      <c r="AG806" t="s">
        <v>173</v>
      </c>
      <c r="AH806" t="s">
        <v>175</v>
      </c>
      <c r="AI806" t="s">
        <v>175</v>
      </c>
      <c r="AJ806" t="s">
        <v>173</v>
      </c>
      <c r="AK806" t="s">
        <v>173</v>
      </c>
      <c r="AL806" t="s">
        <v>173</v>
      </c>
      <c r="AM806" t="s">
        <v>173</v>
      </c>
      <c r="AN806" t="s">
        <v>173</v>
      </c>
      <c r="AO806" t="s">
        <v>173</v>
      </c>
      <c r="AP806" t="s">
        <v>173</v>
      </c>
      <c r="AQ806" t="s">
        <v>173</v>
      </c>
      <c r="AR806" t="s">
        <v>175</v>
      </c>
      <c r="AS806" t="s">
        <v>175</v>
      </c>
      <c r="AT806" t="s">
        <v>173</v>
      </c>
      <c r="AU806" t="s">
        <v>173</v>
      </c>
      <c r="AV806" t="s">
        <v>177</v>
      </c>
      <c r="AW806" t="s">
        <v>173</v>
      </c>
      <c r="AX806" t="s">
        <v>192</v>
      </c>
      <c r="AY806" t="s">
        <v>200</v>
      </c>
    </row>
    <row r="807" hidden="1" spans="1:51">
      <c r="A807">
        <v>807</v>
      </c>
      <c r="B807" t="s">
        <v>259</v>
      </c>
      <c r="C807" t="s">
        <v>247</v>
      </c>
      <c r="D807">
        <v>1999</v>
      </c>
      <c r="E807">
        <v>1999</v>
      </c>
      <c r="F807" t="s">
        <v>266</v>
      </c>
      <c r="G807"/>
      <c r="H807" t="s">
        <v>261</v>
      </c>
      <c r="I807"/>
      <c r="J807" t="s">
        <v>265</v>
      </c>
      <c r="K807" t="b">
        <v>0</v>
      </c>
      <c r="L807" t="b">
        <v>0</v>
      </c>
      <c r="M807" t="b">
        <v>0</v>
      </c>
      <c r="N807" t="b">
        <v>0</v>
      </c>
      <c r="O807" t="b">
        <v>0</v>
      </c>
      <c r="P807" t="b">
        <v>0</v>
      </c>
      <c r="Q807" t="b">
        <v>0</v>
      </c>
      <c r="R807" t="b">
        <v>0</v>
      </c>
      <c r="S807" t="b">
        <v>0</v>
      </c>
      <c r="T807" t="b">
        <v>0</v>
      </c>
      <c r="U807" t="b">
        <v>0</v>
      </c>
      <c r="V807" t="b">
        <v>0</v>
      </c>
      <c r="W807" t="b">
        <v>0</v>
      </c>
      <c r="X807" t="b">
        <v>0</v>
      </c>
      <c r="Y807" t="b">
        <v>0</v>
      </c>
      <c r="Z807" t="b">
        <v>1</v>
      </c>
      <c r="AA807" t="b">
        <v>0</v>
      </c>
      <c r="AB807" t="b">
        <v>0</v>
      </c>
      <c r="AC807" t="s">
        <v>175</v>
      </c>
      <c r="AD807" t="s">
        <v>175</v>
      </c>
      <c r="AE807" t="s">
        <v>173</v>
      </c>
      <c r="AF807" t="s">
        <v>173</v>
      </c>
      <c r="AG807" t="s">
        <v>173</v>
      </c>
      <c r="AH807" t="s">
        <v>173</v>
      </c>
      <c r="AI807" t="s">
        <v>173</v>
      </c>
      <c r="AJ807" t="s">
        <v>173</v>
      </c>
      <c r="AK807" t="s">
        <v>173</v>
      </c>
      <c r="AL807" t="s">
        <v>173</v>
      </c>
      <c r="AM807" t="s">
        <v>173</v>
      </c>
      <c r="AN807" t="s">
        <v>173</v>
      </c>
      <c r="AO807" t="s">
        <v>173</v>
      </c>
      <c r="AP807" t="s">
        <v>175</v>
      </c>
      <c r="AQ807" t="s">
        <v>173</v>
      </c>
      <c r="AR807" t="s">
        <v>173</v>
      </c>
      <c r="AS807" t="s">
        <v>173</v>
      </c>
      <c r="AT807" t="s">
        <v>173</v>
      </c>
      <c r="AU807" t="s">
        <v>175</v>
      </c>
      <c r="AV807" t="s">
        <v>175</v>
      </c>
      <c r="AW807" t="s">
        <v>175</v>
      </c>
      <c r="AX807" t="s">
        <v>192</v>
      </c>
      <c r="AY807" t="s">
        <v>195</v>
      </c>
    </row>
    <row r="808" hidden="1" spans="1:51">
      <c r="A808">
        <v>808</v>
      </c>
      <c r="B808" t="s">
        <v>269</v>
      </c>
      <c r="C808">
        <v>2024</v>
      </c>
      <c r="D808">
        <v>2014</v>
      </c>
      <c r="E808">
        <v>2014</v>
      </c>
      <c r="F808" t="s">
        <v>275</v>
      </c>
      <c r="G808"/>
      <c r="H808" t="s">
        <v>258</v>
      </c>
      <c r="I808"/>
      <c r="J808" t="s">
        <v>265</v>
      </c>
      <c r="K808" t="b">
        <v>0</v>
      </c>
      <c r="L808" t="b">
        <v>0</v>
      </c>
      <c r="M808" t="b">
        <v>0</v>
      </c>
      <c r="N808" t="b">
        <v>0</v>
      </c>
      <c r="O808" t="b">
        <v>0</v>
      </c>
      <c r="P808" t="b">
        <v>0</v>
      </c>
      <c r="Q808" t="b">
        <v>0</v>
      </c>
      <c r="R808" t="b">
        <v>0</v>
      </c>
      <c r="S808" t="b">
        <v>0</v>
      </c>
      <c r="T808" t="b">
        <v>0</v>
      </c>
      <c r="U808" t="b">
        <v>0</v>
      </c>
      <c r="V808" t="b">
        <v>1</v>
      </c>
      <c r="W808" t="b">
        <v>0</v>
      </c>
      <c r="X808" t="b">
        <v>0</v>
      </c>
      <c r="Y808" t="b">
        <v>0</v>
      </c>
      <c r="Z808" t="b">
        <v>0</v>
      </c>
      <c r="AA808" t="b">
        <v>0</v>
      </c>
      <c r="AB808" t="b">
        <v>0</v>
      </c>
      <c r="AC808" t="s">
        <v>171</v>
      </c>
      <c r="AD808" t="s">
        <v>175</v>
      </c>
      <c r="AE808" t="s">
        <v>171</v>
      </c>
      <c r="AF808" t="s">
        <v>175</v>
      </c>
      <c r="AG808" t="s">
        <v>171</v>
      </c>
      <c r="AH808" t="s">
        <v>173</v>
      </c>
      <c r="AI808" t="s">
        <v>173</v>
      </c>
      <c r="AJ808" t="s">
        <v>171</v>
      </c>
      <c r="AK808" t="s">
        <v>171</v>
      </c>
      <c r="AL808" t="s">
        <v>171</v>
      </c>
      <c r="AM808" t="s">
        <v>171</v>
      </c>
      <c r="AN808" t="s">
        <v>173</v>
      </c>
      <c r="AO808" t="s">
        <v>175</v>
      </c>
      <c r="AP808" t="s">
        <v>171</v>
      </c>
      <c r="AQ808" t="s">
        <v>173</v>
      </c>
      <c r="AR808" t="s">
        <v>171</v>
      </c>
      <c r="AS808" t="s">
        <v>171</v>
      </c>
      <c r="AT808" t="s">
        <v>171</v>
      </c>
      <c r="AU808" t="s">
        <v>175</v>
      </c>
      <c r="AV808" t="s">
        <v>173</v>
      </c>
      <c r="AW808" t="s">
        <v>173</v>
      </c>
      <c r="AX808" t="s">
        <v>192</v>
      </c>
      <c r="AY808" t="s">
        <v>199</v>
      </c>
    </row>
    <row r="809" hidden="1" spans="1:51">
      <c r="A809">
        <v>809</v>
      </c>
      <c r="B809" t="s">
        <v>255</v>
      </c>
      <c r="C809">
        <v>2024</v>
      </c>
      <c r="D809">
        <v>2013</v>
      </c>
      <c r="E809">
        <v>2013</v>
      </c>
      <c r="F809" t="s">
        <v>256</v>
      </c>
      <c r="G809" t="s">
        <v>257</v>
      </c>
      <c r="H809" t="s">
        <v>258</v>
      </c>
      <c r="I809"/>
      <c r="J809" t="s">
        <v>252</v>
      </c>
      <c r="K809" t="b">
        <v>0</v>
      </c>
      <c r="L809" t="b">
        <v>0</v>
      </c>
      <c r="M809" t="b">
        <v>0</v>
      </c>
      <c r="N809" t="b">
        <v>0</v>
      </c>
      <c r="O809" t="b">
        <v>1</v>
      </c>
      <c r="P809" t="b">
        <v>0</v>
      </c>
      <c r="Q809" t="b">
        <v>0</v>
      </c>
      <c r="R809" t="b">
        <v>0</v>
      </c>
      <c r="S809" t="b">
        <v>0</v>
      </c>
      <c r="T809" t="b">
        <v>0</v>
      </c>
      <c r="U809" t="b">
        <v>0</v>
      </c>
      <c r="V809" t="b">
        <v>0</v>
      </c>
      <c r="W809" t="b">
        <v>0</v>
      </c>
      <c r="X809" t="b">
        <v>0</v>
      </c>
      <c r="Y809" t="b">
        <v>0</v>
      </c>
      <c r="Z809" t="b">
        <v>1</v>
      </c>
      <c r="AA809" t="b">
        <v>0</v>
      </c>
      <c r="AB809" t="b">
        <v>0</v>
      </c>
      <c r="AC809" t="s">
        <v>177</v>
      </c>
      <c r="AD809" t="s">
        <v>179</v>
      </c>
      <c r="AE809" t="s">
        <v>177</v>
      </c>
      <c r="AF809" t="s">
        <v>175</v>
      </c>
      <c r="AG809" t="s">
        <v>173</v>
      </c>
      <c r="AH809" t="s">
        <v>179</v>
      </c>
      <c r="AI809" t="s">
        <v>177</v>
      </c>
      <c r="AJ809" t="s">
        <v>171</v>
      </c>
      <c r="AK809" t="s">
        <v>179</v>
      </c>
      <c r="AL809" t="s">
        <v>173</v>
      </c>
      <c r="AM809" t="s">
        <v>173</v>
      </c>
      <c r="AN809" t="s">
        <v>173</v>
      </c>
      <c r="AO809" t="s">
        <v>177</v>
      </c>
      <c r="AP809" t="s">
        <v>175</v>
      </c>
      <c r="AQ809" t="s">
        <v>175</v>
      </c>
      <c r="AR809" t="s">
        <v>173</v>
      </c>
      <c r="AS809" t="s">
        <v>173</v>
      </c>
      <c r="AT809" t="s">
        <v>173</v>
      </c>
      <c r="AU809" t="s">
        <v>173</v>
      </c>
      <c r="AV809" t="s">
        <v>177</v>
      </c>
      <c r="AW809" t="s">
        <v>173</v>
      </c>
      <c r="AX809" t="s">
        <v>192</v>
      </c>
      <c r="AY809" t="s">
        <v>201</v>
      </c>
    </row>
    <row r="810" hidden="1" spans="1:51">
      <c r="A810">
        <v>810</v>
      </c>
      <c r="B810" t="s">
        <v>255</v>
      </c>
      <c r="C810">
        <v>2024</v>
      </c>
      <c r="D810">
        <v>2019</v>
      </c>
      <c r="E810">
        <v>2019</v>
      </c>
      <c r="F810" t="s">
        <v>266</v>
      </c>
      <c r="G810"/>
      <c r="H810" t="s">
        <v>247</v>
      </c>
      <c r="I810"/>
      <c r="J810" t="s">
        <v>265</v>
      </c>
      <c r="K810" t="b">
        <v>0</v>
      </c>
      <c r="L810" t="b">
        <v>0</v>
      </c>
      <c r="M810" t="b">
        <v>0</v>
      </c>
      <c r="N810" t="b">
        <v>0</v>
      </c>
      <c r="O810" t="b">
        <v>0</v>
      </c>
      <c r="P810" t="b">
        <v>0</v>
      </c>
      <c r="Q810" t="b">
        <v>0</v>
      </c>
      <c r="R810" t="b">
        <v>0</v>
      </c>
      <c r="S810" t="b">
        <v>0</v>
      </c>
      <c r="T810" t="b">
        <v>0</v>
      </c>
      <c r="U810" t="b">
        <v>1</v>
      </c>
      <c r="V810" t="b">
        <v>0</v>
      </c>
      <c r="W810" t="b">
        <v>0</v>
      </c>
      <c r="X810" t="b">
        <v>0</v>
      </c>
      <c r="Y810" t="b">
        <v>0</v>
      </c>
      <c r="Z810" t="b">
        <v>0</v>
      </c>
      <c r="AA810" t="b">
        <v>0</v>
      </c>
      <c r="AB810" t="b">
        <v>0</v>
      </c>
      <c r="AC810" t="s">
        <v>173</v>
      </c>
      <c r="AD810" t="s">
        <v>173</v>
      </c>
      <c r="AE810" t="s">
        <v>173</v>
      </c>
      <c r="AF810" t="s">
        <v>173</v>
      </c>
      <c r="AG810" t="s">
        <v>173</v>
      </c>
      <c r="AH810" t="s">
        <v>173</v>
      </c>
      <c r="AI810" t="s">
        <v>173</v>
      </c>
      <c r="AJ810" t="s">
        <v>173</v>
      </c>
      <c r="AK810" t="s">
        <v>173</v>
      </c>
      <c r="AL810" t="s">
        <v>173</v>
      </c>
      <c r="AM810" t="s">
        <v>173</v>
      </c>
      <c r="AN810" t="s">
        <v>173</v>
      </c>
      <c r="AO810" t="s">
        <v>173</v>
      </c>
      <c r="AP810" t="s">
        <v>173</v>
      </c>
      <c r="AQ810" t="s">
        <v>173</v>
      </c>
      <c r="AR810" t="s">
        <v>173</v>
      </c>
      <c r="AS810" t="s">
        <v>173</v>
      </c>
      <c r="AT810" t="s">
        <v>173</v>
      </c>
      <c r="AU810" t="s">
        <v>173</v>
      </c>
      <c r="AV810" t="s">
        <v>173</v>
      </c>
      <c r="AW810" t="s">
        <v>173</v>
      </c>
      <c r="AX810" t="s">
        <v>192</v>
      </c>
      <c r="AY810" t="s">
        <v>200</v>
      </c>
    </row>
    <row r="811" hidden="1" spans="1:51">
      <c r="A811">
        <v>811</v>
      </c>
      <c r="B811" t="s">
        <v>259</v>
      </c>
      <c r="C811">
        <v>2024</v>
      </c>
      <c r="D811">
        <v>1988</v>
      </c>
      <c r="E811">
        <v>2015</v>
      </c>
      <c r="F811" t="s">
        <v>256</v>
      </c>
      <c r="G811" t="s">
        <v>257</v>
      </c>
      <c r="H811" t="s">
        <v>273</v>
      </c>
      <c r="I811"/>
      <c r="J811" t="s">
        <v>252</v>
      </c>
      <c r="K811" t="b">
        <v>0</v>
      </c>
      <c r="L811" t="b">
        <v>0</v>
      </c>
      <c r="M811" t="b">
        <v>0</v>
      </c>
      <c r="N811" t="b">
        <v>0</v>
      </c>
      <c r="O811" t="b">
        <v>0</v>
      </c>
      <c r="P811" t="b">
        <v>0</v>
      </c>
      <c r="Q811" t="b">
        <v>0</v>
      </c>
      <c r="R811" t="b">
        <v>0</v>
      </c>
      <c r="S811" t="b">
        <v>0</v>
      </c>
      <c r="T811" t="b">
        <v>0</v>
      </c>
      <c r="U811" t="b">
        <v>0</v>
      </c>
      <c r="V811" t="b">
        <v>0</v>
      </c>
      <c r="W811" t="b">
        <v>0</v>
      </c>
      <c r="X811" t="b">
        <v>0</v>
      </c>
      <c r="Y811" t="b">
        <v>0</v>
      </c>
      <c r="Z811" t="b">
        <v>1</v>
      </c>
      <c r="AA811" t="b">
        <v>1</v>
      </c>
      <c r="AB811" t="b">
        <v>0</v>
      </c>
      <c r="AC811" t="s">
        <v>173</v>
      </c>
      <c r="AD811" t="s">
        <v>175</v>
      </c>
      <c r="AE811" t="s">
        <v>173</v>
      </c>
      <c r="AF811" t="s">
        <v>173</v>
      </c>
      <c r="AG811" t="s">
        <v>173</v>
      </c>
      <c r="AH811" t="s">
        <v>175</v>
      </c>
      <c r="AI811" t="s">
        <v>177</v>
      </c>
      <c r="AJ811" t="s">
        <v>173</v>
      </c>
      <c r="AK811" t="s">
        <v>171</v>
      </c>
      <c r="AL811" t="s">
        <v>173</v>
      </c>
      <c r="AM811" t="s">
        <v>173</v>
      </c>
      <c r="AN811" t="s">
        <v>173</v>
      </c>
      <c r="AO811" t="s">
        <v>177</v>
      </c>
      <c r="AP811" t="s">
        <v>173</v>
      </c>
      <c r="AQ811" t="s">
        <v>173</v>
      </c>
      <c r="AR811" t="s">
        <v>173</v>
      </c>
      <c r="AS811" t="s">
        <v>173</v>
      </c>
      <c r="AT811" t="s">
        <v>173</v>
      </c>
      <c r="AU811" t="s">
        <v>173</v>
      </c>
      <c r="AV811" t="s">
        <v>173</v>
      </c>
      <c r="AW811" t="s">
        <v>173</v>
      </c>
      <c r="AX811" t="s">
        <v>192</v>
      </c>
      <c r="AY811" t="s">
        <v>197</v>
      </c>
    </row>
    <row r="812" hidden="1" spans="1:51">
      <c r="A812">
        <v>812</v>
      </c>
      <c r="B812" t="s">
        <v>259</v>
      </c>
      <c r="C812" t="s">
        <v>247</v>
      </c>
      <c r="D812">
        <v>1981</v>
      </c>
      <c r="E812">
        <v>2000</v>
      </c>
      <c r="F812" t="s">
        <v>256</v>
      </c>
      <c r="G812" t="s">
        <v>257</v>
      </c>
      <c r="H812" t="s">
        <v>274</v>
      </c>
      <c r="I812"/>
      <c r="J812" t="s">
        <v>252</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1</v>
      </c>
      <c r="AC812" t="s">
        <v>173</v>
      </c>
      <c r="AD812" t="s">
        <v>175</v>
      </c>
      <c r="AE812" t="s">
        <v>173</v>
      </c>
      <c r="AF812" t="s">
        <v>173</v>
      </c>
      <c r="AG812" t="s">
        <v>175</v>
      </c>
      <c r="AH812" t="s">
        <v>173</v>
      </c>
      <c r="AI812" t="s">
        <v>173</v>
      </c>
      <c r="AJ812" t="s">
        <v>173</v>
      </c>
      <c r="AK812" t="s">
        <v>173</v>
      </c>
      <c r="AL812" t="s">
        <v>173</v>
      </c>
      <c r="AM812" t="s">
        <v>173</v>
      </c>
      <c r="AN812" t="s">
        <v>173</v>
      </c>
      <c r="AO812" t="s">
        <v>173</v>
      </c>
      <c r="AP812" t="s">
        <v>173</v>
      </c>
      <c r="AQ812" t="s">
        <v>173</v>
      </c>
      <c r="AR812" t="s">
        <v>173</v>
      </c>
      <c r="AS812" t="s">
        <v>173</v>
      </c>
      <c r="AT812" t="s">
        <v>173</v>
      </c>
      <c r="AU812" t="s">
        <v>173</v>
      </c>
      <c r="AV812" t="s">
        <v>173</v>
      </c>
      <c r="AW812" t="s">
        <v>173</v>
      </c>
      <c r="AX812" t="s">
        <v>193</v>
      </c>
      <c r="AY812" t="s">
        <v>195</v>
      </c>
    </row>
    <row r="813" hidden="1" spans="1:55">
      <c r="A813">
        <v>813</v>
      </c>
      <c r="B813" t="s">
        <v>288</v>
      </c>
      <c r="C813">
        <v>2024</v>
      </c>
      <c r="D813">
        <v>2017</v>
      </c>
      <c r="E813">
        <v>2019</v>
      </c>
      <c r="F813" t="s">
        <v>276</v>
      </c>
      <c r="G813" t="s">
        <v>242</v>
      </c>
      <c r="H813" t="s">
        <v>261</v>
      </c>
      <c r="I813"/>
      <c r="J813" t="s">
        <v>290</v>
      </c>
      <c r="K813" t="b">
        <v>0</v>
      </c>
      <c r="L813" t="b">
        <v>0</v>
      </c>
      <c r="M813" t="b">
        <v>1</v>
      </c>
      <c r="N813" t="b">
        <v>0</v>
      </c>
      <c r="O813" t="b">
        <v>0</v>
      </c>
      <c r="P813" t="b">
        <v>0</v>
      </c>
      <c r="Q813" t="b">
        <v>0</v>
      </c>
      <c r="R813" t="b">
        <v>0</v>
      </c>
      <c r="S813" t="b">
        <v>0</v>
      </c>
      <c r="T813" t="b">
        <v>0</v>
      </c>
      <c r="U813" t="b">
        <v>0</v>
      </c>
      <c r="V813" t="b">
        <v>0</v>
      </c>
      <c r="W813" t="b">
        <v>0</v>
      </c>
      <c r="X813" t="b">
        <v>0</v>
      </c>
      <c r="Y813" t="b">
        <v>0</v>
      </c>
      <c r="Z813" t="b">
        <v>1</v>
      </c>
      <c r="AA813" t="b">
        <v>1</v>
      </c>
      <c r="AB813" t="b">
        <v>0</v>
      </c>
      <c r="AC813" t="s">
        <v>173</v>
      </c>
      <c r="AD813" t="s">
        <v>175</v>
      </c>
      <c r="AE813" t="s">
        <v>177</v>
      </c>
      <c r="AF813" t="s">
        <v>177</v>
      </c>
      <c r="AG813" t="s">
        <v>175</v>
      </c>
      <c r="AH813" t="s">
        <v>179</v>
      </c>
      <c r="AI813" t="s">
        <v>175</v>
      </c>
      <c r="AJ813" t="s">
        <v>179</v>
      </c>
      <c r="AK813" t="s">
        <v>173</v>
      </c>
      <c r="AL813" t="s">
        <v>173</v>
      </c>
      <c r="AM813" t="s">
        <v>173</v>
      </c>
      <c r="AN813" t="s">
        <v>179</v>
      </c>
      <c r="AO813" t="s">
        <v>179</v>
      </c>
      <c r="AP813" t="s">
        <v>179</v>
      </c>
      <c r="AQ813" t="s">
        <v>175</v>
      </c>
      <c r="AR813" t="s">
        <v>177</v>
      </c>
      <c r="AS813" t="s">
        <v>177</v>
      </c>
      <c r="AT813" t="s">
        <v>173</v>
      </c>
      <c r="AU813" t="s">
        <v>175</v>
      </c>
      <c r="AV813" t="s">
        <v>177</v>
      </c>
      <c r="AW813" t="s">
        <v>171</v>
      </c>
      <c r="AX813" t="s">
        <v>192</v>
      </c>
      <c r="AY813" t="s">
        <v>199</v>
      </c>
      <c r="BC813" t="s">
        <v>208</v>
      </c>
    </row>
    <row r="814" hidden="1" spans="1:51">
      <c r="A814">
        <v>814</v>
      </c>
      <c r="B814" t="s">
        <v>259</v>
      </c>
      <c r="C814">
        <v>2024</v>
      </c>
      <c r="D814">
        <v>2007</v>
      </c>
      <c r="E814">
        <v>2014</v>
      </c>
      <c r="F814" t="s">
        <v>256</v>
      </c>
      <c r="G814" t="s">
        <v>263</v>
      </c>
      <c r="H814" t="s">
        <v>247</v>
      </c>
      <c r="I814"/>
      <c r="J814" t="s">
        <v>252</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1</v>
      </c>
      <c r="AC814" t="s">
        <v>173</v>
      </c>
      <c r="AD814" t="s">
        <v>173</v>
      </c>
      <c r="AE814" t="s">
        <v>175</v>
      </c>
      <c r="AF814" t="s">
        <v>175</v>
      </c>
      <c r="AG814" t="s">
        <v>173</v>
      </c>
      <c r="AH814" t="s">
        <v>173</v>
      </c>
      <c r="AI814" t="s">
        <v>173</v>
      </c>
      <c r="AJ814" t="s">
        <v>173</v>
      </c>
      <c r="AK814" t="s">
        <v>171</v>
      </c>
      <c r="AL814" t="s">
        <v>173</v>
      </c>
      <c r="AM814" t="s">
        <v>173</v>
      </c>
      <c r="AN814" t="s">
        <v>173</v>
      </c>
      <c r="AO814" t="s">
        <v>173</v>
      </c>
      <c r="AP814" t="s">
        <v>173</v>
      </c>
      <c r="AQ814" t="s">
        <v>173</v>
      </c>
      <c r="AR814" t="s">
        <v>173</v>
      </c>
      <c r="AS814" t="s">
        <v>173</v>
      </c>
      <c r="AT814" t="s">
        <v>173</v>
      </c>
      <c r="AU814" t="s">
        <v>173</v>
      </c>
      <c r="AV814" t="s">
        <v>175</v>
      </c>
      <c r="AW814" t="s">
        <v>171</v>
      </c>
      <c r="AX814" t="s">
        <v>193</v>
      </c>
      <c r="AY814" t="s">
        <v>195</v>
      </c>
    </row>
    <row r="815" hidden="1" spans="1:51">
      <c r="A815">
        <v>815</v>
      </c>
      <c r="B815" t="s">
        <v>259</v>
      </c>
      <c r="C815">
        <v>2024</v>
      </c>
      <c r="D815">
        <v>2004</v>
      </c>
      <c r="E815">
        <v>2016</v>
      </c>
      <c r="F815" t="s">
        <v>248</v>
      </c>
      <c r="G815" t="s">
        <v>249</v>
      </c>
      <c r="H815" t="s">
        <v>267</v>
      </c>
      <c r="I815"/>
      <c r="J815" t="s">
        <v>252</v>
      </c>
      <c r="K815" t="b">
        <v>0</v>
      </c>
      <c r="L815" t="b">
        <v>0</v>
      </c>
      <c r="M815" t="b">
        <v>0</v>
      </c>
      <c r="N815" t="b">
        <v>0</v>
      </c>
      <c r="O815" t="b">
        <v>0</v>
      </c>
      <c r="P815" t="b">
        <v>0</v>
      </c>
      <c r="Q815" t="b">
        <v>0</v>
      </c>
      <c r="R815" t="b">
        <v>0</v>
      </c>
      <c r="S815" t="b">
        <v>0</v>
      </c>
      <c r="T815" t="b">
        <v>0</v>
      </c>
      <c r="U815" t="b">
        <v>0</v>
      </c>
      <c r="V815" t="b">
        <v>0</v>
      </c>
      <c r="W815" t="b">
        <v>0</v>
      </c>
      <c r="X815" t="b">
        <v>0</v>
      </c>
      <c r="Y815" t="b">
        <v>0</v>
      </c>
      <c r="Z815" t="b">
        <v>1</v>
      </c>
      <c r="AA815" t="b">
        <v>1</v>
      </c>
      <c r="AB815" t="b">
        <v>0</v>
      </c>
      <c r="AC815"/>
      <c r="AD815" t="s">
        <v>173</v>
      </c>
      <c r="AE815" t="s">
        <v>177</v>
      </c>
      <c r="AF815" t="s">
        <v>175</v>
      </c>
      <c r="AG815" t="s">
        <v>173</v>
      </c>
      <c r="AH815" t="s">
        <v>173</v>
      </c>
      <c r="AI815" t="s">
        <v>173</v>
      </c>
      <c r="AJ815" t="s">
        <v>173</v>
      </c>
      <c r="AK815" t="s">
        <v>171</v>
      </c>
      <c r="AL815" t="s">
        <v>171</v>
      </c>
      <c r="AM815" t="s">
        <v>173</v>
      </c>
      <c r="AN815" t="s">
        <v>177</v>
      </c>
      <c r="AO815" t="s">
        <v>177</v>
      </c>
      <c r="AP815" t="s">
        <v>177</v>
      </c>
      <c r="AQ815" t="s">
        <v>173</v>
      </c>
      <c r="AR815" t="s">
        <v>173</v>
      </c>
      <c r="AS815" t="s">
        <v>173</v>
      </c>
      <c r="AT815" t="s">
        <v>173</v>
      </c>
      <c r="AU815" t="s">
        <v>177</v>
      </c>
      <c r="AV815" t="s">
        <v>177</v>
      </c>
      <c r="AW815" t="s">
        <v>173</v>
      </c>
      <c r="AX815" t="s">
        <v>192</v>
      </c>
      <c r="AY815" t="s">
        <v>196</v>
      </c>
    </row>
    <row r="816" hidden="1" spans="1:51">
      <c r="A816">
        <v>816</v>
      </c>
      <c r="B816" t="s">
        <v>259</v>
      </c>
      <c r="C816">
        <v>2024</v>
      </c>
      <c r="D816" t="s">
        <v>247</v>
      </c>
      <c r="E816" t="s">
        <v>247</v>
      </c>
      <c r="F816" t="s">
        <v>275</v>
      </c>
      <c r="G816"/>
      <c r="H816" t="s">
        <v>247</v>
      </c>
      <c r="I816"/>
      <c r="J816" t="s">
        <v>252</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1</v>
      </c>
      <c r="AC816" t="s">
        <v>171</v>
      </c>
      <c r="AE816" t="s">
        <v>171</v>
      </c>
      <c r="AF816" t="s">
        <v>171</v>
      </c>
      <c r="AG816" t="s">
        <v>171</v>
      </c>
      <c r="AH816" t="s">
        <v>171</v>
      </c>
      <c r="AI816" t="s">
        <v>171</v>
      </c>
      <c r="AJ816" t="s">
        <v>171</v>
      </c>
      <c r="AK816" t="s">
        <v>171</v>
      </c>
      <c r="AL816" t="s">
        <v>171</v>
      </c>
      <c r="AM816" t="s">
        <v>171</v>
      </c>
      <c r="AN816" t="s">
        <v>171</v>
      </c>
      <c r="AR816" t="s">
        <v>171</v>
      </c>
      <c r="AS816" t="s">
        <v>171</v>
      </c>
      <c r="AT816" t="s">
        <v>171</v>
      </c>
      <c r="AU816" t="s">
        <v>171</v>
      </c>
      <c r="AV816" t="s">
        <v>171</v>
      </c>
      <c r="AW816" t="s">
        <v>171</v>
      </c>
      <c r="AX816" t="s">
        <v>192</v>
      </c>
      <c r="AY816" t="s">
        <v>195</v>
      </c>
    </row>
    <row r="817" hidden="1" spans="1:51">
      <c r="A817">
        <v>817</v>
      </c>
      <c r="B817" t="s">
        <v>269</v>
      </c>
      <c r="C817">
        <v>2024</v>
      </c>
      <c r="D817">
        <v>2021</v>
      </c>
      <c r="E817">
        <v>2021</v>
      </c>
      <c r="F817" t="s">
        <v>256</v>
      </c>
      <c r="G817" t="s">
        <v>257</v>
      </c>
      <c r="H817" t="s">
        <v>273</v>
      </c>
      <c r="I817"/>
      <c r="J817" t="s">
        <v>252</v>
      </c>
      <c r="K817" t="b">
        <v>0</v>
      </c>
      <c r="L817" t="b">
        <v>1</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s">
        <v>173</v>
      </c>
      <c r="AD817" t="s">
        <v>175</v>
      </c>
      <c r="AE817" t="s">
        <v>173</v>
      </c>
      <c r="AF817" t="s">
        <v>173</v>
      </c>
      <c r="AG817" t="s">
        <v>173</v>
      </c>
      <c r="AH817" t="s">
        <v>173</v>
      </c>
      <c r="AI817" t="s">
        <v>173</v>
      </c>
      <c r="AJ817" t="s">
        <v>173</v>
      </c>
      <c r="AK817" t="s">
        <v>173</v>
      </c>
      <c r="AL817" t="s">
        <v>173</v>
      </c>
      <c r="AM817" t="s">
        <v>173</v>
      </c>
      <c r="AN817" t="s">
        <v>175</v>
      </c>
      <c r="AO817" t="s">
        <v>171</v>
      </c>
      <c r="AP817" t="s">
        <v>171</v>
      </c>
      <c r="AQ817" t="s">
        <v>171</v>
      </c>
      <c r="AR817" t="s">
        <v>173</v>
      </c>
      <c r="AS817" t="s">
        <v>171</v>
      </c>
      <c r="AT817" t="s">
        <v>171</v>
      </c>
      <c r="AU817" t="s">
        <v>171</v>
      </c>
      <c r="AV817" t="s">
        <v>171</v>
      </c>
      <c r="AW817" t="s">
        <v>171</v>
      </c>
      <c r="AX817" t="s">
        <v>193</v>
      </c>
      <c r="AY817" t="s">
        <v>202</v>
      </c>
    </row>
    <row r="818" hidden="1" spans="1:51">
      <c r="A818">
        <v>818</v>
      </c>
      <c r="B818" t="s">
        <v>272</v>
      </c>
      <c r="C818">
        <v>2024</v>
      </c>
      <c r="D818">
        <v>2021</v>
      </c>
      <c r="E818">
        <v>2021</v>
      </c>
      <c r="F818" t="s">
        <v>256</v>
      </c>
      <c r="G818" t="s">
        <v>263</v>
      </c>
      <c r="H818" t="s">
        <v>267</v>
      </c>
      <c r="I818"/>
      <c r="J818" t="s">
        <v>252</v>
      </c>
      <c r="K818" t="b">
        <v>0</v>
      </c>
      <c r="L818" t="b">
        <v>0</v>
      </c>
      <c r="M818" t="b">
        <v>0</v>
      </c>
      <c r="N818" t="b">
        <v>0</v>
      </c>
      <c r="O818" t="b">
        <v>0</v>
      </c>
      <c r="P818" t="b">
        <v>0</v>
      </c>
      <c r="Q818" t="b">
        <v>0</v>
      </c>
      <c r="R818" t="b">
        <v>0</v>
      </c>
      <c r="S818" t="b">
        <v>0</v>
      </c>
      <c r="T818" t="b">
        <v>0</v>
      </c>
      <c r="U818" t="b">
        <v>0</v>
      </c>
      <c r="V818" t="b">
        <v>0</v>
      </c>
      <c r="W818" t="b">
        <v>1</v>
      </c>
      <c r="X818" t="b">
        <v>0</v>
      </c>
      <c r="Y818" t="b">
        <v>0</v>
      </c>
      <c r="Z818" t="b">
        <v>0</v>
      </c>
      <c r="AA818" t="b">
        <v>0</v>
      </c>
      <c r="AB818" t="b">
        <v>0</v>
      </c>
      <c r="AC818" t="s">
        <v>171</v>
      </c>
      <c r="AD818" t="s">
        <v>171</v>
      </c>
      <c r="AE818" t="s">
        <v>173</v>
      </c>
      <c r="AF818" t="s">
        <v>173</v>
      </c>
      <c r="AG818" t="s">
        <v>171</v>
      </c>
      <c r="AH818" t="s">
        <v>171</v>
      </c>
      <c r="AI818" t="s">
        <v>175</v>
      </c>
      <c r="AJ818" t="s">
        <v>175</v>
      </c>
      <c r="AK818" t="s">
        <v>173</v>
      </c>
      <c r="AL818" t="s">
        <v>173</v>
      </c>
      <c r="AM818" t="s">
        <v>173</v>
      </c>
      <c r="AN818" t="s">
        <v>173</v>
      </c>
      <c r="AO818" t="s">
        <v>173</v>
      </c>
      <c r="AP818" t="s">
        <v>175</v>
      </c>
      <c r="AQ818" t="s">
        <v>175</v>
      </c>
      <c r="AR818" t="s">
        <v>175</v>
      </c>
      <c r="AS818" t="s">
        <v>173</v>
      </c>
      <c r="AT818" t="s">
        <v>175</v>
      </c>
      <c r="AU818" t="s">
        <v>173</v>
      </c>
      <c r="AV818" t="s">
        <v>175</v>
      </c>
      <c r="AW818" t="s">
        <v>173</v>
      </c>
      <c r="AX818" t="s">
        <v>192</v>
      </c>
      <c r="AY818" t="s">
        <v>202</v>
      </c>
    </row>
    <row r="819" hidden="1" spans="1:51">
      <c r="A819">
        <v>819</v>
      </c>
      <c r="B819" t="s">
        <v>259</v>
      </c>
      <c r="C819">
        <v>2024</v>
      </c>
      <c r="D819">
        <v>1986</v>
      </c>
      <c r="E819">
        <v>2008</v>
      </c>
      <c r="F819" t="s">
        <v>256</v>
      </c>
      <c r="G819" t="s">
        <v>257</v>
      </c>
      <c r="H819" t="s">
        <v>258</v>
      </c>
      <c r="I819"/>
      <c r="J819" t="s">
        <v>265</v>
      </c>
      <c r="K819" t="b">
        <v>0</v>
      </c>
      <c r="L819" t="b">
        <v>0</v>
      </c>
      <c r="M819" t="b">
        <v>0</v>
      </c>
      <c r="N819" t="b">
        <v>0</v>
      </c>
      <c r="O819" t="b">
        <v>0</v>
      </c>
      <c r="P819" t="b">
        <v>0</v>
      </c>
      <c r="Q819" t="b">
        <v>0</v>
      </c>
      <c r="R819" t="b">
        <v>0</v>
      </c>
      <c r="S819" t="b">
        <v>0</v>
      </c>
      <c r="T819" t="b">
        <v>0</v>
      </c>
      <c r="U819" t="b">
        <v>1</v>
      </c>
      <c r="V819" t="b">
        <v>0</v>
      </c>
      <c r="W819" t="b">
        <v>0</v>
      </c>
      <c r="X819" t="b">
        <v>1</v>
      </c>
      <c r="Y819" t="b">
        <v>0</v>
      </c>
      <c r="Z819" t="b">
        <v>0</v>
      </c>
      <c r="AA819" t="b">
        <v>1</v>
      </c>
      <c r="AB819" t="b">
        <v>0</v>
      </c>
      <c r="AC819" t="s">
        <v>171</v>
      </c>
      <c r="AD819" t="s">
        <v>175</v>
      </c>
      <c r="AE819" t="s">
        <v>177</v>
      </c>
      <c r="AF819" t="s">
        <v>177</v>
      </c>
      <c r="AG819" t="s">
        <v>173</v>
      </c>
      <c r="AH819" t="s">
        <v>175</v>
      </c>
      <c r="AI819" t="s">
        <v>175</v>
      </c>
      <c r="AJ819" t="s">
        <v>177</v>
      </c>
      <c r="AK819" t="s">
        <v>173</v>
      </c>
      <c r="AL819" t="s">
        <v>175</v>
      </c>
      <c r="AM819" t="s">
        <v>173</v>
      </c>
      <c r="AN819" t="s">
        <v>173</v>
      </c>
      <c r="AO819" t="s">
        <v>175</v>
      </c>
      <c r="AP819" t="s">
        <v>171</v>
      </c>
      <c r="AQ819" t="s">
        <v>171</v>
      </c>
      <c r="AR819" t="s">
        <v>175</v>
      </c>
      <c r="AS819" t="s">
        <v>177</v>
      </c>
      <c r="AT819" t="s">
        <v>173</v>
      </c>
      <c r="AU819" t="s">
        <v>173</v>
      </c>
      <c r="AV819" t="s">
        <v>173</v>
      </c>
      <c r="AW819" t="s">
        <v>171</v>
      </c>
      <c r="AX819" t="s">
        <v>192</v>
      </c>
      <c r="AY819" t="s">
        <v>196</v>
      </c>
    </row>
    <row r="820" hidden="1" spans="1:51">
      <c r="A820">
        <v>820</v>
      </c>
      <c r="B820" t="s">
        <v>259</v>
      </c>
      <c r="C820">
        <v>2024</v>
      </c>
      <c r="D820">
        <v>1989</v>
      </c>
      <c r="E820">
        <v>1989</v>
      </c>
      <c r="F820" t="s">
        <v>256</v>
      </c>
      <c r="G820" t="s">
        <v>263</v>
      </c>
      <c r="H820" t="s">
        <v>267</v>
      </c>
      <c r="I820"/>
      <c r="J820" t="s">
        <v>252</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1</v>
      </c>
      <c r="AC820" t="s">
        <v>173</v>
      </c>
      <c r="AD820" t="s">
        <v>171</v>
      </c>
      <c r="AE820" t="s">
        <v>177</v>
      </c>
      <c r="AF820" t="s">
        <v>177</v>
      </c>
      <c r="AG820" t="s">
        <v>177</v>
      </c>
      <c r="AH820" t="s">
        <v>173</v>
      </c>
      <c r="AI820" t="s">
        <v>173</v>
      </c>
      <c r="AJ820" t="s">
        <v>175</v>
      </c>
      <c r="AK820" t="s">
        <v>173</v>
      </c>
      <c r="AL820" t="s">
        <v>175</v>
      </c>
      <c r="AM820" t="s">
        <v>173</v>
      </c>
      <c r="AN820" t="s">
        <v>173</v>
      </c>
      <c r="AO820" t="s">
        <v>175</v>
      </c>
      <c r="AP820" t="s">
        <v>173</v>
      </c>
      <c r="AQ820" t="s">
        <v>175</v>
      </c>
      <c r="AR820" t="s">
        <v>175</v>
      </c>
      <c r="AS820" t="s">
        <v>173</v>
      </c>
      <c r="AT820" t="s">
        <v>173</v>
      </c>
      <c r="AU820" t="s">
        <v>175</v>
      </c>
      <c r="AV820" t="s">
        <v>175</v>
      </c>
      <c r="AW820" t="s">
        <v>175</v>
      </c>
      <c r="AX820" t="s">
        <v>193</v>
      </c>
      <c r="AY820" t="s">
        <v>197</v>
      </c>
    </row>
    <row r="821" spans="1:65">
      <c r="A821">
        <v>821</v>
      </c>
      <c r="B821" t="s">
        <v>315</v>
      </c>
      <c r="C821" s="10">
        <v>2024</v>
      </c>
      <c r="D821" s="10">
        <v>2018</v>
      </c>
      <c r="E821" s="10">
        <v>2018</v>
      </c>
      <c r="F821" s="10" t="s">
        <v>241</v>
      </c>
      <c r="G821" s="10" t="s">
        <v>242</v>
      </c>
      <c r="H821" s="10" t="s">
        <v>243</v>
      </c>
      <c r="I821" s="10" t="s">
        <v>271</v>
      </c>
      <c r="J821" s="10" t="s">
        <v>245</v>
      </c>
      <c r="K821" t="b">
        <v>0</v>
      </c>
      <c r="L821" t="b">
        <v>0</v>
      </c>
      <c r="M821" t="b">
        <v>0</v>
      </c>
      <c r="N821" t="b">
        <v>0</v>
      </c>
      <c r="O821" t="b">
        <v>0</v>
      </c>
      <c r="P821" t="b">
        <v>0</v>
      </c>
      <c r="Q821" t="b">
        <v>0</v>
      </c>
      <c r="R821" t="b">
        <v>0</v>
      </c>
      <c r="S821" t="b">
        <v>0</v>
      </c>
      <c r="T821" t="b">
        <v>0</v>
      </c>
      <c r="U821" t="b">
        <v>1</v>
      </c>
      <c r="V821" t="b">
        <v>1</v>
      </c>
      <c r="W821" t="b">
        <v>0</v>
      </c>
      <c r="X821" t="b">
        <v>0</v>
      </c>
      <c r="Y821" t="b">
        <v>0</v>
      </c>
      <c r="Z821" t="b">
        <v>1</v>
      </c>
      <c r="AA821" t="b">
        <v>0</v>
      </c>
      <c r="AB821" t="b">
        <v>0</v>
      </c>
      <c r="AC821" s="10" t="s">
        <v>173</v>
      </c>
      <c r="AD821" t="s">
        <v>173</v>
      </c>
      <c r="AE821" t="s">
        <v>173</v>
      </c>
      <c r="AF821" t="s">
        <v>173</v>
      </c>
      <c r="AG821" t="s">
        <v>173</v>
      </c>
      <c r="AH821" t="s">
        <v>177</v>
      </c>
      <c r="AI821" t="s">
        <v>175</v>
      </c>
      <c r="AJ821" t="s">
        <v>173</v>
      </c>
      <c r="AK821" t="s">
        <v>173</v>
      </c>
      <c r="AL821" t="s">
        <v>173</v>
      </c>
      <c r="AM821" t="s">
        <v>173</v>
      </c>
      <c r="AN821" t="s">
        <v>173</v>
      </c>
      <c r="AO821" t="s">
        <v>173</v>
      </c>
      <c r="AP821" t="s">
        <v>173</v>
      </c>
      <c r="AQ821" t="s">
        <v>173</v>
      </c>
      <c r="AR821" t="s">
        <v>173</v>
      </c>
      <c r="AS821" t="s">
        <v>173</v>
      </c>
      <c r="AT821" t="s">
        <v>173</v>
      </c>
      <c r="AU821" t="s">
        <v>173</v>
      </c>
      <c r="AV821" t="s">
        <v>175</v>
      </c>
      <c r="AW821" t="s">
        <v>173</v>
      </c>
      <c r="AX821" t="s">
        <v>192</v>
      </c>
      <c r="AY821" t="s">
        <v>203</v>
      </c>
      <c r="BE821" t="str">
        <f>IF(AY821="","Unknown",AY821)</f>
        <v>31-35</v>
      </c>
      <c r="BF821" s="11" t="str">
        <f>IF(AZ821="","unknown",AZ821)</f>
        <v>unknown</v>
      </c>
      <c r="BG821" s="11" t="str">
        <f>IF(BA821="","UNKNOWN",BA821)</f>
        <v>UNKNOWN</v>
      </c>
      <c r="BH821" s="11" t="str">
        <f>IF(BB821="","unknown",BB821)</f>
        <v>unknown</v>
      </c>
      <c r="BI821" s="11" t="str">
        <f>IF(BC821="","Unknon",BC821)</f>
        <v>Unknon</v>
      </c>
      <c r="BJ821" s="11" t="str">
        <f>IF(BD821="","Unknown",BD821)</f>
        <v>Unknown</v>
      </c>
      <c r="BK821" s="11">
        <f>VALUE(C821)-VALUE(D821)</f>
        <v>6</v>
      </c>
      <c r="BM821" s="11"/>
    </row>
    <row r="822" hidden="1" spans="1:51">
      <c r="A822">
        <v>822</v>
      </c>
      <c r="B822" t="s">
        <v>280</v>
      </c>
      <c r="C822">
        <v>2024</v>
      </c>
      <c r="D822">
        <v>2010</v>
      </c>
      <c r="E822">
        <v>2018</v>
      </c>
      <c r="F822" t="s">
        <v>256</v>
      </c>
      <c r="G822" t="s">
        <v>263</v>
      </c>
      <c r="H822" t="s">
        <v>264</v>
      </c>
      <c r="I822"/>
      <c r="J822" t="s">
        <v>252</v>
      </c>
      <c r="K822" t="b">
        <v>0</v>
      </c>
      <c r="L822" t="b">
        <v>0</v>
      </c>
      <c r="M822" t="b">
        <v>0</v>
      </c>
      <c r="N822" t="b">
        <v>0</v>
      </c>
      <c r="O822" t="b">
        <v>0</v>
      </c>
      <c r="P822" t="b">
        <v>0</v>
      </c>
      <c r="Q822" t="b">
        <v>0</v>
      </c>
      <c r="R822" t="b">
        <v>0</v>
      </c>
      <c r="S822" t="b">
        <v>0</v>
      </c>
      <c r="T822" t="b">
        <v>0</v>
      </c>
      <c r="U822" t="b">
        <v>0</v>
      </c>
      <c r="V822" t="b">
        <v>0</v>
      </c>
      <c r="W822" t="b">
        <v>0</v>
      </c>
      <c r="X822" t="b">
        <v>1</v>
      </c>
      <c r="Y822" t="b">
        <v>0</v>
      </c>
      <c r="Z822" t="b">
        <v>0</v>
      </c>
      <c r="AA822" t="b">
        <v>0</v>
      </c>
      <c r="AB822" t="b">
        <v>0</v>
      </c>
      <c r="AC822" t="s">
        <v>173</v>
      </c>
      <c r="AD822" t="s">
        <v>177</v>
      </c>
      <c r="AE822" t="s">
        <v>177</v>
      </c>
      <c r="AF822" t="s">
        <v>173</v>
      </c>
      <c r="AG822" t="s">
        <v>179</v>
      </c>
      <c r="AH822" t="s">
        <v>179</v>
      </c>
      <c r="AI822" t="s">
        <v>179</v>
      </c>
      <c r="AJ822" t="s">
        <v>173</v>
      </c>
      <c r="AK822" t="s">
        <v>177</v>
      </c>
      <c r="AL822" t="s">
        <v>179</v>
      </c>
      <c r="AM822" t="s">
        <v>179</v>
      </c>
      <c r="AN822" t="s">
        <v>177</v>
      </c>
      <c r="AO822" t="s">
        <v>173</v>
      </c>
      <c r="AP822" t="s">
        <v>173</v>
      </c>
      <c r="AQ822" t="s">
        <v>175</v>
      </c>
      <c r="AR822" t="s">
        <v>175</v>
      </c>
      <c r="AS822" t="s">
        <v>175</v>
      </c>
      <c r="AT822" t="s">
        <v>179</v>
      </c>
      <c r="AU822" t="s">
        <v>173</v>
      </c>
      <c r="AV822" t="s">
        <v>175</v>
      </c>
      <c r="AW822" t="s">
        <v>173</v>
      </c>
      <c r="AX822" t="s">
        <v>192</v>
      </c>
      <c r="AY822" t="s">
        <v>199</v>
      </c>
    </row>
    <row r="823" hidden="1" spans="1:29">
      <c r="A823">
        <v>823</v>
      </c>
      <c r="B823" t="s">
        <v>272</v>
      </c>
      <c r="C823">
        <v>2024</v>
      </c>
      <c r="D823" t="s">
        <v>247</v>
      </c>
      <c r="E823" t="s">
        <v>247</v>
      </c>
      <c r="F823" t="s">
        <v>266</v>
      </c>
      <c r="G823"/>
      <c r="H823" t="s">
        <v>274</v>
      </c>
      <c r="I823"/>
      <c r="J823"/>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row>
  </sheetData>
  <autoFilter xmlns:etc="http://www.wps.cn/officeDocument/2017/etCustomData" ref="A1:BD823" etc:filterBottomFollowUsedRange="0">
    <filterColumn colId="3">
      <filters>
        <filter val="1990"/>
        <filter val="2010"/>
        <filter val="1991"/>
        <filter val="2011"/>
        <filter val="1992"/>
        <filter val="2012"/>
        <filter val="1993"/>
        <filter val="2013"/>
        <filter val="1994"/>
        <filter val="2014"/>
        <filter val="1995"/>
        <filter val="2015"/>
        <filter val="1996"/>
        <filter val="2016"/>
        <filter val="1997"/>
        <filter val="2017"/>
        <filter val="1998"/>
        <filter val="2018"/>
        <filter val="1999"/>
        <filter val="2019"/>
        <filter val="2020"/>
        <filter val="2021"/>
        <filter val="2022"/>
        <filter val="1972"/>
        <filter val="1974"/>
        <filter val="1975"/>
        <filter val="1976"/>
        <filter val="1977"/>
        <filter val="1978"/>
        <filter val="1979"/>
        <filter val="1980"/>
        <filter val="2000"/>
        <filter val="1981"/>
        <filter val="2001"/>
        <filter val="1982"/>
        <filter val="2002"/>
        <filter val="1983"/>
        <filter val="2003"/>
        <filter val="1984"/>
        <filter val="2004"/>
        <filter val="1985"/>
        <filter val="2005"/>
        <filter val="1986"/>
        <filter val="2006"/>
        <filter val="1987"/>
        <filter val="2007"/>
        <filter val="1988"/>
        <filter val="2008"/>
        <filter val="1989"/>
        <filter val="2009"/>
      </filters>
    </filterColumn>
    <filterColumn colId="4">
      <filters>
        <filter val="1990"/>
        <filter val="2010"/>
        <filter val="1991"/>
        <filter val="2011"/>
        <filter val="1992"/>
        <filter val="2012"/>
        <filter val="1993"/>
        <filter val="2013"/>
        <filter val="1994"/>
        <filter val="2014"/>
        <filter val="1995"/>
        <filter val="2015"/>
        <filter val="1996"/>
        <filter val="2016"/>
        <filter val="1997"/>
        <filter val="2017"/>
        <filter val="1998"/>
        <filter val="2018"/>
        <filter val="1999"/>
        <filter val="2019"/>
        <filter val="2020"/>
        <filter val="2021"/>
        <filter val="2022"/>
        <filter val="1979"/>
        <filter val="1980"/>
        <filter val="2000"/>
        <filter val="1981"/>
        <filter val="2001"/>
        <filter val="1982"/>
        <filter val="2002"/>
        <filter val="1983"/>
        <filter val="2003"/>
        <filter val="1984"/>
        <filter val="2004"/>
        <filter val="1985"/>
        <filter val="2005"/>
        <filter val="1986"/>
        <filter val="2006"/>
        <filter val="1987"/>
        <filter val="2007"/>
        <filter val="1988"/>
        <filter val="2008"/>
        <filter val="209"/>
        <filter val="1989"/>
        <filter val="2009"/>
      </filters>
    </filterColumn>
    <filterColumn colId="5">
      <filters>
        <filter val="Other"/>
        <filter val="Technical Officer"/>
        <filter val="Cleaner"/>
        <filter val="Business Service Manager"/>
        <filter val="Teacher"/>
        <filter val="Professional Officer"/>
        <filter val="Guidance Officer"/>
        <filter val="Schools Officer"/>
        <filter val="Public Servant"/>
        <filter val="Teacher Aide"/>
        <filter val="School Administrative Staff"/>
        <filter val="School Based Professional Staff (Therapist, nurse, etc)"/>
        <filter val="Deputy Principal"/>
        <filter val="School Principal"/>
        <filter val="Head of Curriculum/Head of Special Education"/>
      </filters>
    </filterColumn>
    <filterColumn colId="6">
      <filters>
        <filter val="A01-A04"/>
        <filter val="PO1-PO4"/>
        <filter val="AO8 and Above"/>
        <filter val="Middle"/>
        <filter val="AO5-AO7"/>
        <filter val="Primary"/>
        <filter val="Secondary"/>
        <filter val="Special Education"/>
      </filters>
    </filterColumn>
    <filterColumn colId="8">
      <filters>
        <filter val="Other"/>
        <filter val="Information and Technologies"/>
        <filter val="Indigenous Education and Training Futures"/>
        <filter val="Human Resources"/>
        <filter val="Training and Tertiary Education Queensland"/>
        <filter val="Education Queensland"/>
        <filter val="Corporate Procurement"/>
        <filter val="Infrastructure"/>
        <filter val="Finance"/>
        <filter val="Corporate Strategy and Peformance"/>
        <filter val="Early Childhood Education and Care"/>
        <filter val="Policy, Research, Legislation"/>
      </filters>
    </filterColumn>
    <extLst/>
  </autoFilter>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61"/>
  <sheetViews>
    <sheetView workbookViewId="0">
      <selection activeCell="B2" sqref="B2:R61"/>
    </sheetView>
  </sheetViews>
  <sheetFormatPr defaultColWidth="8.83333333333333" defaultRowHeight="13.8"/>
  <sheetData>
    <row r="1" ht="14.55"/>
    <row r="2" spans="2:18">
      <c r="B2" s="1" t="s">
        <v>320</v>
      </c>
      <c r="C2" s="2"/>
      <c r="D2" s="2"/>
      <c r="E2" s="2"/>
      <c r="F2" s="2"/>
      <c r="G2" s="2"/>
      <c r="H2" s="2"/>
      <c r="I2" s="2"/>
      <c r="J2" s="2"/>
      <c r="K2" s="2"/>
      <c r="L2" s="2"/>
      <c r="M2" s="2"/>
      <c r="N2" s="2"/>
      <c r="O2" s="2"/>
      <c r="P2" s="2"/>
      <c r="Q2" s="2"/>
      <c r="R2" s="7"/>
    </row>
    <row r="3" spans="2:18">
      <c r="B3" s="3"/>
      <c r="C3" s="4"/>
      <c r="D3" s="4"/>
      <c r="E3" s="4"/>
      <c r="F3" s="4"/>
      <c r="G3" s="4"/>
      <c r="H3" s="4"/>
      <c r="I3" s="4"/>
      <c r="J3" s="4"/>
      <c r="K3" s="4"/>
      <c r="L3" s="4"/>
      <c r="M3" s="4"/>
      <c r="N3" s="4"/>
      <c r="O3" s="4"/>
      <c r="P3" s="4"/>
      <c r="Q3" s="4"/>
      <c r="R3" s="8"/>
    </row>
    <row r="4" spans="2:18">
      <c r="B4" s="3"/>
      <c r="C4" s="4"/>
      <c r="D4" s="4"/>
      <c r="E4" s="4"/>
      <c r="F4" s="4"/>
      <c r="G4" s="4"/>
      <c r="H4" s="4"/>
      <c r="I4" s="4"/>
      <c r="J4" s="4"/>
      <c r="K4" s="4"/>
      <c r="L4" s="4"/>
      <c r="M4" s="4"/>
      <c r="N4" s="4"/>
      <c r="O4" s="4"/>
      <c r="P4" s="4"/>
      <c r="Q4" s="4"/>
      <c r="R4" s="8"/>
    </row>
    <row r="5" spans="2:18">
      <c r="B5" s="3"/>
      <c r="C5" s="4"/>
      <c r="D5" s="4"/>
      <c r="E5" s="4"/>
      <c r="F5" s="4"/>
      <c r="G5" s="4"/>
      <c r="H5" s="4"/>
      <c r="I5" s="4"/>
      <c r="J5" s="4"/>
      <c r="K5" s="4"/>
      <c r="L5" s="4"/>
      <c r="M5" s="4"/>
      <c r="N5" s="4"/>
      <c r="O5" s="4"/>
      <c r="P5" s="4"/>
      <c r="Q5" s="4"/>
      <c r="R5" s="8"/>
    </row>
    <row r="6" spans="2:18">
      <c r="B6" s="3"/>
      <c r="C6" s="4"/>
      <c r="D6" s="4"/>
      <c r="E6" s="4"/>
      <c r="F6" s="4"/>
      <c r="G6" s="4"/>
      <c r="H6" s="4"/>
      <c r="I6" s="4"/>
      <c r="J6" s="4"/>
      <c r="K6" s="4"/>
      <c r="L6" s="4"/>
      <c r="M6" s="4"/>
      <c r="N6" s="4"/>
      <c r="O6" s="4"/>
      <c r="P6" s="4"/>
      <c r="Q6" s="4"/>
      <c r="R6" s="8"/>
    </row>
    <row r="7" spans="2:18">
      <c r="B7" s="3"/>
      <c r="C7" s="4"/>
      <c r="D7" s="4"/>
      <c r="E7" s="4"/>
      <c r="F7" s="4"/>
      <c r="G7" s="4"/>
      <c r="H7" s="4"/>
      <c r="I7" s="4"/>
      <c r="J7" s="4"/>
      <c r="K7" s="4"/>
      <c r="L7" s="4"/>
      <c r="M7" s="4"/>
      <c r="N7" s="4"/>
      <c r="O7" s="4"/>
      <c r="P7" s="4"/>
      <c r="Q7" s="4"/>
      <c r="R7" s="8"/>
    </row>
    <row r="8" spans="2:18">
      <c r="B8" s="3"/>
      <c r="C8" s="4"/>
      <c r="D8" s="4"/>
      <c r="E8" s="4"/>
      <c r="F8" s="4"/>
      <c r="G8" s="4"/>
      <c r="H8" s="4"/>
      <c r="I8" s="4"/>
      <c r="J8" s="4"/>
      <c r="K8" s="4"/>
      <c r="L8" s="4"/>
      <c r="M8" s="4"/>
      <c r="N8" s="4"/>
      <c r="O8" s="4"/>
      <c r="P8" s="4"/>
      <c r="Q8" s="4"/>
      <c r="R8" s="8"/>
    </row>
    <row r="9" spans="2:18">
      <c r="B9" s="3"/>
      <c r="C9" s="4"/>
      <c r="D9" s="4"/>
      <c r="E9" s="4"/>
      <c r="F9" s="4"/>
      <c r="G9" s="4"/>
      <c r="H9" s="4"/>
      <c r="I9" s="4"/>
      <c r="J9" s="4"/>
      <c r="K9" s="4"/>
      <c r="L9" s="4"/>
      <c r="M9" s="4"/>
      <c r="N9" s="4"/>
      <c r="O9" s="4"/>
      <c r="P9" s="4"/>
      <c r="Q9" s="4"/>
      <c r="R9" s="8"/>
    </row>
    <row r="10" spans="2:18">
      <c r="B10" s="3"/>
      <c r="C10" s="4"/>
      <c r="D10" s="4"/>
      <c r="E10" s="4"/>
      <c r="F10" s="4"/>
      <c r="G10" s="4"/>
      <c r="H10" s="4"/>
      <c r="I10" s="4"/>
      <c r="J10" s="4"/>
      <c r="K10" s="4"/>
      <c r="L10" s="4"/>
      <c r="M10" s="4"/>
      <c r="N10" s="4"/>
      <c r="O10" s="4"/>
      <c r="P10" s="4"/>
      <c r="Q10" s="4"/>
      <c r="R10" s="8"/>
    </row>
    <row r="11" spans="2:18">
      <c r="B11" s="3"/>
      <c r="C11" s="4"/>
      <c r="D11" s="4"/>
      <c r="E11" s="4"/>
      <c r="F11" s="4"/>
      <c r="G11" s="4"/>
      <c r="H11" s="4"/>
      <c r="I11" s="4"/>
      <c r="J11" s="4"/>
      <c r="K11" s="4"/>
      <c r="L11" s="4"/>
      <c r="M11" s="4"/>
      <c r="N11" s="4"/>
      <c r="O11" s="4"/>
      <c r="P11" s="4"/>
      <c r="Q11" s="4"/>
      <c r="R11" s="8"/>
    </row>
    <row r="12" spans="2:18">
      <c r="B12" s="3"/>
      <c r="C12" s="4"/>
      <c r="D12" s="4"/>
      <c r="E12" s="4"/>
      <c r="F12" s="4"/>
      <c r="G12" s="4"/>
      <c r="H12" s="4"/>
      <c r="I12" s="4"/>
      <c r="J12" s="4"/>
      <c r="K12" s="4"/>
      <c r="L12" s="4"/>
      <c r="M12" s="4"/>
      <c r="N12" s="4"/>
      <c r="O12" s="4"/>
      <c r="P12" s="4"/>
      <c r="Q12" s="4"/>
      <c r="R12" s="8"/>
    </row>
    <row r="13" spans="2:18">
      <c r="B13" s="3"/>
      <c r="C13" s="4"/>
      <c r="D13" s="4"/>
      <c r="E13" s="4"/>
      <c r="F13" s="4"/>
      <c r="G13" s="4"/>
      <c r="H13" s="4"/>
      <c r="I13" s="4"/>
      <c r="J13" s="4"/>
      <c r="K13" s="4"/>
      <c r="L13" s="4"/>
      <c r="M13" s="4"/>
      <c r="N13" s="4"/>
      <c r="O13" s="4"/>
      <c r="P13" s="4"/>
      <c r="Q13" s="4"/>
      <c r="R13" s="8"/>
    </row>
    <row r="14" spans="2:18">
      <c r="B14" s="3"/>
      <c r="C14" s="4"/>
      <c r="D14" s="4"/>
      <c r="E14" s="4"/>
      <c r="F14" s="4"/>
      <c r="G14" s="4"/>
      <c r="H14" s="4"/>
      <c r="I14" s="4"/>
      <c r="J14" s="4"/>
      <c r="K14" s="4"/>
      <c r="L14" s="4"/>
      <c r="M14" s="4"/>
      <c r="N14" s="4"/>
      <c r="O14" s="4"/>
      <c r="P14" s="4"/>
      <c r="Q14" s="4"/>
      <c r="R14" s="8"/>
    </row>
    <row r="15" spans="2:18">
      <c r="B15" s="3"/>
      <c r="C15" s="4"/>
      <c r="D15" s="4"/>
      <c r="E15" s="4"/>
      <c r="F15" s="4"/>
      <c r="G15" s="4"/>
      <c r="H15" s="4"/>
      <c r="I15" s="4"/>
      <c r="J15" s="4"/>
      <c r="K15" s="4"/>
      <c r="L15" s="4"/>
      <c r="M15" s="4"/>
      <c r="N15" s="4"/>
      <c r="O15" s="4"/>
      <c r="P15" s="4"/>
      <c r="Q15" s="4"/>
      <c r="R15" s="8"/>
    </row>
    <row r="16" spans="2:18">
      <c r="B16" s="3"/>
      <c r="C16" s="4"/>
      <c r="D16" s="4"/>
      <c r="E16" s="4"/>
      <c r="F16" s="4"/>
      <c r="G16" s="4"/>
      <c r="H16" s="4"/>
      <c r="I16" s="4"/>
      <c r="J16" s="4"/>
      <c r="K16" s="4"/>
      <c r="L16" s="4"/>
      <c r="M16" s="4"/>
      <c r="N16" s="4"/>
      <c r="O16" s="4"/>
      <c r="P16" s="4"/>
      <c r="Q16" s="4"/>
      <c r="R16" s="8"/>
    </row>
    <row r="17" spans="2:18">
      <c r="B17" s="3"/>
      <c r="C17" s="4"/>
      <c r="D17" s="4"/>
      <c r="E17" s="4"/>
      <c r="F17" s="4"/>
      <c r="G17" s="4"/>
      <c r="H17" s="4"/>
      <c r="I17" s="4"/>
      <c r="J17" s="4"/>
      <c r="K17" s="4"/>
      <c r="L17" s="4"/>
      <c r="M17" s="4"/>
      <c r="N17" s="4"/>
      <c r="O17" s="4"/>
      <c r="P17" s="4"/>
      <c r="Q17" s="4"/>
      <c r="R17" s="8"/>
    </row>
    <row r="18" spans="2:18">
      <c r="B18" s="3"/>
      <c r="C18" s="4"/>
      <c r="D18" s="4"/>
      <c r="E18" s="4"/>
      <c r="F18" s="4"/>
      <c r="G18" s="4"/>
      <c r="H18" s="4"/>
      <c r="I18" s="4"/>
      <c r="J18" s="4"/>
      <c r="K18" s="4"/>
      <c r="L18" s="4"/>
      <c r="M18" s="4"/>
      <c r="N18" s="4"/>
      <c r="O18" s="4"/>
      <c r="P18" s="4"/>
      <c r="Q18" s="4"/>
      <c r="R18" s="8"/>
    </row>
    <row r="19" spans="2:18">
      <c r="B19" s="3"/>
      <c r="C19" s="4"/>
      <c r="D19" s="4"/>
      <c r="E19" s="4"/>
      <c r="F19" s="4"/>
      <c r="G19" s="4"/>
      <c r="H19" s="4"/>
      <c r="I19" s="4"/>
      <c r="J19" s="4"/>
      <c r="K19" s="4"/>
      <c r="L19" s="4"/>
      <c r="M19" s="4"/>
      <c r="N19" s="4"/>
      <c r="O19" s="4"/>
      <c r="P19" s="4"/>
      <c r="Q19" s="4"/>
      <c r="R19" s="8"/>
    </row>
    <row r="20" spans="2:18">
      <c r="B20" s="3"/>
      <c r="C20" s="4"/>
      <c r="D20" s="4"/>
      <c r="E20" s="4"/>
      <c r="F20" s="4"/>
      <c r="G20" s="4"/>
      <c r="H20" s="4"/>
      <c r="I20" s="4"/>
      <c r="J20" s="4"/>
      <c r="K20" s="4"/>
      <c r="L20" s="4"/>
      <c r="M20" s="4"/>
      <c r="N20" s="4"/>
      <c r="O20" s="4"/>
      <c r="P20" s="4"/>
      <c r="Q20" s="4"/>
      <c r="R20" s="8"/>
    </row>
    <row r="21" spans="2:18">
      <c r="B21" s="3"/>
      <c r="C21" s="4"/>
      <c r="D21" s="4"/>
      <c r="E21" s="4"/>
      <c r="F21" s="4"/>
      <c r="G21" s="4"/>
      <c r="H21" s="4"/>
      <c r="I21" s="4"/>
      <c r="J21" s="4"/>
      <c r="K21" s="4"/>
      <c r="L21" s="4"/>
      <c r="M21" s="4"/>
      <c r="N21" s="4"/>
      <c r="O21" s="4"/>
      <c r="P21" s="4"/>
      <c r="Q21" s="4"/>
      <c r="R21" s="8"/>
    </row>
    <row r="22" spans="2:18">
      <c r="B22" s="3"/>
      <c r="C22" s="4"/>
      <c r="D22" s="4"/>
      <c r="E22" s="4"/>
      <c r="F22" s="4"/>
      <c r="G22" s="4"/>
      <c r="H22" s="4"/>
      <c r="I22" s="4"/>
      <c r="J22" s="4"/>
      <c r="K22" s="4"/>
      <c r="L22" s="4"/>
      <c r="M22" s="4"/>
      <c r="N22" s="4"/>
      <c r="O22" s="4"/>
      <c r="P22" s="4"/>
      <c r="Q22" s="4"/>
      <c r="R22" s="8"/>
    </row>
    <row r="23" spans="2:18">
      <c r="B23" s="3"/>
      <c r="C23" s="4"/>
      <c r="D23" s="4"/>
      <c r="E23" s="4"/>
      <c r="F23" s="4"/>
      <c r="G23" s="4"/>
      <c r="H23" s="4"/>
      <c r="I23" s="4"/>
      <c r="J23" s="4"/>
      <c r="K23" s="4"/>
      <c r="L23" s="4"/>
      <c r="M23" s="4"/>
      <c r="N23" s="4"/>
      <c r="O23" s="4"/>
      <c r="P23" s="4"/>
      <c r="Q23" s="4"/>
      <c r="R23" s="8"/>
    </row>
    <row r="24" spans="2:18">
      <c r="B24" s="3"/>
      <c r="C24" s="4"/>
      <c r="D24" s="4"/>
      <c r="E24" s="4"/>
      <c r="F24" s="4"/>
      <c r="G24" s="4"/>
      <c r="H24" s="4"/>
      <c r="I24" s="4"/>
      <c r="J24" s="4"/>
      <c r="K24" s="4"/>
      <c r="L24" s="4"/>
      <c r="M24" s="4"/>
      <c r="N24" s="4"/>
      <c r="O24" s="4"/>
      <c r="P24" s="4"/>
      <c r="Q24" s="4"/>
      <c r="R24" s="8"/>
    </row>
    <row r="25" spans="2:18">
      <c r="B25" s="3"/>
      <c r="C25" s="4"/>
      <c r="D25" s="4"/>
      <c r="E25" s="4"/>
      <c r="F25" s="4"/>
      <c r="G25" s="4"/>
      <c r="H25" s="4"/>
      <c r="I25" s="4"/>
      <c r="J25" s="4"/>
      <c r="K25" s="4"/>
      <c r="L25" s="4"/>
      <c r="M25" s="4"/>
      <c r="N25" s="4"/>
      <c r="O25" s="4"/>
      <c r="P25" s="4"/>
      <c r="Q25" s="4"/>
      <c r="R25" s="8"/>
    </row>
    <row r="26" spans="2:18">
      <c r="B26" s="3"/>
      <c r="C26" s="4"/>
      <c r="D26" s="4"/>
      <c r="E26" s="4"/>
      <c r="F26" s="4"/>
      <c r="G26" s="4"/>
      <c r="H26" s="4"/>
      <c r="I26" s="4"/>
      <c r="J26" s="4"/>
      <c r="K26" s="4"/>
      <c r="L26" s="4"/>
      <c r="M26" s="4"/>
      <c r="N26" s="4"/>
      <c r="O26" s="4"/>
      <c r="P26" s="4"/>
      <c r="Q26" s="4"/>
      <c r="R26" s="8"/>
    </row>
    <row r="27" spans="2:18">
      <c r="B27" s="3"/>
      <c r="C27" s="4"/>
      <c r="D27" s="4"/>
      <c r="E27" s="4"/>
      <c r="F27" s="4"/>
      <c r="G27" s="4"/>
      <c r="H27" s="4"/>
      <c r="I27" s="4"/>
      <c r="J27" s="4"/>
      <c r="K27" s="4"/>
      <c r="L27" s="4"/>
      <c r="M27" s="4"/>
      <c r="N27" s="4"/>
      <c r="O27" s="4"/>
      <c r="P27" s="4"/>
      <c r="Q27" s="4"/>
      <c r="R27" s="8"/>
    </row>
    <row r="28" spans="2:18">
      <c r="B28" s="3"/>
      <c r="C28" s="4"/>
      <c r="D28" s="4"/>
      <c r="E28" s="4"/>
      <c r="F28" s="4"/>
      <c r="G28" s="4"/>
      <c r="H28" s="4"/>
      <c r="I28" s="4"/>
      <c r="J28" s="4"/>
      <c r="K28" s="4"/>
      <c r="L28" s="4"/>
      <c r="M28" s="4"/>
      <c r="N28" s="4"/>
      <c r="O28" s="4"/>
      <c r="P28" s="4"/>
      <c r="Q28" s="4"/>
      <c r="R28" s="8"/>
    </row>
    <row r="29" spans="2:18">
      <c r="B29" s="3"/>
      <c r="C29" s="4"/>
      <c r="D29" s="4"/>
      <c r="E29" s="4"/>
      <c r="F29" s="4"/>
      <c r="G29" s="4"/>
      <c r="H29" s="4"/>
      <c r="I29" s="4"/>
      <c r="J29" s="4"/>
      <c r="K29" s="4"/>
      <c r="L29" s="4"/>
      <c r="M29" s="4"/>
      <c r="N29" s="4"/>
      <c r="O29" s="4"/>
      <c r="P29" s="4"/>
      <c r="Q29" s="4"/>
      <c r="R29" s="8"/>
    </row>
    <row r="30" spans="2:18">
      <c r="B30" s="3"/>
      <c r="C30" s="4"/>
      <c r="D30" s="4"/>
      <c r="E30" s="4"/>
      <c r="F30" s="4"/>
      <c r="G30" s="4"/>
      <c r="H30" s="4"/>
      <c r="I30" s="4"/>
      <c r="J30" s="4"/>
      <c r="K30" s="4"/>
      <c r="L30" s="4"/>
      <c r="M30" s="4"/>
      <c r="N30" s="4"/>
      <c r="O30" s="4"/>
      <c r="P30" s="4"/>
      <c r="Q30" s="4"/>
      <c r="R30" s="8"/>
    </row>
    <row r="31" spans="2:18">
      <c r="B31" s="3"/>
      <c r="C31" s="4"/>
      <c r="D31" s="4"/>
      <c r="E31" s="4"/>
      <c r="F31" s="4"/>
      <c r="G31" s="4"/>
      <c r="H31" s="4"/>
      <c r="I31" s="4"/>
      <c r="J31" s="4"/>
      <c r="K31" s="4"/>
      <c r="L31" s="4"/>
      <c r="M31" s="4"/>
      <c r="N31" s="4"/>
      <c r="O31" s="4"/>
      <c r="P31" s="4"/>
      <c r="Q31" s="4"/>
      <c r="R31" s="8"/>
    </row>
    <row r="32" spans="2:18">
      <c r="B32" s="3"/>
      <c r="C32" s="4"/>
      <c r="D32" s="4"/>
      <c r="E32" s="4"/>
      <c r="F32" s="4"/>
      <c r="G32" s="4"/>
      <c r="H32" s="4"/>
      <c r="I32" s="4"/>
      <c r="J32" s="4"/>
      <c r="K32" s="4"/>
      <c r="L32" s="4"/>
      <c r="M32" s="4"/>
      <c r="N32" s="4"/>
      <c r="O32" s="4"/>
      <c r="P32" s="4"/>
      <c r="Q32" s="4"/>
      <c r="R32" s="8"/>
    </row>
    <row r="33" spans="2:18">
      <c r="B33" s="3"/>
      <c r="C33" s="4"/>
      <c r="D33" s="4"/>
      <c r="E33" s="4"/>
      <c r="F33" s="4"/>
      <c r="G33" s="4"/>
      <c r="H33" s="4"/>
      <c r="I33" s="4"/>
      <c r="J33" s="4"/>
      <c r="K33" s="4"/>
      <c r="L33" s="4"/>
      <c r="M33" s="4"/>
      <c r="N33" s="4"/>
      <c r="O33" s="4"/>
      <c r="P33" s="4"/>
      <c r="Q33" s="4"/>
      <c r="R33" s="8"/>
    </row>
    <row r="34" spans="2:18">
      <c r="B34" s="3"/>
      <c r="C34" s="4"/>
      <c r="D34" s="4"/>
      <c r="E34" s="4"/>
      <c r="F34" s="4"/>
      <c r="G34" s="4"/>
      <c r="H34" s="4"/>
      <c r="I34" s="4"/>
      <c r="J34" s="4"/>
      <c r="K34" s="4"/>
      <c r="L34" s="4"/>
      <c r="M34" s="4"/>
      <c r="N34" s="4"/>
      <c r="O34" s="4"/>
      <c r="P34" s="4"/>
      <c r="Q34" s="4"/>
      <c r="R34" s="8"/>
    </row>
    <row r="35" spans="2:18">
      <c r="B35" s="3"/>
      <c r="C35" s="4"/>
      <c r="D35" s="4"/>
      <c r="E35" s="4"/>
      <c r="F35" s="4"/>
      <c r="G35" s="4"/>
      <c r="H35" s="4"/>
      <c r="I35" s="4"/>
      <c r="J35" s="4"/>
      <c r="K35" s="4"/>
      <c r="L35" s="4"/>
      <c r="M35" s="4"/>
      <c r="N35" s="4"/>
      <c r="O35" s="4"/>
      <c r="P35" s="4"/>
      <c r="Q35" s="4"/>
      <c r="R35" s="8"/>
    </row>
    <row r="36" spans="2:18">
      <c r="B36" s="3"/>
      <c r="C36" s="4"/>
      <c r="D36" s="4"/>
      <c r="E36" s="4"/>
      <c r="F36" s="4"/>
      <c r="G36" s="4"/>
      <c r="H36" s="4"/>
      <c r="I36" s="4"/>
      <c r="J36" s="4"/>
      <c r="K36" s="4"/>
      <c r="L36" s="4"/>
      <c r="M36" s="4"/>
      <c r="N36" s="4"/>
      <c r="O36" s="4"/>
      <c r="P36" s="4"/>
      <c r="Q36" s="4"/>
      <c r="R36" s="8"/>
    </row>
    <row r="37" spans="2:18">
      <c r="B37" s="3"/>
      <c r="C37" s="4"/>
      <c r="D37" s="4"/>
      <c r="E37" s="4"/>
      <c r="F37" s="4"/>
      <c r="G37" s="4"/>
      <c r="H37" s="4"/>
      <c r="I37" s="4"/>
      <c r="J37" s="4"/>
      <c r="K37" s="4"/>
      <c r="L37" s="4"/>
      <c r="M37" s="4"/>
      <c r="N37" s="4"/>
      <c r="O37" s="4"/>
      <c r="P37" s="4"/>
      <c r="Q37" s="4"/>
      <c r="R37" s="8"/>
    </row>
    <row r="38" spans="2:18">
      <c r="B38" s="3"/>
      <c r="C38" s="4"/>
      <c r="D38" s="4"/>
      <c r="E38" s="4"/>
      <c r="F38" s="4"/>
      <c r="G38" s="4"/>
      <c r="H38" s="4"/>
      <c r="I38" s="4"/>
      <c r="J38" s="4"/>
      <c r="K38" s="4"/>
      <c r="L38" s="4"/>
      <c r="M38" s="4"/>
      <c r="N38" s="4"/>
      <c r="O38" s="4"/>
      <c r="P38" s="4"/>
      <c r="Q38" s="4"/>
      <c r="R38" s="8"/>
    </row>
    <row r="39" spans="2:18">
      <c r="B39" s="3"/>
      <c r="C39" s="4"/>
      <c r="D39" s="4"/>
      <c r="E39" s="4"/>
      <c r="F39" s="4"/>
      <c r="G39" s="4"/>
      <c r="H39" s="4"/>
      <c r="I39" s="4"/>
      <c r="J39" s="4"/>
      <c r="K39" s="4"/>
      <c r="L39" s="4"/>
      <c r="M39" s="4"/>
      <c r="N39" s="4"/>
      <c r="O39" s="4"/>
      <c r="P39" s="4"/>
      <c r="Q39" s="4"/>
      <c r="R39" s="8"/>
    </row>
    <row r="40" spans="2:18">
      <c r="B40" s="3"/>
      <c r="C40" s="4"/>
      <c r="D40" s="4"/>
      <c r="E40" s="4"/>
      <c r="F40" s="4"/>
      <c r="G40" s="4"/>
      <c r="H40" s="4"/>
      <c r="I40" s="4"/>
      <c r="J40" s="4"/>
      <c r="K40" s="4"/>
      <c r="L40" s="4"/>
      <c r="M40" s="4"/>
      <c r="N40" s="4"/>
      <c r="O40" s="4"/>
      <c r="P40" s="4"/>
      <c r="Q40" s="4"/>
      <c r="R40" s="8"/>
    </row>
    <row r="41" spans="2:18">
      <c r="B41" s="3"/>
      <c r="C41" s="4"/>
      <c r="D41" s="4"/>
      <c r="E41" s="4"/>
      <c r="F41" s="4"/>
      <c r="G41" s="4"/>
      <c r="H41" s="4"/>
      <c r="I41" s="4"/>
      <c r="J41" s="4"/>
      <c r="K41" s="4"/>
      <c r="L41" s="4"/>
      <c r="M41" s="4"/>
      <c r="N41" s="4"/>
      <c r="O41" s="4"/>
      <c r="P41" s="4"/>
      <c r="Q41" s="4"/>
      <c r="R41" s="8"/>
    </row>
    <row r="42" spans="2:18">
      <c r="B42" s="3"/>
      <c r="C42" s="4"/>
      <c r="D42" s="4"/>
      <c r="E42" s="4"/>
      <c r="F42" s="4"/>
      <c r="G42" s="4"/>
      <c r="H42" s="4"/>
      <c r="I42" s="4"/>
      <c r="J42" s="4"/>
      <c r="K42" s="4"/>
      <c r="L42" s="4"/>
      <c r="M42" s="4"/>
      <c r="N42" s="4"/>
      <c r="O42" s="4"/>
      <c r="P42" s="4"/>
      <c r="Q42" s="4"/>
      <c r="R42" s="8"/>
    </row>
    <row r="43" spans="2:18">
      <c r="B43" s="3"/>
      <c r="C43" s="4"/>
      <c r="D43" s="4"/>
      <c r="E43" s="4"/>
      <c r="F43" s="4"/>
      <c r="G43" s="4"/>
      <c r="H43" s="4"/>
      <c r="I43" s="4"/>
      <c r="J43" s="4"/>
      <c r="K43" s="4"/>
      <c r="L43" s="4"/>
      <c r="M43" s="4"/>
      <c r="N43" s="4"/>
      <c r="O43" s="4"/>
      <c r="P43" s="4"/>
      <c r="Q43" s="4"/>
      <c r="R43" s="8"/>
    </row>
    <row r="44" spans="2:18">
      <c r="B44" s="3"/>
      <c r="C44" s="4"/>
      <c r="D44" s="4"/>
      <c r="E44" s="4"/>
      <c r="F44" s="4"/>
      <c r="G44" s="4"/>
      <c r="H44" s="4"/>
      <c r="I44" s="4"/>
      <c r="J44" s="4"/>
      <c r="K44" s="4"/>
      <c r="L44" s="4"/>
      <c r="M44" s="4"/>
      <c r="N44" s="4"/>
      <c r="O44" s="4"/>
      <c r="P44" s="4"/>
      <c r="Q44" s="4"/>
      <c r="R44" s="8"/>
    </row>
    <row r="45" spans="2:18">
      <c r="B45" s="3"/>
      <c r="C45" s="4"/>
      <c r="D45" s="4"/>
      <c r="E45" s="4"/>
      <c r="F45" s="4"/>
      <c r="G45" s="4"/>
      <c r="H45" s="4"/>
      <c r="I45" s="4"/>
      <c r="J45" s="4"/>
      <c r="K45" s="4"/>
      <c r="L45" s="4"/>
      <c r="M45" s="4"/>
      <c r="N45" s="4"/>
      <c r="O45" s="4"/>
      <c r="P45" s="4"/>
      <c r="Q45" s="4"/>
      <c r="R45" s="8"/>
    </row>
    <row r="46" spans="2:18">
      <c r="B46" s="3"/>
      <c r="C46" s="4"/>
      <c r="D46" s="4"/>
      <c r="E46" s="4"/>
      <c r="F46" s="4"/>
      <c r="G46" s="4"/>
      <c r="H46" s="4"/>
      <c r="I46" s="4"/>
      <c r="J46" s="4"/>
      <c r="K46" s="4"/>
      <c r="L46" s="4"/>
      <c r="M46" s="4"/>
      <c r="N46" s="4"/>
      <c r="O46" s="4"/>
      <c r="P46" s="4"/>
      <c r="Q46" s="4"/>
      <c r="R46" s="8"/>
    </row>
    <row r="47" spans="2:18">
      <c r="B47" s="3"/>
      <c r="C47" s="4"/>
      <c r="D47" s="4"/>
      <c r="E47" s="4"/>
      <c r="F47" s="4"/>
      <c r="G47" s="4"/>
      <c r="H47" s="4"/>
      <c r="I47" s="4"/>
      <c r="J47" s="4"/>
      <c r="K47" s="4"/>
      <c r="L47" s="4"/>
      <c r="M47" s="4"/>
      <c r="N47" s="4"/>
      <c r="O47" s="4"/>
      <c r="P47" s="4"/>
      <c r="Q47" s="4"/>
      <c r="R47" s="8"/>
    </row>
    <row r="48" spans="2:18">
      <c r="B48" s="3"/>
      <c r="C48" s="4"/>
      <c r="D48" s="4"/>
      <c r="E48" s="4"/>
      <c r="F48" s="4"/>
      <c r="G48" s="4"/>
      <c r="H48" s="4"/>
      <c r="I48" s="4"/>
      <c r="J48" s="4"/>
      <c r="K48" s="4"/>
      <c r="L48" s="4"/>
      <c r="M48" s="4"/>
      <c r="N48" s="4"/>
      <c r="O48" s="4"/>
      <c r="P48" s="4"/>
      <c r="Q48" s="4"/>
      <c r="R48" s="8"/>
    </row>
    <row r="49" spans="2:18">
      <c r="B49" s="3"/>
      <c r="C49" s="4"/>
      <c r="D49" s="4"/>
      <c r="E49" s="4"/>
      <c r="F49" s="4"/>
      <c r="G49" s="4"/>
      <c r="H49" s="4"/>
      <c r="I49" s="4"/>
      <c r="J49" s="4"/>
      <c r="K49" s="4"/>
      <c r="L49" s="4"/>
      <c r="M49" s="4"/>
      <c r="N49" s="4"/>
      <c r="O49" s="4"/>
      <c r="P49" s="4"/>
      <c r="Q49" s="4"/>
      <c r="R49" s="8"/>
    </row>
    <row r="50" spans="2:18">
      <c r="B50" s="3"/>
      <c r="C50" s="4"/>
      <c r="D50" s="4"/>
      <c r="E50" s="4"/>
      <c r="F50" s="4"/>
      <c r="G50" s="4"/>
      <c r="H50" s="4"/>
      <c r="I50" s="4"/>
      <c r="J50" s="4"/>
      <c r="K50" s="4"/>
      <c r="L50" s="4"/>
      <c r="M50" s="4"/>
      <c r="N50" s="4"/>
      <c r="O50" s="4"/>
      <c r="P50" s="4"/>
      <c r="Q50" s="4"/>
      <c r="R50" s="8"/>
    </row>
    <row r="51" spans="2:18">
      <c r="B51" s="3"/>
      <c r="C51" s="4"/>
      <c r="D51" s="4"/>
      <c r="E51" s="4"/>
      <c r="F51" s="4"/>
      <c r="G51" s="4"/>
      <c r="H51" s="4"/>
      <c r="I51" s="4"/>
      <c r="J51" s="4"/>
      <c r="K51" s="4"/>
      <c r="L51" s="4"/>
      <c r="M51" s="4"/>
      <c r="N51" s="4"/>
      <c r="O51" s="4"/>
      <c r="P51" s="4"/>
      <c r="Q51" s="4"/>
      <c r="R51" s="8"/>
    </row>
    <row r="52" spans="2:18">
      <c r="B52" s="3"/>
      <c r="C52" s="4"/>
      <c r="D52" s="4"/>
      <c r="E52" s="4"/>
      <c r="F52" s="4"/>
      <c r="G52" s="4"/>
      <c r="H52" s="4"/>
      <c r="I52" s="4"/>
      <c r="J52" s="4"/>
      <c r="K52" s="4"/>
      <c r="L52" s="4"/>
      <c r="M52" s="4"/>
      <c r="N52" s="4"/>
      <c r="O52" s="4"/>
      <c r="P52" s="4"/>
      <c r="Q52" s="4"/>
      <c r="R52" s="8"/>
    </row>
    <row r="53" spans="2:18">
      <c r="B53" s="3"/>
      <c r="C53" s="4"/>
      <c r="D53" s="4"/>
      <c r="E53" s="4"/>
      <c r="F53" s="4"/>
      <c r="G53" s="4"/>
      <c r="H53" s="4"/>
      <c r="I53" s="4"/>
      <c r="J53" s="4"/>
      <c r="K53" s="4"/>
      <c r="L53" s="4"/>
      <c r="M53" s="4"/>
      <c r="N53" s="4"/>
      <c r="O53" s="4"/>
      <c r="P53" s="4"/>
      <c r="Q53" s="4"/>
      <c r="R53" s="8"/>
    </row>
    <row r="54" spans="2:18">
      <c r="B54" s="3"/>
      <c r="C54" s="4"/>
      <c r="D54" s="4"/>
      <c r="E54" s="4"/>
      <c r="F54" s="4"/>
      <c r="G54" s="4"/>
      <c r="H54" s="4"/>
      <c r="I54" s="4"/>
      <c r="J54" s="4"/>
      <c r="K54" s="4"/>
      <c r="L54" s="4"/>
      <c r="M54" s="4"/>
      <c r="N54" s="4"/>
      <c r="O54" s="4"/>
      <c r="P54" s="4"/>
      <c r="Q54" s="4"/>
      <c r="R54" s="8"/>
    </row>
    <row r="55" spans="2:18">
      <c r="B55" s="3"/>
      <c r="C55" s="4"/>
      <c r="D55" s="4"/>
      <c r="E55" s="4"/>
      <c r="F55" s="4"/>
      <c r="G55" s="4"/>
      <c r="H55" s="4"/>
      <c r="I55" s="4"/>
      <c r="J55" s="4"/>
      <c r="K55" s="4"/>
      <c r="L55" s="4"/>
      <c r="M55" s="4"/>
      <c r="N55" s="4"/>
      <c r="O55" s="4"/>
      <c r="P55" s="4"/>
      <c r="Q55" s="4"/>
      <c r="R55" s="8"/>
    </row>
    <row r="56" spans="2:18">
      <c r="B56" s="3"/>
      <c r="C56" s="4"/>
      <c r="D56" s="4"/>
      <c r="E56" s="4"/>
      <c r="F56" s="4"/>
      <c r="G56" s="4"/>
      <c r="H56" s="4"/>
      <c r="I56" s="4"/>
      <c r="J56" s="4"/>
      <c r="K56" s="4"/>
      <c r="L56" s="4"/>
      <c r="M56" s="4"/>
      <c r="N56" s="4"/>
      <c r="O56" s="4"/>
      <c r="P56" s="4"/>
      <c r="Q56" s="4"/>
      <c r="R56" s="8"/>
    </row>
    <row r="57" spans="2:18">
      <c r="B57" s="3"/>
      <c r="C57" s="4"/>
      <c r="D57" s="4"/>
      <c r="E57" s="4"/>
      <c r="F57" s="4"/>
      <c r="G57" s="4"/>
      <c r="H57" s="4"/>
      <c r="I57" s="4"/>
      <c r="J57" s="4"/>
      <c r="K57" s="4"/>
      <c r="L57" s="4"/>
      <c r="M57" s="4"/>
      <c r="N57" s="4"/>
      <c r="O57" s="4"/>
      <c r="P57" s="4"/>
      <c r="Q57" s="4"/>
      <c r="R57" s="8"/>
    </row>
    <row r="58" spans="2:18">
      <c r="B58" s="3"/>
      <c r="C58" s="4"/>
      <c r="D58" s="4"/>
      <c r="E58" s="4"/>
      <c r="F58" s="4"/>
      <c r="G58" s="4"/>
      <c r="H58" s="4"/>
      <c r="I58" s="4"/>
      <c r="J58" s="4"/>
      <c r="K58" s="4"/>
      <c r="L58" s="4"/>
      <c r="M58" s="4"/>
      <c r="N58" s="4"/>
      <c r="O58" s="4"/>
      <c r="P58" s="4"/>
      <c r="Q58" s="4"/>
      <c r="R58" s="8"/>
    </row>
    <row r="59" spans="2:18">
      <c r="B59" s="3"/>
      <c r="C59" s="4"/>
      <c r="D59" s="4"/>
      <c r="E59" s="4"/>
      <c r="F59" s="4"/>
      <c r="G59" s="4"/>
      <c r="H59" s="4"/>
      <c r="I59" s="4"/>
      <c r="J59" s="4"/>
      <c r="K59" s="4"/>
      <c r="L59" s="4"/>
      <c r="M59" s="4"/>
      <c r="N59" s="4"/>
      <c r="O59" s="4"/>
      <c r="P59" s="4"/>
      <c r="Q59" s="4"/>
      <c r="R59" s="8"/>
    </row>
    <row r="60" spans="2:18">
      <c r="B60" s="3"/>
      <c r="C60" s="4"/>
      <c r="D60" s="4"/>
      <c r="E60" s="4"/>
      <c r="F60" s="4"/>
      <c r="G60" s="4"/>
      <c r="H60" s="4"/>
      <c r="I60" s="4"/>
      <c r="J60" s="4"/>
      <c r="K60" s="4"/>
      <c r="L60" s="4"/>
      <c r="M60" s="4"/>
      <c r="N60" s="4"/>
      <c r="O60" s="4"/>
      <c r="P60" s="4"/>
      <c r="Q60" s="4"/>
      <c r="R60" s="8"/>
    </row>
    <row r="61" ht="14.55" spans="2:18">
      <c r="B61" s="5"/>
      <c r="C61" s="6"/>
      <c r="D61" s="6"/>
      <c r="E61" s="6"/>
      <c r="F61" s="6"/>
      <c r="G61" s="6"/>
      <c r="H61" s="6"/>
      <c r="I61" s="6"/>
      <c r="J61" s="6"/>
      <c r="K61" s="6"/>
      <c r="L61" s="6"/>
      <c r="M61" s="6"/>
      <c r="N61" s="6"/>
      <c r="O61" s="6"/>
      <c r="P61" s="6"/>
      <c r="Q61" s="6"/>
      <c r="R61" s="9"/>
    </row>
  </sheetData>
  <mergeCells count="1">
    <mergeCell ref="B2:R6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16</vt:i4>
      </vt:variant>
    </vt:vector>
  </HeadingPairs>
  <TitlesOfParts>
    <vt:vector size="16" baseType="lpstr">
      <vt:lpstr>Business Context</vt:lpstr>
      <vt:lpstr>Survey Questionaire</vt:lpstr>
      <vt:lpstr>Data Dictionary</vt:lpstr>
      <vt:lpstr>Sheet32</vt:lpstr>
      <vt:lpstr>Sheet33</vt:lpstr>
      <vt:lpstr>Sheet34</vt:lpstr>
      <vt:lpstr>Sheet35</vt:lpstr>
      <vt:lpstr>Sheet36</vt:lpstr>
      <vt:lpstr>Sheet1</vt:lpstr>
      <vt:lpstr>Sheet2</vt:lpstr>
      <vt:lpstr>Sheet3</vt:lpstr>
      <vt:lpstr>Sheet4</vt:lpstr>
      <vt:lpstr>Sheet5</vt:lpstr>
      <vt:lpstr>Sheet6</vt:lpstr>
      <vt:lpstr>Employ-Exit-survey-Data</vt:lpstr>
      <vt:lpstr>Task Overview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Alabs</dc:creator>
  <cp:lastModifiedBy>dilsh</cp:lastModifiedBy>
  <dcterms:created xsi:type="dcterms:W3CDTF">2025-03-12T06:26:00Z</dcterms:created>
  <dcterms:modified xsi:type="dcterms:W3CDTF">2025-07-25T06:02:53Z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D96AD0821B984BB7AC482FDE95B7AF89_13</vt:lpwstr>
  </property>
  <property fmtid="{D5CDD505-2E9C-101B-9397-08002B2CF9AE}" pid="3" name="KSOProductBuildVer">
    <vt:lpwstr>1033-12.2.0.21931</vt:lpwstr>
  </property>
</Properties>
</file>